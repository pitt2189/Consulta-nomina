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958220-8552-4C45-96AD-1DEB2D78673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UNTUALIDAD" sheetId="15" r:id="rId1"/>
    <sheet name="ACUMULADO" sheetId="16" r:id="rId2"/>
    <sheet name="RENDIMIENTO" sheetId="11" r:id="rId3"/>
    <sheet name="BONOS" sheetId="13" r:id="rId4"/>
    <sheet name="CONSULTA" sheetId="10" r:id="rId5"/>
  </sheets>
  <definedNames>
    <definedName name="_xlnm._FilterDatabase" localSheetId="0" hidden="1">PUNTUALIDAD!$A$1:$BE$1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0" l="1"/>
  <c r="C3" i="10" s="1"/>
  <c r="H12" i="10"/>
  <c r="G12" i="10" s="1"/>
  <c r="G15" i="10" s="1"/>
  <c r="H11" i="10"/>
  <c r="G11" i="10" s="1"/>
  <c r="H10" i="10"/>
  <c r="G10" i="10" s="1"/>
  <c r="H9" i="10"/>
  <c r="H8" i="10"/>
  <c r="D9" i="10"/>
  <c r="C9" i="10" s="1"/>
  <c r="D8" i="10"/>
  <c r="C8" i="10" s="1"/>
  <c r="H14" i="10"/>
  <c r="H6" i="10"/>
  <c r="G6" i="10" s="1"/>
  <c r="H5" i="10"/>
  <c r="G5" i="10" s="1"/>
  <c r="H4" i="10"/>
  <c r="G4" i="10" s="1"/>
  <c r="D4" i="10"/>
  <c r="C4" i="10" s="1"/>
  <c r="D6" i="10"/>
  <c r="D5" i="10"/>
  <c r="G14" i="10" l="1"/>
  <c r="G8" i="10"/>
  <c r="G9" i="10"/>
  <c r="C6" i="10"/>
  <c r="C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2" authorId="0" shapeId="0" xr:uid="{A204CC7A-727D-404E-990A-1796105AD219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OBJETIVO REQUERIDO POR CORPORATIVO 
</t>
        </r>
      </text>
    </comment>
    <comment ref="F2" authorId="0" shapeId="0" xr:uid="{0DA4BB88-CFF7-4057-8861-8AE58C18E0FA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RENDIMIENTO OBTENIDO 
</t>
        </r>
      </text>
    </comment>
    <comment ref="H2" authorId="0" shapeId="0" xr:uid="{5EA71C08-6956-4D44-845E-72EEF2B648F7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SEMANA DE RETROACTIVOS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5" authorId="0" shapeId="0" xr:uid="{A053A4CB-6AFA-4AEC-9857-6153C84D80C4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O SIN SINIESTRO
</t>
        </r>
      </text>
    </comment>
    <comment ref="F5" authorId="0" shapeId="0" xr:uid="{BAAAC301-D9B0-4B5C-828D-56B530E5B776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CON O SIN QUEJA 
</t>
        </r>
      </text>
    </comment>
    <comment ref="G5" authorId="0" shapeId="0" xr:uid="{CB72FCE3-6D98-4A0D-B7F3-5BD6CAA008D8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AGREGAR SCORE OBTENIDO 
</t>
        </r>
      </text>
    </comment>
  </commentList>
</comments>
</file>

<file path=xl/sharedStrings.xml><?xml version="1.0" encoding="utf-8"?>
<sst xmlns="http://schemas.openxmlformats.org/spreadsheetml/2006/main" count="33555" uniqueCount="2971">
  <si>
    <t>NOMBRE</t>
  </si>
  <si>
    <t>TOTAL</t>
  </si>
  <si>
    <t>SINIESTROS</t>
  </si>
  <si>
    <t>LIPU</t>
  </si>
  <si>
    <t>Este documento es de carácter informativo. Su contenido carece de valor oficial, por lo que de requerir su “recibo de nómina”, favor de solicitarlo en oficinas de Transportes LIPU.</t>
  </si>
  <si>
    <t>NÓMINA</t>
  </si>
  <si>
    <t>RAMIREZ RODRIGUEZ JESUS</t>
  </si>
  <si>
    <t>AMBRIZ MERCADO MARTIN</t>
  </si>
  <si>
    <t>MARTINEZ OCHOA PAULO</t>
  </si>
  <si>
    <t>GUTIERREZ VELEZ FRANCISCO</t>
  </si>
  <si>
    <t>ORTIZ GARCIA LUIS ALBERTO</t>
  </si>
  <si>
    <t>NAJAR LOPEZ JOSE SERGIO</t>
  </si>
  <si>
    <t>GUZMAN MUNGUIA LUIS JAVIER</t>
  </si>
  <si>
    <t>ALONZO PEREZ JOSE REYES</t>
  </si>
  <si>
    <t>LARIOS ALCARAZ EDUARDO</t>
  </si>
  <si>
    <t>TABARES FLORES OSCAR ALEJANDRO</t>
  </si>
  <si>
    <t>ROBLES DEADEL LAZARO</t>
  </si>
  <si>
    <t>LINARES CISNEROS JOSE ANTONIO</t>
  </si>
  <si>
    <t>OLIVARES HERNANDEZ GABRIEL</t>
  </si>
  <si>
    <t>GONZALEZ MANZO JAVIER OSWALDO</t>
  </si>
  <si>
    <t>YEPEZ VAZQUEZ JOAN</t>
  </si>
  <si>
    <t>BALTAZAR MENDOZA HORACIO</t>
  </si>
  <si>
    <t>CARRILLO REYNOSO JESUS ALEJANDRO</t>
  </si>
  <si>
    <t>OSORIO HERNANDEZ DOMINGO</t>
  </si>
  <si>
    <t>BECERRA LUNA GUILLERMO</t>
  </si>
  <si>
    <t>MARTINEZ ZAVALA FRANCISCO ESPIRIDION</t>
  </si>
  <si>
    <t>MORALES AGUILAR ALBERTO</t>
  </si>
  <si>
    <t>TABARES VAZQUEZ MARTIN</t>
  </si>
  <si>
    <t>OLEA SANCHEZ JOSE LUIS</t>
  </si>
  <si>
    <t>RAMOS ANGUIANO SERGIO DAVID</t>
  </si>
  <si>
    <t>ORTIZ HERNANDEZ JESUS GUADALUPE</t>
  </si>
  <si>
    <t>ESTRADA ALVAREZ FERNANDO</t>
  </si>
  <si>
    <t>LARIOS SANCHEZ HECTOR ALEXANDER</t>
  </si>
  <si>
    <t>GONZALEZ VALENCIA BARTOLO</t>
  </si>
  <si>
    <t>CORTES ARMENTA HERNAN</t>
  </si>
  <si>
    <t>HERNANDEZ RON BLANCA HERLINDA</t>
  </si>
  <si>
    <t>RIVERA MARTINEZ GUSTAVO</t>
  </si>
  <si>
    <t>BAUTISTA SOLORIO JAIME</t>
  </si>
  <si>
    <t>HERNANDEZ ORTEGA RAUL</t>
  </si>
  <si>
    <t>COBIAN AYALA EDGAR</t>
  </si>
  <si>
    <t>TORRES GUARDADO JOSE LUIS</t>
  </si>
  <si>
    <t>HERNANDEZ CRUZ ERNESTO</t>
  </si>
  <si>
    <t>MARROQUIN ACEVES MARCOS GUILLERMO</t>
  </si>
  <si>
    <t>GAYTAN HERNANDEZ PEDRO</t>
  </si>
  <si>
    <t>VAZQUEZ SALAS GILBERTO</t>
  </si>
  <si>
    <t>RANGEL RAMIREZ RODOLFO IVAN</t>
  </si>
  <si>
    <t>RAMIREZ FLORES JOSE DE JESUS</t>
  </si>
  <si>
    <t>HERNANDEZ PEREZ FRANCISCO JAVIER</t>
  </si>
  <si>
    <t>TAMAYO GONZALEZ CHRISTIAN JESUS</t>
  </si>
  <si>
    <t>PLASCENCIA ESQUIVEL FRANCISCO</t>
  </si>
  <si>
    <t>SANTANA ARAIZA SANTIAGO</t>
  </si>
  <si>
    <t>GAYTAN PINEDO CARLOS ENRIQUE</t>
  </si>
  <si>
    <t>CABALLERO ANGUIANO SERGIO</t>
  </si>
  <si>
    <t>SOTELO AVIÑA MICHEL ALEJANDRO</t>
  </si>
  <si>
    <t>LOPEZ GODOY ENRIQUE</t>
  </si>
  <si>
    <t>RAMIREZ RUIZ RAUL</t>
  </si>
  <si>
    <t>MENDEZ RUIZ BENJAMIN FRANCISCO</t>
  </si>
  <si>
    <t>ANGUIANO OCAMPO JOSE GUADALUPE</t>
  </si>
  <si>
    <t>HERNANDEZ CHAVEZ FERNANDO</t>
  </si>
  <si>
    <t>GARCIA PEREZ ALFONSO</t>
  </si>
  <si>
    <t>PEREZ CASTILLO GABRIEL</t>
  </si>
  <si>
    <t>GUERRERO CORTES SERGIO RICARDO</t>
  </si>
  <si>
    <t>LOPEZ VELASCO MARIO</t>
  </si>
  <si>
    <t>PACHECO SALCEDO FERNANDO</t>
  </si>
  <si>
    <t>ZEPEDA GUERRERO JUAN CARLOS</t>
  </si>
  <si>
    <t>GARCIA DE LA TORRE LEONARDO</t>
  </si>
  <si>
    <t>CONTRERAS DAVILA DANIEL</t>
  </si>
  <si>
    <t>VAZQUEZ FLORES FABIAN</t>
  </si>
  <si>
    <t>LIRA LOPEZ LUIS ANGEL</t>
  </si>
  <si>
    <t>LUNA SANDOVAL DAVID</t>
  </si>
  <si>
    <t>IBARRA PEREZ MARTIN</t>
  </si>
  <si>
    <t>TELLES PADILLA JOSE MANUEL</t>
  </si>
  <si>
    <t>MUÑOZ SANTACRUZ JUAN PABLO</t>
  </si>
  <si>
    <t>DE LA ROSA OCEGUEDA JUAN GUADALUPE</t>
  </si>
  <si>
    <t>VILLEGAS HUIZAR FERNANDO</t>
  </si>
  <si>
    <t>ROSALES SANDOVAL LUIS AARON</t>
  </si>
  <si>
    <t>ZAVALA NAVARRO SAUL</t>
  </si>
  <si>
    <t>BELTRAN OLIVARES NESTOR ARMANDO</t>
  </si>
  <si>
    <t>LOPEZ LARA GERARDO</t>
  </si>
  <si>
    <t>RAMOS DELGADO FRANCISCO</t>
  </si>
  <si>
    <t>GARCIA PRECIADO ANTONIO</t>
  </si>
  <si>
    <t>VAZQUEZ CERVANTES JOSE MAURICIO</t>
  </si>
  <si>
    <t>GONZALEZ FLOREZ SALVADOR</t>
  </si>
  <si>
    <t>RENTERIA GUTIERREZ JUAN MANUEL</t>
  </si>
  <si>
    <t>GODINEZ CONTRERAS SERGIO ALEJANDRO</t>
  </si>
  <si>
    <t>NAVARRO MEZA JULIAN</t>
  </si>
  <si>
    <t>DE LA CRUZ CHAVEZ LUIS DAVID</t>
  </si>
  <si>
    <t>LOPEZ ARIAS FERNANDO</t>
  </si>
  <si>
    <t>MEDINA ALVAREZ CUAUHTEMOC</t>
  </si>
  <si>
    <t>ALVARADO LOPEZ GERARDO</t>
  </si>
  <si>
    <t>BARRERA HERNANDEZ JOSE SALVADOR</t>
  </si>
  <si>
    <t>MARTINEZ RAMIREZ CARLOS ENRIQUE</t>
  </si>
  <si>
    <t>JIMENEZ LOPEZ ARMANDO</t>
  </si>
  <si>
    <t>DIAZ DE SANDI DIAZ MARTIN ALEJANDRO</t>
  </si>
  <si>
    <t>RUIZ JARA OCTAVIO JAVIER</t>
  </si>
  <si>
    <t>AGUILERA MEDRANO VICTOR MANUEL</t>
  </si>
  <si>
    <t>VILLANUEVA LOPEZ SANTIAGO</t>
  </si>
  <si>
    <t>AQUINO PUGA SEBASTIAN ANTONIO</t>
  </si>
  <si>
    <t>VACA BRAVO CARLOS GONZALO</t>
  </si>
  <si>
    <t>RIVERA ALCARAZ GILDARDO</t>
  </si>
  <si>
    <t>NOVOA MORFIN MARTIN</t>
  </si>
  <si>
    <t>VELEZ GARCIA ALEJANDRO</t>
  </si>
  <si>
    <t>MARTINEZ PEREZ OSCAR IVAN</t>
  </si>
  <si>
    <t>GONZALEZ BARRON DAVID</t>
  </si>
  <si>
    <t>SIGALA VILLALOBOS ARMANDO</t>
  </si>
  <si>
    <t>PEREZ QUEZADA MARIO</t>
  </si>
  <si>
    <t>GARCIA LEJA CARLOS</t>
  </si>
  <si>
    <t>SOTO CARRILLO MIGUEL ANGEL</t>
  </si>
  <si>
    <t>CHAVEZ MEDINA JOSE ALBERTO</t>
  </si>
  <si>
    <t>RAMIREZ ANGULO JOSE</t>
  </si>
  <si>
    <t>VALADEZ SANDOVAL ROBERTO</t>
  </si>
  <si>
    <t>LOERA GOMEZ FRANCISCO</t>
  </si>
  <si>
    <t>CASTORENA ROJAS JOSE</t>
  </si>
  <si>
    <t>AGRIPINO ROBLES MARIO ALFONSO</t>
  </si>
  <si>
    <t>PEDRO MONTALVO IGNACIO</t>
  </si>
  <si>
    <t>MARTINEZ GONZALEZ FRANCISCO JAVIER</t>
  </si>
  <si>
    <t>BRECEDA RUIZ MANUEL</t>
  </si>
  <si>
    <t>MARTINEZ ZUÑIGA FRANCISCO JAVIER</t>
  </si>
  <si>
    <t>CORTES ARMENTA EDMUNDO</t>
  </si>
  <si>
    <t>LEYVA MENDOZA MARCO ANTONIO</t>
  </si>
  <si>
    <t>NUÑO AZUA JOSE MANUEL</t>
  </si>
  <si>
    <t>GONZALEZ PARTIDA MAURICIO</t>
  </si>
  <si>
    <t>OCEGUEDA MELGOZA HECTOR GERARDO</t>
  </si>
  <si>
    <t>ROSAS MARTINEZ VICTOR FELIPE</t>
  </si>
  <si>
    <t>HORTA MARTINEZ PEDRO</t>
  </si>
  <si>
    <t>JUAREZ GARCIA EDGAR DAVID</t>
  </si>
  <si>
    <t>AGUAYO AGUIRRE BRIAN EDUARDO</t>
  </si>
  <si>
    <t>SANCHEZ MARQUEZ ALEJANDRO</t>
  </si>
  <si>
    <t>PALACIOS ZAMORA JOEL IVAN</t>
  </si>
  <si>
    <t>DIAZ BLANQUET LIZETTE ALEJANDRA</t>
  </si>
  <si>
    <t>MONTAÑO CASTILLO PABLO</t>
  </si>
  <si>
    <t>PETREARCE SILVA SERGIO</t>
  </si>
  <si>
    <t>DOMINGUEZ PEREZ JUAN GABRIEL</t>
  </si>
  <si>
    <t>RUVALCABA DISTANCIA MARCO ANTONIO</t>
  </si>
  <si>
    <t>PATIÑO ESCOBEDO JOSE CRUZ</t>
  </si>
  <si>
    <t>GOMEZ DELGADILLO MARCO ANTONIO</t>
  </si>
  <si>
    <t>NUÑEZ AVILA JOSE DE JESUS</t>
  </si>
  <si>
    <t>GUILLEN ARMENDARIZ ABRAHAM</t>
  </si>
  <si>
    <t>GARCIA GARCIA RUBEN</t>
  </si>
  <si>
    <t>HERNANDEZ RAMIREZ ALEJANDRO CRUZ</t>
  </si>
  <si>
    <t>MEDINA SALAZAR CARLOS ERNESTO</t>
  </si>
  <si>
    <t>ANDALON ALVAREZ JOSE EUGENIO</t>
  </si>
  <si>
    <t>SANTOS MARTINEZ ARTURO</t>
  </si>
  <si>
    <t>GONZALEZ DAVALOS FEDERICO</t>
  </si>
  <si>
    <t>VILLAGRAN PEREZ ARMANDO</t>
  </si>
  <si>
    <t>APOLINAR GONZALEZ MARIO ALBERTO</t>
  </si>
  <si>
    <t>PEREZ PLASCENCIA JOSE GUADALUPE</t>
  </si>
  <si>
    <t>MEJIA IÑIGUEZ GABRIEL</t>
  </si>
  <si>
    <t>VICTORIA CONTRERAS VICTOR MANUEL</t>
  </si>
  <si>
    <t>CASILLAS GONZALEZ LINA SELENE</t>
  </si>
  <si>
    <t>GODINEZ GONZALEZ TOMAS JUNIOR</t>
  </si>
  <si>
    <t>VAZQUEZ CORTES MIGUEL ALEJANDRO</t>
  </si>
  <si>
    <t>COMPARAN SIORDIA PABLO DANIEL</t>
  </si>
  <si>
    <t>SEGURA CERVANTES VICTOR DANIEL</t>
  </si>
  <si>
    <t>GUERRERO GONZALEZ EDUARDO FLORENTINO</t>
  </si>
  <si>
    <t>MARTINEZ LOPEZ JORGE ANTONIO</t>
  </si>
  <si>
    <t>GARCIA ARELLANO LUIS ANTONIO</t>
  </si>
  <si>
    <t>DIAZ VICENTE LUIS</t>
  </si>
  <si>
    <t>NUÑO CARBAJAL SAID DE JESUS</t>
  </si>
  <si>
    <t>ARCINIEGA DIAZ JAVIER</t>
  </si>
  <si>
    <t>DIAZ RAMOS ISMAEL</t>
  </si>
  <si>
    <t>SEDANO RUELAS LUIS ALBERTO</t>
  </si>
  <si>
    <t>JARAMILLO SANCHEZ MARCO ESTEBAN</t>
  </si>
  <si>
    <t>MEDINA RIVAS JOSE ASCENCION</t>
  </si>
  <si>
    <t>GUERRERO MARTINEZ HUGO</t>
  </si>
  <si>
    <t>DIAZ MARTINEZ ERNESTO</t>
  </si>
  <si>
    <t>RIOS GOMEZ RICARDO ADRIAN</t>
  </si>
  <si>
    <t>LOPEZ GARCIA SERGIO</t>
  </si>
  <si>
    <t>HERMOSILLO COLAZO ARNULFO</t>
  </si>
  <si>
    <t>MOLINA RODRIGUEZ MARCELINO</t>
  </si>
  <si>
    <t>TINOCO GUZMAN PEDRO ALBERTO</t>
  </si>
  <si>
    <t>GAETA MONTES LUIS ALBERTO</t>
  </si>
  <si>
    <t>SALDIVAR TOSTADO JOSE DE JESUS</t>
  </si>
  <si>
    <t>VAZQUEZ MORALES MILTON</t>
  </si>
  <si>
    <t>CORTES GUTIERREZ SAUL ULISES</t>
  </si>
  <si>
    <t>JEUDY WANDY</t>
  </si>
  <si>
    <t>PELAYO PELAYO JOSE MARIA</t>
  </si>
  <si>
    <t>RAMIREZ MARTINEZ HUMBERTO</t>
  </si>
  <si>
    <t>PARRA COBIAN OSCAR</t>
  </si>
  <si>
    <t>DELGADO DOMINGUEZ ALBERTO</t>
  </si>
  <si>
    <t>FLORES CAMPOS JORGE EDUARDO</t>
  </si>
  <si>
    <t>CAUDILLO CORONADO MARTIN</t>
  </si>
  <si>
    <t>JIMENEZ GARCIA RAYMUNDO</t>
  </si>
  <si>
    <t>NAVA QUIROZ JUAN IGNACIO</t>
  </si>
  <si>
    <t>GALLEGOS PEREZ BERNARDO CRUZ</t>
  </si>
  <si>
    <t>GONZALEZ CEJA ENRIQUE</t>
  </si>
  <si>
    <t>RODRIGUEZ LOPEZ ELEUTERIO</t>
  </si>
  <si>
    <t>SANDOVAL FLORES JUAN ANTONIO</t>
  </si>
  <si>
    <t>DE LA ROSA AREVALO SAUL</t>
  </si>
  <si>
    <t>ESTRADA ALVAREZ ISRAEL</t>
  </si>
  <si>
    <t>REYES GOMEZ LUIS GERARDO</t>
  </si>
  <si>
    <t>MAGAÑA CONTRERAS JOSE LUIS</t>
  </si>
  <si>
    <t>TABARES GUZMAN OSCAR ALEJANDRO</t>
  </si>
  <si>
    <t>GOMEZ FLORES MIGUEL ANGEL</t>
  </si>
  <si>
    <t>ULLOA ARAIZA FAUSTO CRISTOPHER</t>
  </si>
  <si>
    <t>MENDEZ BARAJAS FRANCISCO CHRISTOPHER</t>
  </si>
  <si>
    <t>HERNANDEZ CRUZ DANIEL</t>
  </si>
  <si>
    <t>BARBOSA HERNANDEZ LUIS EDUARDO</t>
  </si>
  <si>
    <t>FLORES RAMOS ENRIQUE</t>
  </si>
  <si>
    <t>RUVALCABA CORTEZ NOE</t>
  </si>
  <si>
    <t>RODRIGUEZ BECERRA J JESUS</t>
  </si>
  <si>
    <t>CASTAÑEDA ESPINOZA ISMAEL</t>
  </si>
  <si>
    <t>SAHAGUN GARCIA LUIS GERARDO</t>
  </si>
  <si>
    <t>CANDELAS HIDALGO MARCOS RAMIRO</t>
  </si>
  <si>
    <t>BAUTISTA OROZCO CARLOS ALBERTO</t>
  </si>
  <si>
    <t>CUEVA CHAVEZ EARVIN MICHAEL</t>
  </si>
  <si>
    <t>DIAZ DAVILA CHRISTIAN FERNANDO</t>
  </si>
  <si>
    <t>CISNEROS ARELLANO JUAN GERARDO</t>
  </si>
  <si>
    <t>MUÑOZ RIVAS EMMA</t>
  </si>
  <si>
    <t>ESPINOZA CARRASCO VICTOR HUGO</t>
  </si>
  <si>
    <t>MARTINEZ ACOSTA MARIO EDUARDO</t>
  </si>
  <si>
    <t>SANCHEZ CANDELARIO GUSTAVO</t>
  </si>
  <si>
    <t>OLMEDO LORETO SERGIO MOISES ANGELO</t>
  </si>
  <si>
    <t>ESTRADA SANDOVAL IVAN</t>
  </si>
  <si>
    <t>MARES ARREDONDO MIGUEL ANGEL</t>
  </si>
  <si>
    <t>GARCIA IÑIGUEZ RAFAEL</t>
  </si>
  <si>
    <t>RENTERIA BELTRAN JUAN CARLOS</t>
  </si>
  <si>
    <t>HUERTA ARREOLA JUAN MIGUEL</t>
  </si>
  <si>
    <t>ROLDAN CASTILLO HECTOR MISAEL</t>
  </si>
  <si>
    <t>PINEDA VELAZQUEZ PASCUAL</t>
  </si>
  <si>
    <t>SANCHEZ MARTINEZ ROBERTO ALEJANDRO</t>
  </si>
  <si>
    <t>LOPEZ RAYMUNDO ROBERTO</t>
  </si>
  <si>
    <t>GARCIA ROMERO JOSE ALFREDO</t>
  </si>
  <si>
    <t>PEREYRA BAUTISTA DAVID RANGEL</t>
  </si>
  <si>
    <t>CASTRO GUIZAR DANIEL HUMBERTO</t>
  </si>
  <si>
    <t>BARAJAS SALDAÑA JUAN</t>
  </si>
  <si>
    <t>MARTINEZ GUTIERREZ EUGENIO</t>
  </si>
  <si>
    <t>OROZCO GOMEZ ROBERTO</t>
  </si>
  <si>
    <t>NUNGARAY BUENROSTRO SALVADOR</t>
  </si>
  <si>
    <t>MONROY ANAYA RODO LEV</t>
  </si>
  <si>
    <t>AYALA MIJARES JUAN JESUS</t>
  </si>
  <si>
    <t>HERNANDEZ AGUILAR LUIS ENRIQUE</t>
  </si>
  <si>
    <t>LOPEZ GODINEZ MIGUEL DE JESUS</t>
  </si>
  <si>
    <t>VALENCIA IBARRA ESLI JAVIER</t>
  </si>
  <si>
    <t>LOPEZ HERNANDEZ JOSE MANUEL</t>
  </si>
  <si>
    <t>VALLE SANCHEZ RAFAEL</t>
  </si>
  <si>
    <t>GARCIA GARCIA JUAN ANTONIO</t>
  </si>
  <si>
    <t>REYES MARTINEZ MIGUEL ANGEL</t>
  </si>
  <si>
    <t>ZARATE HERNANDEZ FRANCISCO JAVIER</t>
  </si>
  <si>
    <t>ALVARADO OLIVERA DANIEL JOEL</t>
  </si>
  <si>
    <t>MELCHOR LOPEZ FRANCIS DAVID</t>
  </si>
  <si>
    <t>GONZALEZ VACA EDGAR ARTURO</t>
  </si>
  <si>
    <t>MOJICA ISLAS LUIS MANUEL</t>
  </si>
  <si>
    <t>DE LOS SANTOS VEGA SALVADOR</t>
  </si>
  <si>
    <t>CRUZ RODRIGUEZ OLGA MARIA</t>
  </si>
  <si>
    <t>RAMIREZ GUTIERREZ JUAN RAMON</t>
  </si>
  <si>
    <t>COSME SANDOVAL PASTOR</t>
  </si>
  <si>
    <t>HORTA QUINTERO FRANCISCO JAVIER</t>
  </si>
  <si>
    <t>MORALES FELICIANO JUAN PABLO</t>
  </si>
  <si>
    <t>CRUZ GUTIERREZ ALFREDO</t>
  </si>
  <si>
    <t>SANTOS GOMEZ ARTURO</t>
  </si>
  <si>
    <t>JIMENEZ QUIROZ JAVIER DE JESUS</t>
  </si>
  <si>
    <t>MORENO ROJAS CAMILO</t>
  </si>
  <si>
    <t>PEREZ RAMIREZ JUAN</t>
  </si>
  <si>
    <t>LOPEZ LEPE JUAN CARLOS</t>
  </si>
  <si>
    <t>HERNANDEZ FLORES OSCAR</t>
  </si>
  <si>
    <t>NUÑEZ CABRERA ERICK NAZARET</t>
  </si>
  <si>
    <t>MARTINEZ MUÑOZ CARLOS</t>
  </si>
  <si>
    <t>GARCIA BECERRA HERIBERTO</t>
  </si>
  <si>
    <t>ZERMEÑO LOPEZ JOSE GUADALUPE</t>
  </si>
  <si>
    <t>PALESTINA VELAZQUEZ EDWIN</t>
  </si>
  <si>
    <t>REYNAGA SANCHEZ MARIO</t>
  </si>
  <si>
    <t>RAMIREZ MEDINA JULIAN</t>
  </si>
  <si>
    <t>ANGULO FLORES RICARDO</t>
  </si>
  <si>
    <t>MALDONADO HUERTA OSWALDO</t>
  </si>
  <si>
    <t>ROMERO SANDOVAL CARLOS ANTONIO</t>
  </si>
  <si>
    <t>BAUTISTA DIAZ VICTORIANO</t>
  </si>
  <si>
    <t>ROBLES MEDINA LEONARDO DE JESUS</t>
  </si>
  <si>
    <t>BAUTISTA CAZARES JAVIER</t>
  </si>
  <si>
    <t>CASTAÑEDA AGUILAR LUIS ANTONIO</t>
  </si>
  <si>
    <t>MARTINEZ PATRICIO ANGEL ULISES</t>
  </si>
  <si>
    <t>VILLANUEVA CARABEZ JOSE SAUL</t>
  </si>
  <si>
    <t>GARCIA LOPEZ JOSE DE JESUS</t>
  </si>
  <si>
    <t>SALMERON CORTES DAVID</t>
  </si>
  <si>
    <t>FLORES ENRIQUEZ JUAN PABLO</t>
  </si>
  <si>
    <t>SANCHEZ DEL CARMEN HERIBERTO</t>
  </si>
  <si>
    <t>RODRIGUEZ GARCIA MONICA ALEJANDRA</t>
  </si>
  <si>
    <t>SAUCEDO ROJAS LEOBARDO EFRAIN</t>
  </si>
  <si>
    <t>ARMENTA GUTIERREZ RICARDO</t>
  </si>
  <si>
    <t>ALENCASTRO GARCIA FELIPE</t>
  </si>
  <si>
    <t>CASTILLO FUENTES MIGUEL</t>
  </si>
  <si>
    <t>CRUZ RAMOS OSCAR EFRAIN</t>
  </si>
  <si>
    <t>ESTRADA ABUNDIS JUAN ANTONIO</t>
  </si>
  <si>
    <t>TORRES CAMPOS VICTOR MANUEL</t>
  </si>
  <si>
    <t>BARAJAS LOPEZ ADOLFO</t>
  </si>
  <si>
    <t>LEDESMA REYES JESUS ARMANDO</t>
  </si>
  <si>
    <t>HERNANDEZ MOLINA LUIS FERNANDO</t>
  </si>
  <si>
    <t>RICO LEYVA JESUS GUADALUPE</t>
  </si>
  <si>
    <t>MORALES ESPINOSA JUAN IGNACIO</t>
  </si>
  <si>
    <t>BARAJAS BECERRA SERGIO ALBERTO</t>
  </si>
  <si>
    <t>MALDONADO MEDINA CESAR ALEXIS</t>
  </si>
  <si>
    <t>GUTIERREZ GALINDO CARLOS DE JESUS</t>
  </si>
  <si>
    <t>MONROY PUENTE GENARO ISAAC</t>
  </si>
  <si>
    <t>LOSADA VALENZUELA SERGIO TULIO</t>
  </si>
  <si>
    <t>YAÑEZ DE LUNA CARLOS</t>
  </si>
  <si>
    <t>MARIN HERRERA ANGEL</t>
  </si>
  <si>
    <t>CASTAÑEDA GOMEZ ALEJANDRO</t>
  </si>
  <si>
    <t>VELAZQUEZ JUAREZ JONATHAN GERARDO</t>
  </si>
  <si>
    <t>VILLEGAS HERNANDEZ JORGE ANGEL</t>
  </si>
  <si>
    <t>CRUZ CERVANTES JORGE ALEJANDRO</t>
  </si>
  <si>
    <t>MARTINEZ AGUIRRE BRAYAN ALEJANDRO</t>
  </si>
  <si>
    <t>CLARO ROSALES JOSE MARIA</t>
  </si>
  <si>
    <t>GOMEZ GONZALEZ OSCAR IVAN</t>
  </si>
  <si>
    <t>RODRIGUEZ ORTIZ JOSE MANUEL</t>
  </si>
  <si>
    <t>RODRIGUEZ LOPEZ ANGEL ALBERTO</t>
  </si>
  <si>
    <t>MARTINEZ VAZQUEZ CESAR ARCADIO</t>
  </si>
  <si>
    <t>RAMIREZ RAMIREZ ADRIAN</t>
  </si>
  <si>
    <t>RAMIREZ LOPEZ JORGE ALBERTO</t>
  </si>
  <si>
    <t>SOLIS GOMEZ JUAN ENRIQUE</t>
  </si>
  <si>
    <t>ZUÑIGA HERNANDEZ OSCAR FRANCISCO</t>
  </si>
  <si>
    <t>ROBLES RECENDIZ RAMIRO</t>
  </si>
  <si>
    <t>LOPEZ RAMOS EDGAR MARTIN</t>
  </si>
  <si>
    <t>RAMIREZ GONZALEZ JOSE DE JESUS</t>
  </si>
  <si>
    <t>ROSALES GUTIERREZ JOSE LUIS</t>
  </si>
  <si>
    <t>DEL TORO NORIEGA ALEJANDRO</t>
  </si>
  <si>
    <t>CONTRERAS CRUZ LUCINO</t>
  </si>
  <si>
    <t>GARCIA RODRIGUEZ GUSTAVO</t>
  </si>
  <si>
    <t>CHAVEZ CADENA ALBERTO</t>
  </si>
  <si>
    <t>FREGOSO ALDANA LUIS FERNANDO</t>
  </si>
  <si>
    <t>GARIBAY GARCIA REYES MARTIN</t>
  </si>
  <si>
    <t>FLORES GARCIA PEDRO</t>
  </si>
  <si>
    <t>DIAZ RAMIREZ JUAN JOSE</t>
  </si>
  <si>
    <t>OCAMPO MEDINA ANGEL ALFREDO</t>
  </si>
  <si>
    <t>MEDRANO HERRERA LUIS AGUSTIN</t>
  </si>
  <si>
    <t>PRECIADO SEGURA JUAN CARLOS</t>
  </si>
  <si>
    <t>FRANCO YAÑEZ JOSE MANUEL</t>
  </si>
  <si>
    <t>LUNA CASTRO ARTURO</t>
  </si>
  <si>
    <t>GONZALEZ GERARDO URIEL</t>
  </si>
  <si>
    <t>SERRANO MACHUCA MARTIN DE JESUS</t>
  </si>
  <si>
    <t>GALLARDO REGALADO EDGAR ALEJANDRO</t>
  </si>
  <si>
    <t>DIAZ BLANQUET ROSA JANNET</t>
  </si>
  <si>
    <t>PROCOPIO MENDOZA JUAN FERNANDO</t>
  </si>
  <si>
    <t>CHAVEZ MORA CESAR ADRIAN</t>
  </si>
  <si>
    <t>ESPARZA OCHOA ARMANDO</t>
  </si>
  <si>
    <t>GUILLEN VEGA GUILLERMO</t>
  </si>
  <si>
    <t>GONZALEZ GARCIA ANGEL SALVADOR</t>
  </si>
  <si>
    <t>VILLALOBOS CURIEL ANDRES ALEJANDRO</t>
  </si>
  <si>
    <t>VILLAVICENCIO PEREZ JORGE LUIS</t>
  </si>
  <si>
    <t>PEDROZA DELGADO JOSE CRUZ</t>
  </si>
  <si>
    <t>SERRANO MACHUCA MARIA ELIZABETH</t>
  </si>
  <si>
    <t>ACEVEDO MARTINEZ JORGE</t>
  </si>
  <si>
    <t>HERNANDEZ CONTRERAS EDUARDO</t>
  </si>
  <si>
    <t>DE LA ROSA PORTUGAL ALBERTO</t>
  </si>
  <si>
    <t>RODRIGUEZ ACOSTA RODRIGO MARGARITO</t>
  </si>
  <si>
    <t>LEDON QUINTANA MARTE DAMIAN</t>
  </si>
  <si>
    <t>AGUIÑAGA GUERRERO JOSE DAMIAN</t>
  </si>
  <si>
    <t>DE LA CRUZ PLASCENCIA ARMANDO</t>
  </si>
  <si>
    <t>SANCHEZ PONCE JOSE ALBERTO</t>
  </si>
  <si>
    <t>DIAZ DE LA VEGA HERNANDEZ VICTOR GERARDO</t>
  </si>
  <si>
    <t>FLORES CERVANTES JOSE CHRISTIAN</t>
  </si>
  <si>
    <t>SORIANO YAÑEZ MARIO ERNESTO</t>
  </si>
  <si>
    <t>PEREZ MARQUEZ MANUEL</t>
  </si>
  <si>
    <t>CHAVEZ RUIZ ARMANDO</t>
  </si>
  <si>
    <t>MARTINEZ SANDOVAL NOE GUADALUPE</t>
  </si>
  <si>
    <t>SANCHEZ SANTIAGO IRAD BLASAMIR</t>
  </si>
  <si>
    <t>GARCIA RAZO VICTOR MANUEL</t>
  </si>
  <si>
    <t>GONZALEZ CERVANTES RICARDO</t>
  </si>
  <si>
    <t>MANZANO CORDOVA SERGIO</t>
  </si>
  <si>
    <t>HERRERA GOMEZ CARLOS GILBERTO</t>
  </si>
  <si>
    <t>GARCIA FIERROS RENE OSWALDO</t>
  </si>
  <si>
    <t>MAGDALENO RAMIREZ EDGAR ANTONIO</t>
  </si>
  <si>
    <t>LOZADA MENDEZ MARIO ALBERTO</t>
  </si>
  <si>
    <t>BECERRIL MEDINA ERICK FERNANDO</t>
  </si>
  <si>
    <t>MULGADO MEDINA FIDEL</t>
  </si>
  <si>
    <t>GARCIA SALCEDO FRANCISCO JAVIER</t>
  </si>
  <si>
    <t>MENDOZA GARCIA LUIS ALBERTO</t>
  </si>
  <si>
    <t>NUÑEZ QUIJAS RICARDO</t>
  </si>
  <si>
    <t>VELAZCO RUIZ JOSE CARLOS</t>
  </si>
  <si>
    <t>SANTIAGO BONILLA ELIAZER</t>
  </si>
  <si>
    <t>ZENDEJAS SANCHEZ BRAYAN ALEJANDRO</t>
  </si>
  <si>
    <t>OLIVARES NAVARRO HECTOR AXEL</t>
  </si>
  <si>
    <t>GUTIERREZ HERNANDEZ ALDO JESUS</t>
  </si>
  <si>
    <t>MENDOZA CASTRO DULCE BELEM</t>
  </si>
  <si>
    <t>OCEGUEDA CHAVEZ GUADALUPE ALEJANDRO</t>
  </si>
  <si>
    <t>SALAMANCA SALAS JOSE VICTORIANO</t>
  </si>
  <si>
    <t>HARO CISNEROS EDGAR OMAR</t>
  </si>
  <si>
    <t>QUINTERO GONZALEZ JOSE MANUEL</t>
  </si>
  <si>
    <t>ALVARADO RAMOS JAVIER</t>
  </si>
  <si>
    <t>MUÑOZ CASTILLO RAMIRO</t>
  </si>
  <si>
    <t>HERNANDEZ FLORES JOSE MANUEL</t>
  </si>
  <si>
    <t>MARQUEZ GALLARDO GERARDO</t>
  </si>
  <si>
    <t>CAMARILLO SORIANO JULIO CESAR</t>
  </si>
  <si>
    <t>ZUÑIGA CARRILLO CHRISTIAN ALEJANDRO</t>
  </si>
  <si>
    <t>DELGADILLO SANCHEZ EDSON FABIAN</t>
  </si>
  <si>
    <t>HERNANDEZ GALLEGOS HECTOR ABRAHAM</t>
  </si>
  <si>
    <t>GARCIA AGUIÑAGA RAFAEL</t>
  </si>
  <si>
    <t>SEGOVIA AVILA RAUL</t>
  </si>
  <si>
    <t>ORTUÑO TORRES ABRAHAM</t>
  </si>
  <si>
    <t>TOVAR ARAIZA INES</t>
  </si>
  <si>
    <t>VALENTE IÑIGUEZ JOSE ARMANDO</t>
  </si>
  <si>
    <t>MENDOZA GARCIA JOSE ANTONIO</t>
  </si>
  <si>
    <t>REA PINEDO JUAN JOSE</t>
  </si>
  <si>
    <t>SANCHEZ PEREZ CARLOS FORTINO</t>
  </si>
  <si>
    <t>ARAMBUL ALVAREZ JOB AZAEL</t>
  </si>
  <si>
    <t>ZERMEÑO GARCIA JOSE ALFREDO</t>
  </si>
  <si>
    <t>BECERRA SAAVEDRA ALFONSO</t>
  </si>
  <si>
    <t>SAAVEDRA BARRAGAN JUAN LUIS</t>
  </si>
  <si>
    <t>CUENCA PERAL BONFILIO</t>
  </si>
  <si>
    <t>MARTINEZ BERNAL CESAR FERNANDO</t>
  </si>
  <si>
    <t>VAZQUEZ DE LUCIO MANUEL</t>
  </si>
  <si>
    <t>VILLARRUEL RAMIREZ GILBERTO</t>
  </si>
  <si>
    <t>LIZALDE VERDE FERNANDO BETZABE</t>
  </si>
  <si>
    <t>PADILLA MORENO RENE</t>
  </si>
  <si>
    <t>VELAZCO FLORES JORGE IVAN</t>
  </si>
  <si>
    <t>LIERA LOPEZ FRANCISCO JAIR</t>
  </si>
  <si>
    <t>SANCHEZ BUSTAMANTE JUAN DIEGO</t>
  </si>
  <si>
    <t>AMPARO RAMOS JOSE MANUEL</t>
  </si>
  <si>
    <t>GONZALEZ MEDINA PEDRO IVAN</t>
  </si>
  <si>
    <t>BARRON MONTES PEDRO AARON</t>
  </si>
  <si>
    <t>ALONSO GARCIA FRANCISCO ANTONIO</t>
  </si>
  <si>
    <t>HERNANDEZ LOPEZ EDUARDO FABIAN</t>
  </si>
  <si>
    <t>MENDOZA ESCOBEDO BRIAN JOSE</t>
  </si>
  <si>
    <t>PERALTA MANRIQUE MAURICIO</t>
  </si>
  <si>
    <t>LOPEZ ROSALES ALEJANDRO</t>
  </si>
  <si>
    <t>LIERA GASCA EMMANUEL</t>
  </si>
  <si>
    <t>GARCIA VARGAS JORGE ARMANDO</t>
  </si>
  <si>
    <t>JARAMILLO MARTINEZ JOSE GUADALUPE</t>
  </si>
  <si>
    <t>SOLIS HERNANDEZ IVETH PAOLA</t>
  </si>
  <si>
    <t>BECERRA ASCENCIO MARCO ANTONIO</t>
  </si>
  <si>
    <t>SOTO GOMEZ ROBERTO CARLOS</t>
  </si>
  <si>
    <t>RAMIREZ CASTILLO DIEGO ABEL</t>
  </si>
  <si>
    <t>SALAZAR LOPEZ JOVANNY</t>
  </si>
  <si>
    <t>GUTIERREZ ROSALES ABNER ABRAHAM</t>
  </si>
  <si>
    <t>MUÑOZ PLASCENCIA DAVID RAUDEL</t>
  </si>
  <si>
    <t>ZARAGOZA CONTRERAS JESUS ALEJANDRO</t>
  </si>
  <si>
    <t>CEDANO RODRIGUEZ MIGUEL</t>
  </si>
  <si>
    <t>PEREZ GARCIA CARLOS ALBERTO</t>
  </si>
  <si>
    <t>JIMENEZ CELEDON ROBERTO DE JESUS</t>
  </si>
  <si>
    <t>TEJEDA TAPIA MARCOS SEBASTIAN</t>
  </si>
  <si>
    <t>ARIAS PATIÑO JOSE MANUEL</t>
  </si>
  <si>
    <t>MENDOZA OSEGUERA CHRISTOPHER</t>
  </si>
  <si>
    <t>ZUNO DAUTO JORGE DANIEL</t>
  </si>
  <si>
    <t>CARDONA PRECIADO JOSE MANUEL</t>
  </si>
  <si>
    <t>FLORES RUIZ CLEMENTE</t>
  </si>
  <si>
    <t>PONCE REYNOSO GILBERTO</t>
  </si>
  <si>
    <t>GONZALEZ MARTINEZ OMAR</t>
  </si>
  <si>
    <t>MEJIA IBARRA IVAN ALEJANDRO</t>
  </si>
  <si>
    <t>CERPA ROSAS RICARDO</t>
  </si>
  <si>
    <t>ROSALES AVILA MAXIMILIANO</t>
  </si>
  <si>
    <t>NUÑEZ RUIZ ANTONIO</t>
  </si>
  <si>
    <t>VILLEGAS HUIZAR RAMIRO</t>
  </si>
  <si>
    <t>RUVALCABA ESTRADA GUSTAVO</t>
  </si>
  <si>
    <t>SANTANA HERNANDEZ SANTIAGO DE JESUS</t>
  </si>
  <si>
    <t>RICO PONCE FRANCISCO MANUEL</t>
  </si>
  <si>
    <t>CARRILLO CALDERA HECTOR GABRIEL</t>
  </si>
  <si>
    <t>PEREZ REYES ANDRES</t>
  </si>
  <si>
    <t>VALLADOLID MARTINEZ LUIS ALEJANDRO</t>
  </si>
  <si>
    <t>MASCORRO RUIZ FELIPE DE JESUS</t>
  </si>
  <si>
    <t>CASTILLO BARRIOS PEDRO</t>
  </si>
  <si>
    <t>CUEVAS GATICA MARGARITO</t>
  </si>
  <si>
    <t>FLORES PALACIOS MOISES</t>
  </si>
  <si>
    <t>GARCIA ROSALES JUAN CARLOS</t>
  </si>
  <si>
    <t>VAZQUEZ LARA FRANCISCO JAVIER</t>
  </si>
  <si>
    <t>OROZCO GUERRERO GERARDO DANIEL</t>
  </si>
  <si>
    <t>RAMIREZ CASTELLANOS JORGE ARMANDO</t>
  </si>
  <si>
    <t>HERNANDEZ GARCIA VICTOR MANUEL</t>
  </si>
  <si>
    <t>MARTINEZ ESTRADA VICTOR</t>
  </si>
  <si>
    <t>TEJEDA MARTINEZ JOSE MANUEL</t>
  </si>
  <si>
    <t>GUERRA LOPEZ RODOLFO</t>
  </si>
  <si>
    <t>FLORES CRUZ ALONSO</t>
  </si>
  <si>
    <t>RODRIGUEZ MARTINEZ OMAR ROGELIO</t>
  </si>
  <si>
    <t>VILLALOBOS GONZALEZ JONATHAN DAVID</t>
  </si>
  <si>
    <t>VELAZQUEZ MENDEZ CESAR ARMANDO</t>
  </si>
  <si>
    <t>PASCUAL LANDEROS DANIEL ALFONSO</t>
  </si>
  <si>
    <t>JUAREZ RUIZ ISRAEL</t>
  </si>
  <si>
    <t>OROPEZA GARCIA FRANCISCO JAVIER</t>
  </si>
  <si>
    <t>SANCHEZ BRISEÑO MARCOS ENRIQUE</t>
  </si>
  <si>
    <t>TEPOSTE JIMENEZ MARCOS GUADALUPE</t>
  </si>
  <si>
    <t>JUAREZ FAVELA JULIO CESAR</t>
  </si>
  <si>
    <t>ORTIZ VAZQUEZ JESUS</t>
  </si>
  <si>
    <t>VILLARREAL VALENZUELA CRISTOPHER</t>
  </si>
  <si>
    <t>LOMELI VAZQUEZ JAVIER</t>
  </si>
  <si>
    <t>CARRANZA JACOBO JUAN PABLO</t>
  </si>
  <si>
    <t>PEÑA PATIÑO URBELIN</t>
  </si>
  <si>
    <t>MELCHOR DE JESUS LUIS RAFAEL</t>
  </si>
  <si>
    <t>PANTOJA PERALES ALAN KERIM</t>
  </si>
  <si>
    <t>VELAZQUEZ ENCISO JORGE ARMANDO</t>
  </si>
  <si>
    <t>NAVARRO LEMUS LUIS ANGEL</t>
  </si>
  <si>
    <t>GUERRERO MEDRANO DANIEL</t>
  </si>
  <si>
    <t>VARGAS ORTEGA CRISTIAN MARTIN</t>
  </si>
  <si>
    <t>RAMIREZ GONZALEZ CYNTHIA PATRICIA</t>
  </si>
  <si>
    <t>SANTOS HINOJOSA MIGUEL ANGEL</t>
  </si>
  <si>
    <t>ALVAREZ AGUILAR DIEGO ARTURO</t>
  </si>
  <si>
    <t>GUTIERREZ SEGURA JUAN ARMANDO</t>
  </si>
  <si>
    <t>CASTAÑEDA VALENZUELA JUAN DANIEL</t>
  </si>
  <si>
    <t>VILLALOBOS MARTINEZ JUAN JOSE MANUEL</t>
  </si>
  <si>
    <t>HUIZAR DELGADILLO GILBERTO</t>
  </si>
  <si>
    <t>GARCIA MOTA FIDEL</t>
  </si>
  <si>
    <t>RAMIREZ DESALES DABE REYNEL</t>
  </si>
  <si>
    <t>SANCHEZ BUENROSTRO BRYAN ALEJANDRO</t>
  </si>
  <si>
    <t>MONCADA CALDERON FRANCISCO</t>
  </si>
  <si>
    <t>VAZQUEZ FLORES DANIEL</t>
  </si>
  <si>
    <t>ROMO TAMAYO ROBERTO CANDELARIO</t>
  </si>
  <si>
    <t>MARIN GARCIA OMAR SAMUEL</t>
  </si>
  <si>
    <t>DOMINGUEZ PACHECO SERGIO JESUS</t>
  </si>
  <si>
    <t>BRISEÑO DUEÑAS MARTIN DE JESUS</t>
  </si>
  <si>
    <t>MENDOZA OLIVA JESUS DE LOS REYES</t>
  </si>
  <si>
    <t>TORRES VARGAS LAURA PATRICIA</t>
  </si>
  <si>
    <t>MURILLO BERBER RAMON</t>
  </si>
  <si>
    <t>FISCAL FERNANDO</t>
  </si>
  <si>
    <t>CHAVEZ GOMEZ ABRAHAM</t>
  </si>
  <si>
    <t>LARA SANDOVAL JOSE MIGUEL</t>
  </si>
  <si>
    <t>MENDOZA DE LUCIO NICOLAS JOSE</t>
  </si>
  <si>
    <t>GARDUÑO LOPEZ MANUEL ELIGIO</t>
  </si>
  <si>
    <t>LANGRUEN FLORES VICTOR MANUEL</t>
  </si>
  <si>
    <t>RODRIGUEZ HERNANDEZ FRANCISCO JAVIER</t>
  </si>
  <si>
    <t>BARRERA MORENO JUAN FERNANDO</t>
  </si>
  <si>
    <t>DIAZ GONZALEZ LEONARDO RAFAEL</t>
  </si>
  <si>
    <t>TIRADO GUZMAN DARIO DAMIAN</t>
  </si>
  <si>
    <t>TINOCO BARRERA LUIS ENRIQUE</t>
  </si>
  <si>
    <t>RUVALCABA DISTANCIA NETZAHUALCOYOTL</t>
  </si>
  <si>
    <t>ENCISO GALVAN FRANCISCO JAVIER</t>
  </si>
  <si>
    <t>ZACARIAS SANCHEZ HUGO ANTONIO</t>
  </si>
  <si>
    <t>NUÑEZ ROSALES REYNALDO</t>
  </si>
  <si>
    <t>FREGOSO EVANGELISTA MOISES</t>
  </si>
  <si>
    <t>BRISEÑO TOVAR ORLANDO FABIAN</t>
  </si>
  <si>
    <t>LOPEZ LOPEZ GUSTAVO JAVIER</t>
  </si>
  <si>
    <t>CID CANCHOLA MARIO ALBERTO</t>
  </si>
  <si>
    <t>DEL TORO MARTINEZ HECTOR JOSE</t>
  </si>
  <si>
    <t>EROSA URZUA HEBER HUMBERTO</t>
  </si>
  <si>
    <t>TAPIA UBALDO DANIEL</t>
  </si>
  <si>
    <t>MARTINEZ DE LA ROSA LUIS ALONSO</t>
  </si>
  <si>
    <t>PRECIADO MARTINEZ JOSE LUIS</t>
  </si>
  <si>
    <t>INZUNZA VAZQUEZ RUBEN</t>
  </si>
  <si>
    <t>GONZALEZ GARCIA LUIS ALBERTO</t>
  </si>
  <si>
    <t>MENDOZA AMEZCUA CARLOS ALBERTO</t>
  </si>
  <si>
    <t>PEREZ SANCHEZ FRANCISCO JAVIER</t>
  </si>
  <si>
    <t>PALMA HORTA IVAN PAOLO</t>
  </si>
  <si>
    <t>RODRIGUEZ RENTERIA BRAYAN IVAN</t>
  </si>
  <si>
    <t>NORIEGA CASILLAS MAURO</t>
  </si>
  <si>
    <t>JUAREZ AMBRIZ EDGAR</t>
  </si>
  <si>
    <t>RAMIREZ MIRAMONTES MARTIN ALEJANDRO</t>
  </si>
  <si>
    <t>FONSECA LOPEZ RUBEN ALFONSO</t>
  </si>
  <si>
    <t>GUTIERREZ SANTOS CARLOS OMAR</t>
  </si>
  <si>
    <t>MEDRANO DONATO JOSE MANUEL ALEXIS</t>
  </si>
  <si>
    <t>RODRIGUEZ RAMOS MARCOS IVAN</t>
  </si>
  <si>
    <t>ESTRADA ESTRADA VICTOR MANUEL</t>
  </si>
  <si>
    <t>REOS GONZALEZ ROBERTO</t>
  </si>
  <si>
    <t>OCHOA HERRERA CARLOS GEOVANNI</t>
  </si>
  <si>
    <t>GARCIA GAYTAN ALDO LEONARDO</t>
  </si>
  <si>
    <t>MORALES LARIOS LUIS ELIZARDO</t>
  </si>
  <si>
    <t>GONZALEZ ROMERO NESTOR IVAN</t>
  </si>
  <si>
    <t>2002 AL 2015 4.30</t>
  </si>
  <si>
    <t>QUEJAS</t>
  </si>
  <si>
    <t>PUNTUALIDAD</t>
  </si>
  <si>
    <t>SCORE</t>
  </si>
  <si>
    <t>LOGUEO</t>
  </si>
  <si>
    <t xml:space="preserve">camion </t>
  </si>
  <si>
    <t xml:space="preserve">CON/SIN </t>
  </si>
  <si>
    <t xml:space="preserve">OK/NO </t>
  </si>
  <si>
    <t>LOGUEO/NO LOGUEO</t>
  </si>
  <si>
    <t xml:space="preserve">TOTAL FORMULADO OBTENIDO </t>
  </si>
  <si>
    <t xml:space="preserve">TOTAL  FORMULADO </t>
  </si>
  <si>
    <t>CLAVE</t>
  </si>
  <si>
    <t xml:space="preserve">NOMBRE </t>
  </si>
  <si>
    <t xml:space="preserve">F.INGRESO </t>
  </si>
  <si>
    <t>UNIDAD</t>
  </si>
  <si>
    <t>SCORE OBTENIDO</t>
  </si>
  <si>
    <t>BONO SCORE</t>
  </si>
  <si>
    <t>BONO LOGUEO</t>
  </si>
  <si>
    <t>BONO SINIESTROS</t>
  </si>
  <si>
    <t>BONO QUEJAS</t>
  </si>
  <si>
    <t>TOTAL BONO</t>
  </si>
  <si>
    <t>DETALLE(FECHA DE SINIESTRO)</t>
  </si>
  <si>
    <t>OBSERVACIONES</t>
  </si>
  <si>
    <t xml:space="preserve">TOTAL B.DESEMPEÑO </t>
  </si>
  <si>
    <t>2019-01-11</t>
  </si>
  <si>
    <t>SIN SINIESTRO</t>
  </si>
  <si>
    <t>SIN QUEJA</t>
  </si>
  <si>
    <t>OK</t>
  </si>
  <si>
    <t>2017-05-01</t>
  </si>
  <si>
    <t>NO</t>
  </si>
  <si>
    <t>2021-07-08</t>
  </si>
  <si>
    <t>NO LOGUEO</t>
  </si>
  <si>
    <t>2022-09-02</t>
  </si>
  <si>
    <t>2021-11-17</t>
  </si>
  <si>
    <t>2025-10-10</t>
  </si>
  <si>
    <t>2023-05-12</t>
  </si>
  <si>
    <t>2024-08-05</t>
  </si>
  <si>
    <t>2025-03-07</t>
  </si>
  <si>
    <t>2025-06-06</t>
  </si>
  <si>
    <t>2025-05-09</t>
  </si>
  <si>
    <t>2025-12-31</t>
  </si>
  <si>
    <t>2017-05-24</t>
  </si>
  <si>
    <t>2018-11-29</t>
  </si>
  <si>
    <t>2017-07-07</t>
  </si>
  <si>
    <t>2017-08-15</t>
  </si>
  <si>
    <t>2017-11-06</t>
  </si>
  <si>
    <t>2017-11-13</t>
  </si>
  <si>
    <t>2026-06-20</t>
  </si>
  <si>
    <t>2017-12-20</t>
  </si>
  <si>
    <t>2017-12-21</t>
  </si>
  <si>
    <t>2023-06-01</t>
  </si>
  <si>
    <t>2018-02-02</t>
  </si>
  <si>
    <t>2018-02-27</t>
  </si>
  <si>
    <t>2018-04-09</t>
  </si>
  <si>
    <t>2026-06-13</t>
  </si>
  <si>
    <t>2018-06-29</t>
  </si>
  <si>
    <t>2026-04-16</t>
  </si>
  <si>
    <t>2025-08-23</t>
  </si>
  <si>
    <t>2018-08-23</t>
  </si>
  <si>
    <t>2025-10-31</t>
  </si>
  <si>
    <t>2022-11-16</t>
  </si>
  <si>
    <t>2023-03-09</t>
  </si>
  <si>
    <t>2019-03-06</t>
  </si>
  <si>
    <t>2025-03-14</t>
  </si>
  <si>
    <t>2024-11-12</t>
  </si>
  <si>
    <t>2019-04-01</t>
  </si>
  <si>
    <t>2025-09-13</t>
  </si>
  <si>
    <t>2019-04-15</t>
  </si>
  <si>
    <t>2023-04-01</t>
  </si>
  <si>
    <t>2023-03-24</t>
  </si>
  <si>
    <t>2019-09-06</t>
  </si>
  <si>
    <t>2024-06-12</t>
  </si>
  <si>
    <t>2020-01-22</t>
  </si>
  <si>
    <t>2020-01-30</t>
  </si>
  <si>
    <t>2025-11-22</t>
  </si>
  <si>
    <t>2020-04-07</t>
  </si>
  <si>
    <t>2020-05-19</t>
  </si>
  <si>
    <t>2020-07-24</t>
  </si>
  <si>
    <t>2020-09-21</t>
  </si>
  <si>
    <t>2020-09-28</t>
  </si>
  <si>
    <t>2020-11-01</t>
  </si>
  <si>
    <t>2020-11-20</t>
  </si>
  <si>
    <t>2023-03-17</t>
  </si>
  <si>
    <t>2020-12-07</t>
  </si>
  <si>
    <t>2020-12-08</t>
  </si>
  <si>
    <t>2020-12-23</t>
  </si>
  <si>
    <t>2025-01-16</t>
  </si>
  <si>
    <t>2021-01-28</t>
  </si>
  <si>
    <t>2021-02-18</t>
  </si>
  <si>
    <t>2021-03-04</t>
  </si>
  <si>
    <t>2021-04-16</t>
  </si>
  <si>
    <t>2021-04-22</t>
  </si>
  <si>
    <t>2021-05-12</t>
  </si>
  <si>
    <t>2021-06-10</t>
  </si>
  <si>
    <t>2021-06-11</t>
  </si>
  <si>
    <t>2021-07-02</t>
  </si>
  <si>
    <t>2021-07-09</t>
  </si>
  <si>
    <t>2026-04-30</t>
  </si>
  <si>
    <t>2021-07-21</t>
  </si>
  <si>
    <t>2021-07-28</t>
  </si>
  <si>
    <t>2021-08-06</t>
  </si>
  <si>
    <t>2021-08-13</t>
  </si>
  <si>
    <t>2023-11-14</t>
  </si>
  <si>
    <t>2024-06-03</t>
  </si>
  <si>
    <t>2021-08-20</t>
  </si>
  <si>
    <t>2024-10-25</t>
  </si>
  <si>
    <t>2021-10-06</t>
  </si>
  <si>
    <t>2021-10-28</t>
  </si>
  <si>
    <t>2021-11-08</t>
  </si>
  <si>
    <t>2021-12-21</t>
  </si>
  <si>
    <t>2022-01-04</t>
  </si>
  <si>
    <t>2022-01-10</t>
  </si>
  <si>
    <t>2022-01-12</t>
  </si>
  <si>
    <t>2026-01-09</t>
  </si>
  <si>
    <t>2025-02-22</t>
  </si>
  <si>
    <t>2022-02-09</t>
  </si>
  <si>
    <t>2022-02-11</t>
  </si>
  <si>
    <t>2022-02-16</t>
  </si>
  <si>
    <t>2022-02-23</t>
  </si>
  <si>
    <t>2022-02-25</t>
  </si>
  <si>
    <t>2022-03-09</t>
  </si>
  <si>
    <t>2022-03-10</t>
  </si>
  <si>
    <t>2022-03-25</t>
  </si>
  <si>
    <t>2024-07-11</t>
  </si>
  <si>
    <t>2022-04-25</t>
  </si>
  <si>
    <t>2024-03-29</t>
  </si>
  <si>
    <t>2022-06-10</t>
  </si>
  <si>
    <t>2026-04-25</t>
  </si>
  <si>
    <t>2022-06-17</t>
  </si>
  <si>
    <t>2022-07-04</t>
  </si>
  <si>
    <t>2026-03-07</t>
  </si>
  <si>
    <t>2024-11-15</t>
  </si>
  <si>
    <t>2022-07-15</t>
  </si>
  <si>
    <t>2025-10-30</t>
  </si>
  <si>
    <t>2025-06-14</t>
  </si>
  <si>
    <t>2025-10-01</t>
  </si>
  <si>
    <t>2022-08-12</t>
  </si>
  <si>
    <t>2022-09-09</t>
  </si>
  <si>
    <t>2022-09-30</t>
  </si>
  <si>
    <t>2022-10-14</t>
  </si>
  <si>
    <t>2022-11-18</t>
  </si>
  <si>
    <t>2022-12-05</t>
  </si>
  <si>
    <t>2025-07-18</t>
  </si>
  <si>
    <t>2022-12-16</t>
  </si>
  <si>
    <t>2023-01-20</t>
  </si>
  <si>
    <t>2025-05-10</t>
  </si>
  <si>
    <t>2023-02-03</t>
  </si>
  <si>
    <t>2025-04-26</t>
  </si>
  <si>
    <t>2024-12-20</t>
  </si>
  <si>
    <t>2025-01-31</t>
  </si>
  <si>
    <t>2023-03-27</t>
  </si>
  <si>
    <t>2023-03-30</t>
  </si>
  <si>
    <t>2025-07-11</t>
  </si>
  <si>
    <t>2025-12-20</t>
  </si>
  <si>
    <t>2026-05-16</t>
  </si>
  <si>
    <t>2023-05-23</t>
  </si>
  <si>
    <t>2025-04-05</t>
  </si>
  <si>
    <t>2023-06-02</t>
  </si>
  <si>
    <t>2025-02-20</t>
  </si>
  <si>
    <t>2023-06-08</t>
  </si>
  <si>
    <t>2023-06-21</t>
  </si>
  <si>
    <t>2025-01-21</t>
  </si>
  <si>
    <t>2023-06-22</t>
  </si>
  <si>
    <t>2023-06-26</t>
  </si>
  <si>
    <t>2026-02-07</t>
  </si>
  <si>
    <t>2023-07-28</t>
  </si>
  <si>
    <t>2023-08-03</t>
  </si>
  <si>
    <t>2025-08-30</t>
  </si>
  <si>
    <t>2023-08-29</t>
  </si>
  <si>
    <t>2023-09-22</t>
  </si>
  <si>
    <t>2023-09-29</t>
  </si>
  <si>
    <t>2025-12-06</t>
  </si>
  <si>
    <t>2023-11-03</t>
  </si>
  <si>
    <t>2023-11-17</t>
  </si>
  <si>
    <t>2023-12-13</t>
  </si>
  <si>
    <t>2023-12-19</t>
  </si>
  <si>
    <t>2023-12-26</t>
  </si>
  <si>
    <t>2024-02-09</t>
  </si>
  <si>
    <t>2024-02-23</t>
  </si>
  <si>
    <t>2024-02-29</t>
  </si>
  <si>
    <t>2024-03-13</t>
  </si>
  <si>
    <t>2024-03-22</t>
  </si>
  <si>
    <t>2024-04-02</t>
  </si>
  <si>
    <t>2024-04-12</t>
  </si>
  <si>
    <t>2024-04-19</t>
  </si>
  <si>
    <t>2024-04-26</t>
  </si>
  <si>
    <t>2025-11-16</t>
  </si>
  <si>
    <t>2024-05-03</t>
  </si>
  <si>
    <t>CON QUEJA</t>
  </si>
  <si>
    <t>2024-05-09</t>
  </si>
  <si>
    <t>2024-05-10</t>
  </si>
  <si>
    <t>2024-05-17</t>
  </si>
  <si>
    <t>2026-04-11</t>
  </si>
  <si>
    <t>2024-05-31</t>
  </si>
  <si>
    <t>2024-06-04</t>
  </si>
  <si>
    <t>2024-06-10</t>
  </si>
  <si>
    <t>2024-06-20</t>
  </si>
  <si>
    <t>2024-06-28</t>
  </si>
  <si>
    <t>2024-07-04</t>
  </si>
  <si>
    <t>2026-04-18</t>
  </si>
  <si>
    <t>2024-07-05</t>
  </si>
  <si>
    <t>2025-08-22</t>
  </si>
  <si>
    <t>2024-07-19</t>
  </si>
  <si>
    <t>2025-05-24</t>
  </si>
  <si>
    <t>2024-08-02</t>
  </si>
  <si>
    <t>2024-08-09</t>
  </si>
  <si>
    <t>2026-01-07</t>
  </si>
  <si>
    <t>2025-04-16</t>
  </si>
  <si>
    <t>2025-05-02</t>
  </si>
  <si>
    <t>2024-08-30</t>
  </si>
  <si>
    <t>2024-09-06</t>
  </si>
  <si>
    <t>JEUDY X WANDY</t>
  </si>
  <si>
    <t>2024-09-13</t>
  </si>
  <si>
    <t>2025-10-04</t>
  </si>
  <si>
    <t>2024-10-02</t>
  </si>
  <si>
    <t>2024-10-07</t>
  </si>
  <si>
    <t>2024-11-04</t>
  </si>
  <si>
    <t>2024-11-09</t>
  </si>
  <si>
    <t>2026-02-14</t>
  </si>
  <si>
    <t>2024-11-20</t>
  </si>
  <si>
    <t>2024-11-23</t>
  </si>
  <si>
    <t>2025-04-15</t>
  </si>
  <si>
    <t>2024-12-07</t>
  </si>
  <si>
    <t>2024-12-11</t>
  </si>
  <si>
    <t>2024-12-13</t>
  </si>
  <si>
    <t>2026-03-31</t>
  </si>
  <si>
    <t>2025-06-27</t>
  </si>
  <si>
    <t>2025-06-20</t>
  </si>
  <si>
    <t>2024-12-26</t>
  </si>
  <si>
    <t>2025-01-04</t>
  </si>
  <si>
    <t>2025-01-11</t>
  </si>
  <si>
    <t>2025-01-17</t>
  </si>
  <si>
    <t>2025-01-23</t>
  </si>
  <si>
    <t>2025-12-16</t>
  </si>
  <si>
    <t>2025-01-24</t>
  </si>
  <si>
    <t>2026-04-28</t>
  </si>
  <si>
    <t>2025-02-01</t>
  </si>
  <si>
    <t>2026-03-10</t>
  </si>
  <si>
    <t>2025-02-03</t>
  </si>
  <si>
    <t>2025-02-07</t>
  </si>
  <si>
    <t>2025-02-14</t>
  </si>
  <si>
    <t>2025-02-18</t>
  </si>
  <si>
    <t>2025-02-21</t>
  </si>
  <si>
    <t>2025-02-26</t>
  </si>
  <si>
    <t>2025-03-01</t>
  </si>
  <si>
    <t>2025-03-08</t>
  </si>
  <si>
    <t>2026-01-12</t>
  </si>
  <si>
    <t>2025-03-15</t>
  </si>
  <si>
    <t>2025-03-21</t>
  </si>
  <si>
    <t>2025-03-22</t>
  </si>
  <si>
    <t>2025-03-29</t>
  </si>
  <si>
    <t>2025-04-03</t>
  </si>
  <si>
    <t>2025-04-12</t>
  </si>
  <si>
    <t>2025-04-17</t>
  </si>
  <si>
    <t>2025-04-24</t>
  </si>
  <si>
    <t>2025-05-03</t>
  </si>
  <si>
    <t>2025-05-16</t>
  </si>
  <si>
    <t>2025-05-30</t>
  </si>
  <si>
    <t>2025-05-31</t>
  </si>
  <si>
    <t>2025-06-05</t>
  </si>
  <si>
    <t>2026-05-28</t>
  </si>
  <si>
    <t>2025-06-07</t>
  </si>
  <si>
    <t>2025-06-21</t>
  </si>
  <si>
    <t>2025-06-26</t>
  </si>
  <si>
    <t>2025-06-28</t>
  </si>
  <si>
    <t>2025-07-05</t>
  </si>
  <si>
    <t>2025-07-12</t>
  </si>
  <si>
    <t>2025-07-19</t>
  </si>
  <si>
    <t>2025-07-26</t>
  </si>
  <si>
    <t>2025-08-01</t>
  </si>
  <si>
    <t>2025-08-02</t>
  </si>
  <si>
    <t>2025-08-15</t>
  </si>
  <si>
    <t>2025-08-20</t>
  </si>
  <si>
    <t>2025-09-02</t>
  </si>
  <si>
    <t>2025-09-05</t>
  </si>
  <si>
    <t>2025-10-19</t>
  </si>
  <si>
    <t>2025-09-20</t>
  </si>
  <si>
    <t>2025-09-27</t>
  </si>
  <si>
    <t>2025-10-03</t>
  </si>
  <si>
    <t>2025-10-14</t>
  </si>
  <si>
    <t>2025-10-18</t>
  </si>
  <si>
    <t>2025-10-26</t>
  </si>
  <si>
    <t>2025-11-07</t>
  </si>
  <si>
    <t>2025-11-08</t>
  </si>
  <si>
    <t>2025-11-13</t>
  </si>
  <si>
    <t>2025-11-14</t>
  </si>
  <si>
    <t>2025-11-15</t>
  </si>
  <si>
    <t>2025-11-29</t>
  </si>
  <si>
    <t>2025-12-05</t>
  </si>
  <si>
    <t>2025-12-10</t>
  </si>
  <si>
    <t>2025-12-11</t>
  </si>
  <si>
    <t>2025-12-13</t>
  </si>
  <si>
    <t>2025-12-23</t>
  </si>
  <si>
    <t>2025-12-30</t>
  </si>
  <si>
    <t>2026-01-03</t>
  </si>
  <si>
    <t>2026-01-10</t>
  </si>
  <si>
    <t>2026-01-14</t>
  </si>
  <si>
    <t>2026-01-17</t>
  </si>
  <si>
    <t>2026-01-22</t>
  </si>
  <si>
    <t>2026-01-23</t>
  </si>
  <si>
    <t>2026-01-24</t>
  </si>
  <si>
    <t>2026-01-27</t>
  </si>
  <si>
    <t>2026-01-29</t>
  </si>
  <si>
    <t>2026-01-30</t>
  </si>
  <si>
    <t>2026-01-31</t>
  </si>
  <si>
    <t>2026-02-05</t>
  </si>
  <si>
    <t>2026-02-06</t>
  </si>
  <si>
    <t>2026-02-11</t>
  </si>
  <si>
    <t>2026-02-17</t>
  </si>
  <si>
    <t>2026-02-18</t>
  </si>
  <si>
    <t>2026-02-19</t>
  </si>
  <si>
    <t>2026-02-21</t>
  </si>
  <si>
    <t>2026-02-26</t>
  </si>
  <si>
    <t>2026-02-27</t>
  </si>
  <si>
    <t>2026-02-28</t>
  </si>
  <si>
    <t>2026-03-03</t>
  </si>
  <si>
    <t>2026-03-05</t>
  </si>
  <si>
    <t>2026-03-11</t>
  </si>
  <si>
    <t>2026-03-12</t>
  </si>
  <si>
    <t>2026-03-20</t>
  </si>
  <si>
    <t>2026-03-24</t>
  </si>
  <si>
    <t>2026-03-25</t>
  </si>
  <si>
    <t>2026-03-26</t>
  </si>
  <si>
    <t>2026-03-28</t>
  </si>
  <si>
    <t>2026-04-02</t>
  </si>
  <si>
    <t>2026-04-08</t>
  </si>
  <si>
    <t>2026-04-09</t>
  </si>
  <si>
    <t>2026-04-23</t>
  </si>
  <si>
    <t>2026-04-24</t>
  </si>
  <si>
    <t>2026-05-01</t>
  </si>
  <si>
    <t>2026-05-05</t>
  </si>
  <si>
    <t>2026-05-08</t>
  </si>
  <si>
    <t>2026-05-09</t>
  </si>
  <si>
    <t>2026-05-14</t>
  </si>
  <si>
    <t>2026-05-15</t>
  </si>
  <si>
    <t>2026-05-18</t>
  </si>
  <si>
    <t>2026-05-19</t>
  </si>
  <si>
    <t>2026-05-20</t>
  </si>
  <si>
    <t>2026-05-21</t>
  </si>
  <si>
    <t>FISCAL . FERNANDO</t>
  </si>
  <si>
    <t>2026-05-22</t>
  </si>
  <si>
    <t>2026-05-26</t>
  </si>
  <si>
    <t>2026-05-27</t>
  </si>
  <si>
    <t>2026-05-30</t>
  </si>
  <si>
    <t>2026-06-03</t>
  </si>
  <si>
    <t>2026-06-04</t>
  </si>
  <si>
    <t>2026-06-05</t>
  </si>
  <si>
    <t>2026-06-06</t>
  </si>
  <si>
    <t>2026-06-10</t>
  </si>
  <si>
    <t>2026-06-11</t>
  </si>
  <si>
    <t>2026-06-12</t>
  </si>
  <si>
    <t>2026-06-16</t>
  </si>
  <si>
    <t>2026-06-18</t>
  </si>
  <si>
    <t>2026-06-19</t>
  </si>
  <si>
    <t>2026-06-23</t>
  </si>
  <si>
    <t>MENDOZA CARDONA JOSE ALEJANDRO</t>
  </si>
  <si>
    <t>2026-06-24</t>
  </si>
  <si>
    <t>PEREZ CORREA LUIS CARLOS</t>
  </si>
  <si>
    <t>REYES JIMENEZ MIGUEL ANGEL</t>
  </si>
  <si>
    <t>TOVAR TORRES LUIS ALBERTO</t>
  </si>
  <si>
    <t>GIL LOPEZ IGNACIO</t>
  </si>
  <si>
    <t>2026-06-26</t>
  </si>
  <si>
    <t>CORDOVA JARAZ ELISEO</t>
  </si>
  <si>
    <t>AVILAN RIVERA MIGUEL UBALDO</t>
  </si>
  <si>
    <t>GONZALEZ REYES FIDEL</t>
  </si>
  <si>
    <t>2000-08-28</t>
  </si>
  <si>
    <t>CALVILLO GARCIA NICOLAS</t>
  </si>
  <si>
    <t>2011-05-19</t>
  </si>
  <si>
    <t>LEY HOOL DILIA JOSEFINA</t>
  </si>
  <si>
    <t>2018-11-15</t>
  </si>
  <si>
    <t>JIMENEZ JIMENEZ ALVARO</t>
  </si>
  <si>
    <t>2020-06-08</t>
  </si>
  <si>
    <t>HERNANDEZ VILLA LUIS</t>
  </si>
  <si>
    <t>2019-09-13</t>
  </si>
  <si>
    <t>META</t>
  </si>
  <si>
    <t xml:space="preserve">REDIMIENTO OBTENIDO </t>
  </si>
  <si>
    <t xml:space="preserve">TOTAL A PAGAR </t>
  </si>
  <si>
    <t xml:space="preserve">SEMANA  DE RETROACTIVO </t>
  </si>
  <si>
    <t>Descansero</t>
  </si>
  <si>
    <t>Retroactivo</t>
  </si>
  <si>
    <t>BONO DE SCORE</t>
  </si>
  <si>
    <t>BONO 0 QUEJAS</t>
  </si>
  <si>
    <t>BONO 0 SINIESTROS</t>
  </si>
  <si>
    <t>BONO SCORE1</t>
  </si>
  <si>
    <t>BONO LOGUEO1</t>
  </si>
  <si>
    <t>TOTAL BONO DESEMPEÑO</t>
  </si>
  <si>
    <t>RENDIMEINTO META</t>
  </si>
  <si>
    <t>BONO RENDIMIENTO</t>
  </si>
  <si>
    <t>TOTAL BONO RENDIMIENTO</t>
  </si>
  <si>
    <t>GUTIERREZ AGUILAR PEDRO</t>
  </si>
  <si>
    <t>2026-06-27</t>
  </si>
  <si>
    <t>DIAZ MORAN SERGIO ALEJANDRO</t>
  </si>
  <si>
    <t>ABUNDIS CERVANTES JUAN CARLOS</t>
  </si>
  <si>
    <t>PEREZ ROSALES GUSTAVO DE JESUS</t>
  </si>
  <si>
    <t>PULIDO CARDENAS OSCAR DANIEL</t>
  </si>
  <si>
    <t>GONZALEZ SALAZAR JORGE ROBERTO</t>
  </si>
  <si>
    <t>ZAMORA MENDOZA JUAN CARLOS</t>
  </si>
  <si>
    <t>2026-06-30</t>
  </si>
  <si>
    <t>ARIAS TOSCANO JULIO</t>
  </si>
  <si>
    <t>2026-07-01</t>
  </si>
  <si>
    <t>ESTRADA HERNANDEZ VICTOR MANUEL</t>
  </si>
  <si>
    <t>2026-07-02</t>
  </si>
  <si>
    <t>2026-07-03</t>
  </si>
  <si>
    <t>FLORES CAMARENA JOSE ANTONIO</t>
  </si>
  <si>
    <t>GONZALEZ FONSECA CHRISTIAN</t>
  </si>
  <si>
    <t>BONO PUNTUALIDAD</t>
  </si>
  <si>
    <t>CONFIRMACIÓN DE VIAJE</t>
  </si>
  <si>
    <t>BONO</t>
  </si>
  <si>
    <t>CON SINIESTRO</t>
  </si>
  <si>
    <t>GUARDIA</t>
  </si>
  <si>
    <t>2026-07-09</t>
  </si>
  <si>
    <t>AGUAYO MARTINEZ ALEJANDRO GABRIEL</t>
  </si>
  <si>
    <t>2026-07-04</t>
  </si>
  <si>
    <t>ORTIZ GONZALEZ YORDI ALEJANDRO</t>
  </si>
  <si>
    <t>REA PINEDO SALVADOR MANUEL</t>
  </si>
  <si>
    <t>GARCIA MONTOY DANIEL ESTEVANNE</t>
  </si>
  <si>
    <t>2026-07-07</t>
  </si>
  <si>
    <t>RUVALCABA MARQUEZ EDUARDO</t>
  </si>
  <si>
    <t>FERNANDEZ RAMIREZ LUIS ENRIQUE</t>
  </si>
  <si>
    <t>LOPEZ RAMOS ADRIAN</t>
  </si>
  <si>
    <t>2026-07-11</t>
  </si>
  <si>
    <t>MUNGUIA AVIÑA HUGO</t>
  </si>
  <si>
    <t>GARCIA ACOSTA CHRISTIAN LEONEL</t>
  </si>
  <si>
    <t>VARGAS VALADEZ FERNANDO</t>
  </si>
  <si>
    <t>2026-07-14</t>
  </si>
  <si>
    <t>CABRERA GOMEZ DANIEL JONATHAN</t>
  </si>
  <si>
    <t>2026-07-15</t>
  </si>
  <si>
    <t>SCOOT</t>
  </si>
  <si>
    <t>REGALADO MARTINEZ JOSE LUIS</t>
  </si>
  <si>
    <t>2026-07-18</t>
  </si>
  <si>
    <t>RAMOS CALVILLO JUAN ALBERTO</t>
  </si>
  <si>
    <t>AVILA HERRADA WILIAMS</t>
  </si>
  <si>
    <t>RUIZ PALAFOX FRANCISCO JAVIER</t>
  </si>
  <si>
    <t>CONTRERAS GUTIERREZ JULIO CESAR</t>
  </si>
  <si>
    <t>SAAVEDRA CAMPOS CESAR EDUARDO</t>
  </si>
  <si>
    <t>2026-07-22</t>
  </si>
  <si>
    <t>GARCIA LOPEZ BRENDA CELENE</t>
  </si>
  <si>
    <t>TERAN TAVARES JESUS DAVID</t>
  </si>
  <si>
    <t>2026-07-23</t>
  </si>
  <si>
    <t>TORRES SANCHEZ JOSE MARTIN</t>
  </si>
  <si>
    <t>SEMANA 33</t>
  </si>
  <si>
    <t>LOPEZ ACEVES RAFAEL</t>
  </si>
  <si>
    <t>2026-08-01</t>
  </si>
  <si>
    <t>ALFARO VELAZQUEZ MARCO ANTONIO</t>
  </si>
  <si>
    <t>2026-07-25</t>
  </si>
  <si>
    <t>Sin registro</t>
  </si>
  <si>
    <t>TORRES LEONER OSCAR ALAN</t>
  </si>
  <si>
    <t>GONZALEZ OLIVARES VICTOR MANUEL</t>
  </si>
  <si>
    <t>2026-07-24</t>
  </si>
  <si>
    <t>CORTES FLORES FERNANDO SAMUEL</t>
  </si>
  <si>
    <t>HERRERA NAVARRO FRANCISCO JAVIER</t>
  </si>
  <si>
    <t>RIQUER HERNANDEZ ERWIN ALEXI</t>
  </si>
  <si>
    <t>CHAVEZ PALOMARES MARIANO</t>
  </si>
  <si>
    <t>LUEVANO LOPEZ JUAN EZEQUIEL</t>
  </si>
  <si>
    <t>CURIEL HERNANDEZ EMMANUEL</t>
  </si>
  <si>
    <t>MURILLO GOMEZ MARIO ALBERTO</t>
  </si>
  <si>
    <t>SEGURA FLORES PEDRO FERNANDO</t>
  </si>
  <si>
    <t>SEVILLA MEDINA JUAN IGNACIO</t>
  </si>
  <si>
    <t>2026-07-31</t>
  </si>
  <si>
    <t>AVILES BRITO JORGE</t>
  </si>
  <si>
    <t>CUEVAS RODRIGUEZ CHRISTER DAVID</t>
  </si>
  <si>
    <t>GARCIA RODRIGUEZ JOSE ARMANDO</t>
  </si>
  <si>
    <t>ROLDAN RODRIGUEZ LUIS ANGEL</t>
  </si>
  <si>
    <t>GARCIA RAMIREZ EZEQUIEL</t>
  </si>
  <si>
    <t>HERNANDEZ SANCHEZ DAVID SALOMON</t>
  </si>
  <si>
    <t>2026-08-04</t>
  </si>
  <si>
    <t>CERVANTES CORTES JUAN CARLOS</t>
  </si>
  <si>
    <t>2026-08-05</t>
  </si>
  <si>
    <t>CERVANTES SANCHEZ DORIAN GUILLERMO</t>
  </si>
  <si>
    <t>CHAVEZ HERNANDEZ ISMAEL</t>
  </si>
  <si>
    <t>2026-08-06</t>
  </si>
  <si>
    <t>id</t>
  </si>
  <si>
    <t>id_servicio</t>
  </si>
  <si>
    <t>des</t>
  </si>
  <si>
    <t>Tipo de Viaje</t>
  </si>
  <si>
    <t>ID Ruta</t>
  </si>
  <si>
    <t>car</t>
  </si>
  <si>
    <t>shift</t>
  </si>
  <si>
    <t>group</t>
  </si>
  <si>
    <t>start_date</t>
  </si>
  <si>
    <t>start_time</t>
  </si>
  <si>
    <t>start_eta</t>
  </si>
  <si>
    <t>start_status</t>
  </si>
  <si>
    <t>end_date</t>
  </si>
  <si>
    <t>end_time</t>
  </si>
  <si>
    <t>end_eta</t>
  </si>
  <si>
    <t>end_status</t>
  </si>
  <si>
    <t>operador</t>
  </si>
  <si>
    <t>no. de nomina</t>
  </si>
  <si>
    <t>Sem Via</t>
  </si>
  <si>
    <t>SALIDA</t>
  </si>
  <si>
    <t>LLEGADA</t>
  </si>
  <si>
    <t>Estatus Salida</t>
  </si>
  <si>
    <t>Estatus Llegada</t>
  </si>
  <si>
    <t>Estatus</t>
  </si>
  <si>
    <t>Semana</t>
  </si>
  <si>
    <t>Puntualidad</t>
  </si>
  <si>
    <t>concat</t>
  </si>
  <si>
    <t>supervisor2</t>
  </si>
  <si>
    <t>gte</t>
  </si>
  <si>
    <t>CONCAT2</t>
  </si>
  <si>
    <t>Turno</t>
  </si>
  <si>
    <t>Dashtrax</t>
  </si>
  <si>
    <t>E-MOL-T1-R0010</t>
  </si>
  <si>
    <t>Tlaquepaque 1</t>
  </si>
  <si>
    <t>N</t>
  </si>
  <si>
    <t>IN</t>
  </si>
  <si>
    <t>MOLEX</t>
  </si>
  <si>
    <t>done</t>
  </si>
  <si>
    <t>Inicia tarde</t>
  </si>
  <si>
    <t>Llega a Tiempo</t>
  </si>
  <si>
    <t>Inicia tarde-Llega a Tiempo</t>
  </si>
  <si>
    <t>No</t>
  </si>
  <si>
    <t>Tlaquepaque 1MOLEX</t>
  </si>
  <si>
    <t>VICTOR  C.</t>
  </si>
  <si>
    <t>Leopoldo V.</t>
  </si>
  <si>
    <t>MOLEXTlaquepaque 1</t>
  </si>
  <si>
    <t>E-MOL-R0010</t>
  </si>
  <si>
    <t>T1</t>
  </si>
  <si>
    <t>Tlaquepaque 1-R0010-04:35</t>
  </si>
  <si>
    <t>E-HER-T1-R0039</t>
  </si>
  <si>
    <t>Tonala-Tateposco Dominical</t>
  </si>
  <si>
    <t>HERSHEYS</t>
  </si>
  <si>
    <t>Llega tarde</t>
  </si>
  <si>
    <t>Inicia tarde-Llega tarde</t>
  </si>
  <si>
    <t>Tonala-Tateposco DominicalHERSHEYS</t>
  </si>
  <si>
    <t>CARLOS C.</t>
  </si>
  <si>
    <t xml:space="preserve">Ilse M. </t>
  </si>
  <si>
    <t>HERSHEYSTonala-Tateposco Dominical</t>
  </si>
  <si>
    <t>E-HER-R0039</t>
  </si>
  <si>
    <t>Tonala-Tateposco Dominical-R0039-04:35</t>
  </si>
  <si>
    <t>E-SAN-T1-R0427</t>
  </si>
  <si>
    <t>Dominical Tesistan Miramar</t>
  </si>
  <si>
    <t>SANMINA GDL</t>
  </si>
  <si>
    <t>Dominical Tesistan MiramarSANMINA GDL</t>
  </si>
  <si>
    <t>PABLO F.</t>
  </si>
  <si>
    <t>Felipe M.</t>
  </si>
  <si>
    <t>SANMINA GDLDominical Tesistan Miramar</t>
  </si>
  <si>
    <t>E-SAN-R0427</t>
  </si>
  <si>
    <t>Dominical Tesistan Miramar-R0427-04:40</t>
  </si>
  <si>
    <t>E-HER-T1-R0017</t>
  </si>
  <si>
    <t>Arenales</t>
  </si>
  <si>
    <t>ArenalesHERSHEYS</t>
  </si>
  <si>
    <t>HERSHEYSArenales</t>
  </si>
  <si>
    <t>E-HER-R0017</t>
  </si>
  <si>
    <t>Arenales-R0017-04:40</t>
  </si>
  <si>
    <t>E-PIS-T1-R0027</t>
  </si>
  <si>
    <t>Las Juntas</t>
  </si>
  <si>
    <t>PIS-PISA</t>
  </si>
  <si>
    <t>Las JuntasPIS-PISA</t>
  </si>
  <si>
    <t>DAVID C.</t>
  </si>
  <si>
    <t>PIS-PISALas Juntas</t>
  </si>
  <si>
    <t>E-PIS-R0027</t>
  </si>
  <si>
    <t>Las Juntas-R0027-04:40</t>
  </si>
  <si>
    <t>E-PIS-T1-R0053</t>
  </si>
  <si>
    <t>Colón-Patria</t>
  </si>
  <si>
    <t>Colón-PatriaPIS-PISA</t>
  </si>
  <si>
    <t>PIS-PISAColón-Patria</t>
  </si>
  <si>
    <t>E-PIS-R0053</t>
  </si>
  <si>
    <t>Colón-Patria-R0053-04:45</t>
  </si>
  <si>
    <t>E-SM4-T1-R0129</t>
  </si>
  <si>
    <t>Dominical San Sebastian 2 T1</t>
  </si>
  <si>
    <t>SANMINA TLAJOMULCO</t>
  </si>
  <si>
    <t>Dominical San Sebastian 2 T1SANMINA TLAJOMULCO</t>
  </si>
  <si>
    <t>CUAUHTEMOC M.</t>
  </si>
  <si>
    <t>SANMINA TLAJOMULCODominical San Sebastian 2 T1</t>
  </si>
  <si>
    <t>E-SM4-R0129</t>
  </si>
  <si>
    <t>Dominical San Sebastian 2 T1-R0129-04:51</t>
  </si>
  <si>
    <t>E-PIS-T1-R0019</t>
  </si>
  <si>
    <t>Fuelle</t>
  </si>
  <si>
    <t>FuellePIS-PISA</t>
  </si>
  <si>
    <t>PIS-PISAFuelle</t>
  </si>
  <si>
    <t>E-PIS-R0019</t>
  </si>
  <si>
    <t>Fuelle-R0019-04:55</t>
  </si>
  <si>
    <t>E-SK1-T1-R0028</t>
  </si>
  <si>
    <t>Juanacatlan</t>
  </si>
  <si>
    <t>SANMINA KAMPUS 16</t>
  </si>
  <si>
    <t>JuanacatlanSANMINA KAMPUS 16</t>
  </si>
  <si>
    <t>BRIAN A.</t>
  </si>
  <si>
    <t>SANMINA KAMPUS 16Juanacatlan</t>
  </si>
  <si>
    <t>E-SK1-R0028</t>
  </si>
  <si>
    <t>Juanacatlan-R0028-05:00</t>
  </si>
  <si>
    <t>E-PIS-T1-R0045</t>
  </si>
  <si>
    <t>Santa Anita</t>
  </si>
  <si>
    <t>Santa AnitaPIS-PISA</t>
  </si>
  <si>
    <t>PIS-PISASanta Anita</t>
  </si>
  <si>
    <t>E-PIS-R0045</t>
  </si>
  <si>
    <t>Santa Anita-R0045-05:00</t>
  </si>
  <si>
    <t>E-SK1-T1-R0015</t>
  </si>
  <si>
    <t>Chulavista 2 T1</t>
  </si>
  <si>
    <t>JARAMILLO SANCHEZ MARCO ESTEBA</t>
  </si>
  <si>
    <t>Chulavista 2 T1SANMINA KAMPUS 16</t>
  </si>
  <si>
    <t>SANMINA KAMPUS 16Chulavista 2 T1</t>
  </si>
  <si>
    <t>E-SK1-R0015</t>
  </si>
  <si>
    <t>Chulavista 2 T1-R0015-05:05</t>
  </si>
  <si>
    <t>E-PIS-T1-R0021</t>
  </si>
  <si>
    <t>La Fortuna</t>
  </si>
  <si>
    <t>MARTINEZ AGUIRRE BRAYAN ALEJAN</t>
  </si>
  <si>
    <t>La FortunaPIS-PISA</t>
  </si>
  <si>
    <t>PIS-PISALa Fortuna</t>
  </si>
  <si>
    <t>E-PIS-R0021</t>
  </si>
  <si>
    <t>La Fortuna-R0021-05:05</t>
  </si>
  <si>
    <t>E-SK1-T1-R0091</t>
  </si>
  <si>
    <t>San Sebastian</t>
  </si>
  <si>
    <t>San SebastianSANMINA KAMPUS 16</t>
  </si>
  <si>
    <t>SANMINA KAMPUS 16San Sebastian</t>
  </si>
  <si>
    <t>E-SK1-R0091</t>
  </si>
  <si>
    <t>San Sebastian-R0091-05:05</t>
  </si>
  <si>
    <t>E-HER-T1-R0008</t>
  </si>
  <si>
    <t>Parque Morelos</t>
  </si>
  <si>
    <t>Parque MorelosHERSHEYS</t>
  </si>
  <si>
    <t>HERSHEYSParque Morelos</t>
  </si>
  <si>
    <t>E-HER-R0008</t>
  </si>
  <si>
    <t>Parque Morelos-R0008-05:10</t>
  </si>
  <si>
    <t>E-HLL-T1-R0059</t>
  </si>
  <si>
    <t>Agaves</t>
  </si>
  <si>
    <t>HELLA GDL</t>
  </si>
  <si>
    <t>AgavesHELLA GDL</t>
  </si>
  <si>
    <t>SIMON / EUGI</t>
  </si>
  <si>
    <t>HELLA GDLAgaves</t>
  </si>
  <si>
    <t>E-HLL-R0059</t>
  </si>
  <si>
    <t>Agaves-R0059-05:20</t>
  </si>
  <si>
    <t>E-PIS-T1-R0093</t>
  </si>
  <si>
    <t>Villas Galicia</t>
  </si>
  <si>
    <t>Villas GaliciaPIS-PISA</t>
  </si>
  <si>
    <t>PIS-PISAVillas Galicia</t>
  </si>
  <si>
    <t>E-PIS-R0093</t>
  </si>
  <si>
    <t>Villas Galicia-R0093-05:20</t>
  </si>
  <si>
    <t>E-FOX-T1-R0098</t>
  </si>
  <si>
    <t>El Colli</t>
  </si>
  <si>
    <t>FOXCONN</t>
  </si>
  <si>
    <t>El ColliFOXCONN</t>
  </si>
  <si>
    <t>CANDELAS</t>
  </si>
  <si>
    <t>FOXCONNEl Colli</t>
  </si>
  <si>
    <t>E-FOX-R0098</t>
  </si>
  <si>
    <t>El Colli-R0098-05:30</t>
  </si>
  <si>
    <t>E-PIS-T1-R0035</t>
  </si>
  <si>
    <t>Lomas de San Agustín</t>
  </si>
  <si>
    <t>Lomas de San AgustínPIS-PISA</t>
  </si>
  <si>
    <t>PIS-PISALomas de San Agustín</t>
  </si>
  <si>
    <t>E-PIS-R0035</t>
  </si>
  <si>
    <t>Lomas de San Agustín-R0035-05:35</t>
  </si>
  <si>
    <t>E-FOX-T1-R0061</t>
  </si>
  <si>
    <t>Villas Andalucia</t>
  </si>
  <si>
    <t>Villas AndaluciaFOXCONN</t>
  </si>
  <si>
    <t>FOXCONNVillas Andalucia</t>
  </si>
  <si>
    <t>E-FOX-R0061</t>
  </si>
  <si>
    <t>Villas Andalucia-R0061-05:44</t>
  </si>
  <si>
    <t>E-PEP-T1-R0049</t>
  </si>
  <si>
    <t>Moctezuma Santa Rita</t>
  </si>
  <si>
    <t>PEPSICO GDL</t>
  </si>
  <si>
    <t>Moctezuma Santa RitaPEPSICO GDL</t>
  </si>
  <si>
    <t>DANIEL</t>
  </si>
  <si>
    <t>PEPSICO GDLMoctezuma Santa Rita</t>
  </si>
  <si>
    <t>E-PEP-R0049</t>
  </si>
  <si>
    <t>Moctezuma Santa Rita-R0049-05:45</t>
  </si>
  <si>
    <t>E-PAQ-T1-R0003</t>
  </si>
  <si>
    <t>Lopez Mateos Fin de semana</t>
  </si>
  <si>
    <t>PAQUETEXPRESS GDL</t>
  </si>
  <si>
    <t>P.CURIEL HERNANDEZ EMMANUEL</t>
  </si>
  <si>
    <t>Lopez Mateos Fin de semanaPAQUETEXPRESS GDL</t>
  </si>
  <si>
    <t>DAVID D.</t>
  </si>
  <si>
    <t>PAQUETEXPRESS GDLLopez Mateos Fin de semana</t>
  </si>
  <si>
    <t>E-PAQ-R0003</t>
  </si>
  <si>
    <t>Lopez Mateos Fin de semana-R0003-05:53</t>
  </si>
  <si>
    <t>E-FOX-T1-R0102</t>
  </si>
  <si>
    <t>El Zapote</t>
  </si>
  <si>
    <t>El ZapoteFOXCONN</t>
  </si>
  <si>
    <t>DIEGOVO.</t>
  </si>
  <si>
    <t>FOXCONNEl Zapote</t>
  </si>
  <si>
    <t>E-FOX-R0102</t>
  </si>
  <si>
    <t>El Zapote-R0102-05:55</t>
  </si>
  <si>
    <t>E-FOX-T1-R0129</t>
  </si>
  <si>
    <t>Las Huertas</t>
  </si>
  <si>
    <t>Las HuertasFOXCONN</t>
  </si>
  <si>
    <t>FOXCONNLas Huertas</t>
  </si>
  <si>
    <t>E-FOX-R0129</t>
  </si>
  <si>
    <t>Las Huertas-R0129-05:56</t>
  </si>
  <si>
    <t>E-FOX-T1-R0086</t>
  </si>
  <si>
    <t>Las Villas</t>
  </si>
  <si>
    <t>Las VillasFOXCONN</t>
  </si>
  <si>
    <t>FOXCONNLas Villas</t>
  </si>
  <si>
    <t>E-FOX-R0086</t>
  </si>
  <si>
    <t>Las Villas-R0086-06:00</t>
  </si>
  <si>
    <t>E-PAQ-T1-R0031</t>
  </si>
  <si>
    <t>Villa Corona.</t>
  </si>
  <si>
    <t>Villa Corona.PAQUETEXPRESS GDL</t>
  </si>
  <si>
    <t>PAQUETEXPRESS GDLVilla Corona.</t>
  </si>
  <si>
    <t>E-PAQ-R0031</t>
  </si>
  <si>
    <t>Villa Corona.-R0031-06:20</t>
  </si>
  <si>
    <t>E-PEP-T2-R0001</t>
  </si>
  <si>
    <t>Moctezuma Santa Fe</t>
  </si>
  <si>
    <t>Moctezuma Santa FePEPSICO GDL</t>
  </si>
  <si>
    <t>PEPSICO GDLMoctezuma Santa Fe</t>
  </si>
  <si>
    <t>E-PEP-R0001</t>
  </si>
  <si>
    <t>T2</t>
  </si>
  <si>
    <t>Moctezuma Santa Fe-R0001-12:30</t>
  </si>
  <si>
    <t>E-HER-T2-R0017</t>
  </si>
  <si>
    <t>Arenales-R0017-12:30</t>
  </si>
  <si>
    <t>E-SK1-T2-R0025</t>
  </si>
  <si>
    <t>Juan Pablo II</t>
  </si>
  <si>
    <t>Juan Pablo IISANMINA KAMPUS 16</t>
  </si>
  <si>
    <t>SANMINA KAMPUS 16Juan Pablo II</t>
  </si>
  <si>
    <t>E-SK1-R0025</t>
  </si>
  <si>
    <t>Juan Pablo II-R0025-12:45</t>
  </si>
  <si>
    <t>E-SAN-T2-R0504</t>
  </si>
  <si>
    <t>Dominical Zapopan</t>
  </si>
  <si>
    <t>Dominical ZapopanSANMINA GDL</t>
  </si>
  <si>
    <t>SANMINA GDLDominical Zapopan</t>
  </si>
  <si>
    <t>E-SAN-R0504</t>
  </si>
  <si>
    <t>Dominical Zapopan-R0504-12:45</t>
  </si>
  <si>
    <t>E-AXL-T2-R0008</t>
  </si>
  <si>
    <t>Centro Sur Fin de Semana</t>
  </si>
  <si>
    <t>AXIONLOG GDL</t>
  </si>
  <si>
    <t>Centro Sur Fin de SemanaAXIONLOG GDL</t>
  </si>
  <si>
    <t>DAVID M</t>
  </si>
  <si>
    <t>AXIONLOG GDLCentro Sur Fin de Semana</t>
  </si>
  <si>
    <t>E-AXL-R0008</t>
  </si>
  <si>
    <t>Centro Sur Fin de Semana-R0008-12:50</t>
  </si>
  <si>
    <t>E-SK1-T2-R0028</t>
  </si>
  <si>
    <t>Juanacatlan-R0028-12:57</t>
  </si>
  <si>
    <t>E-PAQ-T2-R0018</t>
  </si>
  <si>
    <t>8 de Julio Fin de Semana</t>
  </si>
  <si>
    <t>8 de Julio Fin de SemanaPAQUETEXPRESS GDL</t>
  </si>
  <si>
    <t>PAQUETEXPRESS GDL8 de Julio Fin de Semana</t>
  </si>
  <si>
    <t>E-PAQ-R0018</t>
  </si>
  <si>
    <t>8 de Julio Fin de Semana-R0018-13:00</t>
  </si>
  <si>
    <t>E-SAN-T2-R0425</t>
  </si>
  <si>
    <t>Dominical Jauja-San pedrito T1 y T2</t>
  </si>
  <si>
    <t>TABARES FLORES OSCAR ALEJAND</t>
  </si>
  <si>
    <t>Dominical Jauja-San pedrito T1 y T2SANMINA GDL</t>
  </si>
  <si>
    <t>SANMINA GDLDominical Jauja-San pedrito T1 y T2</t>
  </si>
  <si>
    <t>E-SAN-R0425</t>
  </si>
  <si>
    <t>Dominical Jauja-San pedrito T1 y T2-R0425-13:00</t>
  </si>
  <si>
    <t>E-SK1-T2-R0079</t>
  </si>
  <si>
    <t>Chulavista Valle Dorado T2</t>
  </si>
  <si>
    <t>Chulavista Valle Dorado T2SANMINA KAMPUS 16</t>
  </si>
  <si>
    <t>SANMINA KAMPUS 16Chulavista Valle Dorado T2</t>
  </si>
  <si>
    <t>E-SK1-R0079</t>
  </si>
  <si>
    <t>Chulavista Valle Dorado T2-R0079-13:00</t>
  </si>
  <si>
    <t>E-SK1-T2-R0091</t>
  </si>
  <si>
    <t>San Sebastian-R0091-13:00</t>
  </si>
  <si>
    <t>E-SM4-T2-R0140</t>
  </si>
  <si>
    <t>Dominical Lomas de San Agustin</t>
  </si>
  <si>
    <t>start</t>
  </si>
  <si>
    <t>Dominical Lomas de San AgustinSANMINA TLAJOMULCO</t>
  </si>
  <si>
    <t>SANMINA TLAJOMULCODominical Lomas de San Agustin</t>
  </si>
  <si>
    <t>E-SM4-R0140</t>
  </si>
  <si>
    <t>Dominical Lomas de San Agustin-R0140-13:05</t>
  </si>
  <si>
    <t>E-SM4-T2-R0134</t>
  </si>
  <si>
    <t>Dominical Parques de Santa Cruz</t>
  </si>
  <si>
    <t>Dominical Parques de Santa CruzSANMINA TLAJOMULCO</t>
  </si>
  <si>
    <t>SANMINA TLAJOMULCODominical Parques de Santa Cruz</t>
  </si>
  <si>
    <t>E-SM4-R0134</t>
  </si>
  <si>
    <t>Dominical Parques de Santa Cruz-R0134-13:15</t>
  </si>
  <si>
    <t>E-FOX-T2-R0096</t>
  </si>
  <si>
    <t>Patria</t>
  </si>
  <si>
    <t>PatriaFOXCONN</t>
  </si>
  <si>
    <t>FOXCONNPatria</t>
  </si>
  <si>
    <t>E-FOX-R0096</t>
  </si>
  <si>
    <t>Patria-R0096-13:30</t>
  </si>
  <si>
    <t>E-MOL-T2-R0010</t>
  </si>
  <si>
    <t>Tlaquepaque 1-R0010-15:55</t>
  </si>
  <si>
    <t>E-PIS-T2-R0019</t>
  </si>
  <si>
    <t>Fuelle-R0019-16:25</t>
  </si>
  <si>
    <t>E-PIS-T2-R0041</t>
  </si>
  <si>
    <t>Parques del Palmar</t>
  </si>
  <si>
    <t>Parques del PalmarPIS-PISA</t>
  </si>
  <si>
    <t>PIS-PISAParques del Palmar</t>
  </si>
  <si>
    <t>E-PIS-R0041</t>
  </si>
  <si>
    <t>Parques del Palmar-R0041-16:25</t>
  </si>
  <si>
    <t>E-PIS-T2-R0045</t>
  </si>
  <si>
    <t>Santa Anita-R0045-17:00</t>
  </si>
  <si>
    <t>E-PIS-T2-R0079</t>
  </si>
  <si>
    <t>Villas de la Hacienda</t>
  </si>
  <si>
    <t>Villas de la HaciendaPIS-PISA</t>
  </si>
  <si>
    <t>PIS-PISAVillas de la Hacienda</t>
  </si>
  <si>
    <t>E-PIS-R0079</t>
  </si>
  <si>
    <t>Villas de la Hacienda-R0079-17:00</t>
  </si>
  <si>
    <t>E-PIS-T2-R0043</t>
  </si>
  <si>
    <t>Periferico Sur</t>
  </si>
  <si>
    <t>LARIOS SANCHEZ HECTOR ALEXANDE</t>
  </si>
  <si>
    <t>Periferico SurPIS-PISA</t>
  </si>
  <si>
    <t>PIS-PISAPeriferico Sur</t>
  </si>
  <si>
    <t>E-PIS-R0043</t>
  </si>
  <si>
    <t>Periferico Sur-R0043-17:05</t>
  </si>
  <si>
    <t>E-PIS-T2-R0095</t>
  </si>
  <si>
    <t>Las Vias</t>
  </si>
  <si>
    <t>DELGADILLO SANCHEZ EDSON FABIA</t>
  </si>
  <si>
    <t>Las ViasPIS-PISA</t>
  </si>
  <si>
    <t>PIS-PISALas Vias</t>
  </si>
  <si>
    <t>E-PIS-R0095</t>
  </si>
  <si>
    <t>Las Vias-R0095-17:20</t>
  </si>
  <si>
    <t>E-SM4-T3-R0140</t>
  </si>
  <si>
    <t>T3</t>
  </si>
  <si>
    <t>Dominical Lomas de San Agustin-R0140-20:40</t>
  </si>
  <si>
    <t>E-DIA-T3-R0001</t>
  </si>
  <si>
    <t>Atotonilco-Nueva Destileria</t>
  </si>
  <si>
    <t>DIAGEO GDL</t>
  </si>
  <si>
    <t>Atotonilco-Nueva DestileriaDIAGEO GDL</t>
  </si>
  <si>
    <t>VIRIDIANA G</t>
  </si>
  <si>
    <t>DIAGEO GDLAtotonilco-Nueva Destileria</t>
  </si>
  <si>
    <t>E-DIA-R0001</t>
  </si>
  <si>
    <t>Atotonilco-Nueva Destileria-R0001-20:50</t>
  </si>
  <si>
    <t>E-SK1-T3-R0042</t>
  </si>
  <si>
    <t>Tonala T1 y T3</t>
  </si>
  <si>
    <t>Tonala T1 y T3SANMINA KAMPUS 16</t>
  </si>
  <si>
    <t>SANMINA KAMPUS 16Tonala T1 y T3</t>
  </si>
  <si>
    <t>E-SK1-R0042</t>
  </si>
  <si>
    <t>Tonala T1 y T3-R0042-20:50</t>
  </si>
  <si>
    <t>E-SK1-T3-R0028</t>
  </si>
  <si>
    <t>Juanacatlan-R0028-20:55</t>
  </si>
  <si>
    <t>E-SK1-T3-R0091</t>
  </si>
  <si>
    <t>San Sebastian-R0091-21:05</t>
  </si>
  <si>
    <t>E-ZFF-T3-R0032</t>
  </si>
  <si>
    <t>Op FOR Poncitlan Fin de semana</t>
  </si>
  <si>
    <t>ZF FORANEO</t>
  </si>
  <si>
    <t>proc</t>
  </si>
  <si>
    <t>Op FOR Poncitlan Fin de semanaZF FORANEO</t>
  </si>
  <si>
    <t>AGEO C.</t>
  </si>
  <si>
    <t>ZF FORANEOOp FOR Poncitlan Fin de semana</t>
  </si>
  <si>
    <t>E-ZFF-R0032</t>
  </si>
  <si>
    <t>Op FOR Poncitlan Fin de semana-R0032-21:15</t>
  </si>
  <si>
    <t>E-SM4-T3-R0130</t>
  </si>
  <si>
    <t>Dominical Canal 8 de Julio</t>
  </si>
  <si>
    <t>no_data</t>
  </si>
  <si>
    <t>Dominical Canal 8 de JulioSANMINA TLAJOMULCO</t>
  </si>
  <si>
    <t>SANMINA TLAJOMULCODominical Canal 8 de Julio</t>
  </si>
  <si>
    <t>E-SM4-R0130</t>
  </si>
  <si>
    <t>Dominical Canal 8 de Julio-R0130-21:20</t>
  </si>
  <si>
    <t>E-ZFF-T3-R0040</t>
  </si>
  <si>
    <t>Op FOR Atequiza Fin de semana</t>
  </si>
  <si>
    <t>Op FOR Atequiza Fin de semanaZF FORANEO</t>
  </si>
  <si>
    <t>ZF FORANEOOp FOR Atequiza Fin de semana</t>
  </si>
  <si>
    <t>E-ZFF-R0040</t>
  </si>
  <si>
    <t>Op FOR Atequiza Fin de semana-R0040-21:30</t>
  </si>
  <si>
    <t>E-MOL-T1-R0038</t>
  </si>
  <si>
    <t>Ciudad Guzman</t>
  </si>
  <si>
    <t>Ciudad GuzmanMOLEX</t>
  </si>
  <si>
    <t>MOLEXCiudad Guzman</t>
  </si>
  <si>
    <t>E-MOL-R0038</t>
  </si>
  <si>
    <t>Ciudad Guzman-R0038-04:20</t>
  </si>
  <si>
    <t>E-SIG-T1-R0001</t>
  </si>
  <si>
    <t>Santa Fe</t>
  </si>
  <si>
    <t xml:space="preserve">SIGMA ALIMENTOS </t>
  </si>
  <si>
    <t xml:space="preserve">Santa FeSIGMA ALIMENTOS </t>
  </si>
  <si>
    <t>SIGMA ALIMENTOS Santa Fe</t>
  </si>
  <si>
    <t>E-SIG-R0001</t>
  </si>
  <si>
    <t>Santa Fe-R0001-04:40</t>
  </si>
  <si>
    <t>E-HER-T1-R0007</t>
  </si>
  <si>
    <t>Tonala</t>
  </si>
  <si>
    <t>OLMEDO LORETO SERGIO MOISES AN</t>
  </si>
  <si>
    <t>TonalaHERSHEYS</t>
  </si>
  <si>
    <t>HERSHEYSTonala</t>
  </si>
  <si>
    <t>E-HER-R0007</t>
  </si>
  <si>
    <t>Tonala-R0007-04:40</t>
  </si>
  <si>
    <t>E-SIG-T1-R0002</t>
  </si>
  <si>
    <t>Oblatos</t>
  </si>
  <si>
    <t>AGUILERA MEDRANO VICTOR MANU</t>
  </si>
  <si>
    <t xml:space="preserve">OblatosSIGMA ALIMENTOS </t>
  </si>
  <si>
    <t>SIGMA ALIMENTOS Oblatos</t>
  </si>
  <si>
    <t>E-SIG-R0002</t>
  </si>
  <si>
    <t>Oblatos-R0002-04:45</t>
  </si>
  <si>
    <t>E-CUP-T1-R0001</t>
  </si>
  <si>
    <t>Chulavista</t>
  </si>
  <si>
    <t>CUPRUM GDL</t>
  </si>
  <si>
    <t>ChulavistaCUPRUM GDL</t>
  </si>
  <si>
    <t>CUPRUM GDLChulavista</t>
  </si>
  <si>
    <t>E-CUP-R0001</t>
  </si>
  <si>
    <t>Chulavista-R0001-04:50</t>
  </si>
  <si>
    <t>E-SM4-T1-R0101</t>
  </si>
  <si>
    <t>Lomas de San Agustin</t>
  </si>
  <si>
    <t>OPERADOR NO REGISTRADO</t>
  </si>
  <si>
    <t>Lomas de San AgustinSANMINA TLAJOMULCO</t>
  </si>
  <si>
    <t>SANMINA TLAJOMULCOLomas de San Agustin</t>
  </si>
  <si>
    <t>E-SM4-R0101</t>
  </si>
  <si>
    <t>Lomas de San Agustin-R0101-04:50</t>
  </si>
  <si>
    <t>E-SAN-T1-R0503</t>
  </si>
  <si>
    <t>Tabachines T1</t>
  </si>
  <si>
    <t>Tabachines T1SANMINA GDL</t>
  </si>
  <si>
    <t>SANMINA GDLTabachines T1</t>
  </si>
  <si>
    <t>E-SAN-R0503</t>
  </si>
  <si>
    <t>Tabachines T1-R0503-04:50</t>
  </si>
  <si>
    <t>E-PEM-T1-R0015</t>
  </si>
  <si>
    <t>Mixing Tonala</t>
  </si>
  <si>
    <t>PEPSICO MIXING</t>
  </si>
  <si>
    <t>Mixing TonalaPEPSICO MIXING</t>
  </si>
  <si>
    <t>PEPSICO MIXINGMixing Tonala</t>
  </si>
  <si>
    <t>E-PEM-R0015</t>
  </si>
  <si>
    <t>Mixing Tonala-R0015-05:00</t>
  </si>
  <si>
    <t>E-SM4-T1-R0023</t>
  </si>
  <si>
    <t>Parques de Santa Cruz T1</t>
  </si>
  <si>
    <t>Parques de Santa Cruz T1SANMINA TLAJOMULCO</t>
  </si>
  <si>
    <t>SANMINA TLAJOMULCOParques de Santa Cruz T1</t>
  </si>
  <si>
    <t>E-SM4-R0023</t>
  </si>
  <si>
    <t>Parques de Santa Cruz T1-R0023-05:02</t>
  </si>
  <si>
    <t>E-SM4-T1-R0112</t>
  </si>
  <si>
    <t>Santa Fe 1</t>
  </si>
  <si>
    <t>Santa Fe 1SANMINA TLAJOMULCO</t>
  </si>
  <si>
    <t>SANMINA TLAJOMULCOSanta Fe 1</t>
  </si>
  <si>
    <t>E-SM4-R0112</t>
  </si>
  <si>
    <t>Santa Fe 1-R0112-05:05</t>
  </si>
  <si>
    <t>E-PIS-T1-R0089</t>
  </si>
  <si>
    <t>Valle Dorado</t>
  </si>
  <si>
    <t>Valle DoradoPIS-PISA</t>
  </si>
  <si>
    <t>PIS-PISAValle Dorado</t>
  </si>
  <si>
    <t>E-PIS-R0089</t>
  </si>
  <si>
    <t>Valle Dorado-R0089-05:05</t>
  </si>
  <si>
    <t>E-SK1-T1-R0017</t>
  </si>
  <si>
    <t>Chulavista Valle Dorado T1</t>
  </si>
  <si>
    <t>Chulavista Valle Dorado T1SANMINA KAMPUS 16</t>
  </si>
  <si>
    <t>SANMINA KAMPUS 16Chulavista Valle Dorado T1</t>
  </si>
  <si>
    <t>E-SK1-R0017</t>
  </si>
  <si>
    <t>Chulavista Valle Dorado T1-R0017-05:07</t>
  </si>
  <si>
    <t>E-SK1-T1-R0023</t>
  </si>
  <si>
    <t>Jauja T1</t>
  </si>
  <si>
    <t>Jauja T1SANMINA KAMPUS 16</t>
  </si>
  <si>
    <t>SANMINA KAMPUS 16Jauja T1</t>
  </si>
  <si>
    <t>E-SK1-R0023</t>
  </si>
  <si>
    <t>Jauja T1-R0023-05:08</t>
  </si>
  <si>
    <t>E-PEM-T1-R0004</t>
  </si>
  <si>
    <t>Mixing Demostenes</t>
  </si>
  <si>
    <t>Mixing DemostenesPEPSICO MIXING</t>
  </si>
  <si>
    <t>PEPSICO MIXINGMixing Demostenes</t>
  </si>
  <si>
    <t>E-PEM-R0004</t>
  </si>
  <si>
    <t>Mixing Demostenes-R0004-05:08</t>
  </si>
  <si>
    <t>E-SK1-T1-R0025</t>
  </si>
  <si>
    <t>Juan Pablo II-R0025-05:10</t>
  </si>
  <si>
    <t>E-FOX-T1-R0133</t>
  </si>
  <si>
    <t>Ocotlán 1</t>
  </si>
  <si>
    <t>Ocotlán 1FOXCONN</t>
  </si>
  <si>
    <t>FOXCONNOcotlán 1</t>
  </si>
  <si>
    <t>E-FOX-R0133</t>
  </si>
  <si>
    <t>Ocotlán 1-R0133-05:10</t>
  </si>
  <si>
    <t>E-SK1-T1-R0040</t>
  </si>
  <si>
    <t>Santa Fe T1</t>
  </si>
  <si>
    <t>Santa Fe T1SANMINA KAMPUS 16</t>
  </si>
  <si>
    <t>SANMINA KAMPUS 16Santa Fe T1</t>
  </si>
  <si>
    <t>E-SK1-R0040</t>
  </si>
  <si>
    <t>Santa Fe T1-R0040-05:13</t>
  </si>
  <si>
    <t>E-ZLT-T1-R0012</t>
  </si>
  <si>
    <t>El Salto</t>
  </si>
  <si>
    <t>ZOLTEK GDL</t>
  </si>
  <si>
    <t>El SaltoZOLTEK GDL</t>
  </si>
  <si>
    <t>ZOLTEK GDLEl Salto</t>
  </si>
  <si>
    <t>E-ZLT-R0012</t>
  </si>
  <si>
    <t>El Salto-R0012-05:15</t>
  </si>
  <si>
    <t>E-FOX-T1-R0077</t>
  </si>
  <si>
    <t>Tonala 1</t>
  </si>
  <si>
    <t>Tonala 1FOXCONN</t>
  </si>
  <si>
    <t>FOXCONNTonala 1</t>
  </si>
  <si>
    <t>E-FOX-R0077</t>
  </si>
  <si>
    <t>Tonala 1-R0077-05:20</t>
  </si>
  <si>
    <t>E-MAS-T1-R0007</t>
  </si>
  <si>
    <t>MASECA GDL</t>
  </si>
  <si>
    <t>ChulavistaMASECA GDL</t>
  </si>
  <si>
    <t>MASECA GDLChulavista</t>
  </si>
  <si>
    <t>E-MAS-R0007</t>
  </si>
  <si>
    <t>Chulavista-R0007-05:20</t>
  </si>
  <si>
    <t>E-ZFM-T1-R0098</t>
  </si>
  <si>
    <t>Op MET Cajititlán Fin de Semana</t>
  </si>
  <si>
    <t>ZF METROPOLITANA</t>
  </si>
  <si>
    <t>Op MET Cajititlán Fin de SemanaZF METROPOLITANA</t>
  </si>
  <si>
    <t>ZF METROPOLITANAOp MET Cajititlán Fin de Semana</t>
  </si>
  <si>
    <t>E-ZFM-R0098</t>
  </si>
  <si>
    <t>Op MET Cajititlán Fin de Semana-R0098-05:25</t>
  </si>
  <si>
    <t>E-PIS-T1-R0091</t>
  </si>
  <si>
    <t>La Noria</t>
  </si>
  <si>
    <t>La NoriaPIS-PISA</t>
  </si>
  <si>
    <t>PIS-PISALa Noria</t>
  </si>
  <si>
    <t>E-PIS-R0091</t>
  </si>
  <si>
    <t>La Noria-R0091-05:25</t>
  </si>
  <si>
    <t>E-HER-T1-R0011</t>
  </si>
  <si>
    <t>El Salto Azucena</t>
  </si>
  <si>
    <t>El Salto AzucenaHERSHEYS</t>
  </si>
  <si>
    <t>HERSHEYSEl Salto Azucena</t>
  </si>
  <si>
    <t>E-HER-R0011</t>
  </si>
  <si>
    <t>El Salto Azucena-R0011-05:26</t>
  </si>
  <si>
    <t>E-FOX-T1-R0022</t>
  </si>
  <si>
    <t>Arcos Zapopan</t>
  </si>
  <si>
    <t>Arcos ZapopanFOXCONN</t>
  </si>
  <si>
    <t>FOXCONNArcos Zapopan</t>
  </si>
  <si>
    <t>E-FOX-R0022</t>
  </si>
  <si>
    <t>Arcos Zapopan-R0022-05:30</t>
  </si>
  <si>
    <t>E-FOX-T1-R0032</t>
  </si>
  <si>
    <t>Lomas del Sur</t>
  </si>
  <si>
    <t>JARAMILLO MARTINEZ JOSE GUADAL</t>
  </si>
  <si>
    <t>Lomas del SurFOXCONN</t>
  </si>
  <si>
    <t>FOXCONNLomas del Sur</t>
  </si>
  <si>
    <t>E-FOX-R0032</t>
  </si>
  <si>
    <t>Lomas del Sur-R0032-05:34</t>
  </si>
  <si>
    <t>E-FOX-T1-R0173</t>
  </si>
  <si>
    <t>Apoyo Loma Bonita</t>
  </si>
  <si>
    <t>Apoyo Loma BonitaFOXCONN</t>
  </si>
  <si>
    <t>FOXCONNApoyo Loma Bonita</t>
  </si>
  <si>
    <t>E-FOX-R0173</t>
  </si>
  <si>
    <t>Apoyo Loma Bonita-R0173-05:37</t>
  </si>
  <si>
    <t>E-FOX-T1-R0139</t>
  </si>
  <si>
    <t>Apoyo Chulavista</t>
  </si>
  <si>
    <t>AGRIPINO ROBLES MARIO ALFONS</t>
  </si>
  <si>
    <t>Apoyo ChulavistaFOXCONN</t>
  </si>
  <si>
    <t>FOXCONNApoyo Chulavista</t>
  </si>
  <si>
    <t>E-FOX-R0139</t>
  </si>
  <si>
    <t>Apoyo Chulavista-R0139-05:40</t>
  </si>
  <si>
    <t>E-FOX-T1-R0026</t>
  </si>
  <si>
    <t>Balcones</t>
  </si>
  <si>
    <t>BalconesFOXCONN</t>
  </si>
  <si>
    <t>FOXCONNBalcones</t>
  </si>
  <si>
    <t>E-FOX-R0026</t>
  </si>
  <si>
    <t>Balcones-R0026-05:45</t>
  </si>
  <si>
    <t>E-FOX-T1-R0034</t>
  </si>
  <si>
    <t>Arvento</t>
  </si>
  <si>
    <t>ArventoFOXCONN</t>
  </si>
  <si>
    <t>FOXCONNArvento</t>
  </si>
  <si>
    <t>E-FOX-R0034</t>
  </si>
  <si>
    <t>Arvento-R0034-05:54</t>
  </si>
  <si>
    <t>E-PAQ-T1-R0052</t>
  </si>
  <si>
    <t>Santa Fe T1PAQUETEXPRESS GDL</t>
  </si>
  <si>
    <t>PAQUETEXPRESS GDLSanta Fe T1</t>
  </si>
  <si>
    <t>Santa Fe T1-R0052-05:55</t>
  </si>
  <si>
    <t>E-FOX-T1-R0267</t>
  </si>
  <si>
    <t>Interplantas</t>
  </si>
  <si>
    <t>InterplantasFOXCONN</t>
  </si>
  <si>
    <t>WENDY H.</t>
  </si>
  <si>
    <t>FOXCONNInterplantas</t>
  </si>
  <si>
    <t>Interplantas-R0267-07:20</t>
  </si>
  <si>
    <t>E-HER-T2-R0007</t>
  </si>
  <si>
    <t>Tonala-R0007-09:40</t>
  </si>
  <si>
    <t>E-PAQ-T1-R0032</t>
  </si>
  <si>
    <t>Chulavista Fin De Semana</t>
  </si>
  <si>
    <t>Chulavista Fin De SemanaPAQUETEXPRESS GDL</t>
  </si>
  <si>
    <t>PAQUETEXPRESS GDLChulavista Fin De Semana</t>
  </si>
  <si>
    <t>E-PAQ-R0032</t>
  </si>
  <si>
    <t>Chulavista Fin De Semana-R0032-10:02</t>
  </si>
  <si>
    <t>E-HER-T1-R0016</t>
  </si>
  <si>
    <t>Centro Sur.</t>
  </si>
  <si>
    <t>Centro Sur.HERSHEYS</t>
  </si>
  <si>
    <t>HERSHEYSCentro Sur.</t>
  </si>
  <si>
    <t>E-HER-R0016</t>
  </si>
  <si>
    <t>Centro Sur.-R0016-10:20</t>
  </si>
  <si>
    <t>E-CUP-T2-R0001</t>
  </si>
  <si>
    <t>Chulavista-R0001-12:20</t>
  </si>
  <si>
    <t>E-PAQ-T2-R0007</t>
  </si>
  <si>
    <t>Juan de la Barrera Fin de semana</t>
  </si>
  <si>
    <t>Juan de la Barrera Fin de semanaPAQUETEXPRESS GDL</t>
  </si>
  <si>
    <t>PAQUETEXPRESS GDLJuan de la Barrera Fin de semana</t>
  </si>
  <si>
    <t>Juan de la Barrera Fin de semana-R0007-12:20</t>
  </si>
  <si>
    <t>E-SAN-T2-R0454</t>
  </si>
  <si>
    <t>Angel Leaño T2 Y T3</t>
  </si>
  <si>
    <t>Angel Leaño T2 Y T3SANMINA GDL</t>
  </si>
  <si>
    <t>SANMINA GDLAngel Leaño T2 Y T3</t>
  </si>
  <si>
    <t>E-SAN-R0454</t>
  </si>
  <si>
    <t>Angel Leaño T2 Y T3-R0454-12:30</t>
  </si>
  <si>
    <t>E-SAN-T2-R0497</t>
  </si>
  <si>
    <t>Zapopan T2 y T3</t>
  </si>
  <si>
    <t>Zapopan T2 y T3SANMINA GDL</t>
  </si>
  <si>
    <t>SANMINA GDLZapopan T2 y T3</t>
  </si>
  <si>
    <t>E-SAN-R0497</t>
  </si>
  <si>
    <t>Zapopan T2 y T3-R0497-12:30</t>
  </si>
  <si>
    <t>E-HPH-T2-R0005</t>
  </si>
  <si>
    <t>Tetlan 2</t>
  </si>
  <si>
    <t>HOSPITAL PUERTA DE HIERRO</t>
  </si>
  <si>
    <t>Tetlan 2HOSPITAL PUERTA DE HIERRO</t>
  </si>
  <si>
    <t>OSCAR I</t>
  </si>
  <si>
    <t>HOSPITAL PUERTA DE HIERROTetlan 2</t>
  </si>
  <si>
    <t>E-HPH-R0005</t>
  </si>
  <si>
    <t>Tetlan 2-R0005-12:40</t>
  </si>
  <si>
    <t>E-SK1-T2-R0029</t>
  </si>
  <si>
    <t>Lomas del SurSANMINA KAMPUS 16</t>
  </si>
  <si>
    <t>SANMINA KAMPUS 16Lomas del Sur</t>
  </si>
  <si>
    <t>E-SK1-R0029</t>
  </si>
  <si>
    <t>Lomas del Sur-R0029-12:40</t>
  </si>
  <si>
    <t>E-SIG-T2-R0005</t>
  </si>
  <si>
    <t>Salto</t>
  </si>
  <si>
    <t xml:space="preserve">SaltoSIGMA ALIMENTOS </t>
  </si>
  <si>
    <t>SIGMA ALIMENTOS Salto</t>
  </si>
  <si>
    <t>E-SIG-R0005</t>
  </si>
  <si>
    <t>Salto-R0005-12:40</t>
  </si>
  <si>
    <t>E-SAN-T2-R0060</t>
  </si>
  <si>
    <t>Arquitectura</t>
  </si>
  <si>
    <t>ArquitecturaSANMINA GDL</t>
  </si>
  <si>
    <t>SANMINA GDLArquitectura</t>
  </si>
  <si>
    <t>E-SAN-R0060</t>
  </si>
  <si>
    <t>Arquitectura-R0060-12:50</t>
  </si>
  <si>
    <t>E-SAN-T2-R0068</t>
  </si>
  <si>
    <t>Panteon</t>
  </si>
  <si>
    <t>PanteonSANMINA GDL</t>
  </si>
  <si>
    <t>SANMINA GDLPanteon</t>
  </si>
  <si>
    <t>E-SAN-R0068</t>
  </si>
  <si>
    <t>Panteon-R0068-12:50</t>
  </si>
  <si>
    <t>E-SAN-T2-R0071</t>
  </si>
  <si>
    <t>Santa Cecilia</t>
  </si>
  <si>
    <t>Santa CeciliaSANMINA GDL</t>
  </si>
  <si>
    <t>SANMINA GDLSanta Cecilia</t>
  </si>
  <si>
    <t>E-SAN-R0071</t>
  </si>
  <si>
    <t>Santa Cecilia-R0071-12:50</t>
  </si>
  <si>
    <t>E-SM4-T2-R0082</t>
  </si>
  <si>
    <t>Balcones de Santa Maria</t>
  </si>
  <si>
    <t>Balcones de Santa MariaSANMINA TLAJOMULCO</t>
  </si>
  <si>
    <t>SANMINA TLAJOMULCOBalcones de Santa Maria</t>
  </si>
  <si>
    <t>E-SM4-R0082</t>
  </si>
  <si>
    <t>Balcones de Santa Maria-R0082-12:50</t>
  </si>
  <si>
    <t>E-SM4-T2-R0117</t>
  </si>
  <si>
    <t>Santa Fe 3</t>
  </si>
  <si>
    <t>Santa Fe 3SANMINA TLAJOMULCO</t>
  </si>
  <si>
    <t>SANMINA TLAJOMULCOSanta Fe 3</t>
  </si>
  <si>
    <t>E-SM4-R0117</t>
  </si>
  <si>
    <t>Santa Fe 3-R0117-12:50</t>
  </si>
  <si>
    <t>E-HLL-T2-R0043</t>
  </si>
  <si>
    <t>ArventoHELLA GDL</t>
  </si>
  <si>
    <t>HELLA GDLArvento</t>
  </si>
  <si>
    <t>E-HLL-R0043</t>
  </si>
  <si>
    <t>Arvento-R0043-12:50</t>
  </si>
  <si>
    <t>E-SM4-T2-R0109</t>
  </si>
  <si>
    <t>San Sebastian 1 T2 y T3</t>
  </si>
  <si>
    <t>San Sebastian 1 T2 y T3SANMINA TLAJOMULCO</t>
  </si>
  <si>
    <t>SANMINA TLAJOMULCOSan Sebastian 1 T2 y T3</t>
  </si>
  <si>
    <t>E-SM4-R0109</t>
  </si>
  <si>
    <t>San Sebastian 1 T2 y T3-R0109-12:55</t>
  </si>
  <si>
    <t>E-FOX-T2-R0022</t>
  </si>
  <si>
    <t>Arcos Zapopan-R0022-12:55</t>
  </si>
  <si>
    <t>E-SK1-T2-R0081</t>
  </si>
  <si>
    <t>Santa Fe T2</t>
  </si>
  <si>
    <t>Santa Fe T2SANMINA KAMPUS 16</t>
  </si>
  <si>
    <t>SANMINA KAMPUS 16Santa Fe T2</t>
  </si>
  <si>
    <t>E-SK1-R0081</t>
  </si>
  <si>
    <t>Santa Fe T2-R0081-12:55</t>
  </si>
  <si>
    <t>E-SK1-T2-R0084</t>
  </si>
  <si>
    <t>Chulavista 2 T2</t>
  </si>
  <si>
    <t>Chulavista 2 T2SANMINA KAMPUS 16</t>
  </si>
  <si>
    <t>SANMINA KAMPUS 16Chulavista 2 T2</t>
  </si>
  <si>
    <t>E-SK1-R0084</t>
  </si>
  <si>
    <t>Chulavista 2 T2-R0084-12:55</t>
  </si>
  <si>
    <t>E-SM3-T2-R0098</t>
  </si>
  <si>
    <t>SANMINA FORANE</t>
  </si>
  <si>
    <t>Villas AndaluciaSANMINA FORANE</t>
  </si>
  <si>
    <t>HEROS M.</t>
  </si>
  <si>
    <t>SANMINA FORANEVillas Andalucia</t>
  </si>
  <si>
    <t>E-SM3-R0098</t>
  </si>
  <si>
    <t>Villas Andalucia-R0098-13:00</t>
  </si>
  <si>
    <t>E-SM4-T2-R0204</t>
  </si>
  <si>
    <t>San Sebastian 2</t>
  </si>
  <si>
    <t>San Sebastian 2SANMINA TLAJOMULCO</t>
  </si>
  <si>
    <t>SANMINA TLAJOMULCOSan Sebastian 2</t>
  </si>
  <si>
    <t>E-SM4-R0204</t>
  </si>
  <si>
    <t>San Sebastian 2-R0204-13:00</t>
  </si>
  <si>
    <t>E-SM3-T2-R0195</t>
  </si>
  <si>
    <t>Ajijic - Chapala T2 y T3</t>
  </si>
  <si>
    <t>Ajijic - Chapala T2 y T3SANMINA FORANE</t>
  </si>
  <si>
    <t>SANMINA FORANEAjijic - Chapala T2 y T3</t>
  </si>
  <si>
    <t>E-SM3-R0195</t>
  </si>
  <si>
    <t>Ajijic - Chapala T2 y T3-R0195-13:00</t>
  </si>
  <si>
    <t>E-SK1-T2-R0066</t>
  </si>
  <si>
    <t>Polanco T2</t>
  </si>
  <si>
    <t>Polanco T2SANMINA KAMPUS 16</t>
  </si>
  <si>
    <t>SANMINA KAMPUS 16Polanco T2</t>
  </si>
  <si>
    <t>E-SK1-R0066</t>
  </si>
  <si>
    <t>Polanco T2-R0066-13:05</t>
  </si>
  <si>
    <t>E-MAS-T2-R0007</t>
  </si>
  <si>
    <t>Chulavista-R0007-13:05</t>
  </si>
  <si>
    <t>E-FOX-T2-R0136</t>
  </si>
  <si>
    <t>Apoyo Ocotlán</t>
  </si>
  <si>
    <t>Apoyo OcotlánFOXCONN</t>
  </si>
  <si>
    <t>FOXCONNApoyo Ocotlán</t>
  </si>
  <si>
    <t>E-FOX-R0136</t>
  </si>
  <si>
    <t>Apoyo Ocotlán-R0136-13:13</t>
  </si>
  <si>
    <t>E-FOX-T2-R0025</t>
  </si>
  <si>
    <t>Oblatos 1</t>
  </si>
  <si>
    <t>Oblatos 1FOXCONN</t>
  </si>
  <si>
    <t>FOXCONNOblatos 1</t>
  </si>
  <si>
    <t>E-FOX-R0025</t>
  </si>
  <si>
    <t>Oblatos 1-R0025-13:15</t>
  </si>
  <si>
    <t>E-FOX-T2-R0090</t>
  </si>
  <si>
    <t>Oblatos 2</t>
  </si>
  <si>
    <t>Oblatos 2FOXCONN</t>
  </si>
  <si>
    <t>FOXCONNOblatos 2</t>
  </si>
  <si>
    <t>E-FOX-R0090</t>
  </si>
  <si>
    <t>Oblatos 2-R0090-13:15</t>
  </si>
  <si>
    <t>E-FOX-T2-R0098</t>
  </si>
  <si>
    <t>El Colli-R0098-13:15</t>
  </si>
  <si>
    <t>E-SM4-T2-R0099</t>
  </si>
  <si>
    <t>Las JuntasSANMINA TLAJOMULCO</t>
  </si>
  <si>
    <t>SANMINA TLAJOMULCOLas Juntas</t>
  </si>
  <si>
    <t>E-SM4-R0099</t>
  </si>
  <si>
    <t>Las Juntas-R0099-13:25</t>
  </si>
  <si>
    <t>E-ZFM-T2-R0100</t>
  </si>
  <si>
    <t>Op MET El Verde Fin de Semana</t>
  </si>
  <si>
    <t>Op MET El Verde Fin de SemanaZF METROPOLITANA</t>
  </si>
  <si>
    <t>ZF METROPOLITANAOp MET El Verde Fin de Semana</t>
  </si>
  <si>
    <t>E-ZFM-R0100</t>
  </si>
  <si>
    <t>Op MET El Verde Fin de Semana-R0100-13:25</t>
  </si>
  <si>
    <t>E-FOX-T2-R0114</t>
  </si>
  <si>
    <t>Tonala 2</t>
  </si>
  <si>
    <t>Tonala 2FOXCONN</t>
  </si>
  <si>
    <t>FOXCONNTonala 2</t>
  </si>
  <si>
    <t>E-FOX-R0114</t>
  </si>
  <si>
    <t>Tonala 2-R0114-13:38</t>
  </si>
  <si>
    <t>E-SM3-T2-R0225</t>
  </si>
  <si>
    <t>Capilla 3</t>
  </si>
  <si>
    <t>Capilla 3SANMINA FORANE</t>
  </si>
  <si>
    <t>SANMINA FORANECapilla 3</t>
  </si>
  <si>
    <t>E-SM3-R0225</t>
  </si>
  <si>
    <t>Capilla 3-R0225-13:50</t>
  </si>
  <si>
    <t>E-FOX-T2-R0034</t>
  </si>
  <si>
    <t>Arvento-R0034-13:59</t>
  </si>
  <si>
    <t>E-PIS-T2-R0053</t>
  </si>
  <si>
    <t>Colón-Patria-R0053-16:20</t>
  </si>
  <si>
    <t>E-PIS-T2-R0059</t>
  </si>
  <si>
    <t>Villas Terranova</t>
  </si>
  <si>
    <t>Villas TerranovaPIS-PISA</t>
  </si>
  <si>
    <t>PIS-PISAVillas Terranova</t>
  </si>
  <si>
    <t>E-PIS-R0059</t>
  </si>
  <si>
    <t>Villas Terranova-R0059-17:00</t>
  </si>
  <si>
    <t>E-PIS-T2-R0013</t>
  </si>
  <si>
    <t>Cantaros</t>
  </si>
  <si>
    <t>CantarosPIS-PISA</t>
  </si>
  <si>
    <t>PIS-PISACantaros</t>
  </si>
  <si>
    <t>E-PIS-R0013</t>
  </si>
  <si>
    <t>Cantaros-R0013-17:02</t>
  </si>
  <si>
    <t>E-PIS-T2-R0049</t>
  </si>
  <si>
    <t>San Sebastián</t>
  </si>
  <si>
    <t>GARDUÑO LOPEZ MANUEL</t>
  </si>
  <si>
    <t>San SebastiánPIS-PISA</t>
  </si>
  <si>
    <t>PIS-PISASan Sebastián</t>
  </si>
  <si>
    <t>E-PIS-R0049</t>
  </si>
  <si>
    <t>San Sebastián-R0049-17:05</t>
  </si>
  <si>
    <t>E-TEC-T2-R0002</t>
  </si>
  <si>
    <t>Santa Fe L-S</t>
  </si>
  <si>
    <t>TECNIENVASE</t>
  </si>
  <si>
    <t>Santa Fe L-STECNIENVASE</t>
  </si>
  <si>
    <t>TECNIENVASESanta Fe L-S</t>
  </si>
  <si>
    <t>E-TEC-R0002</t>
  </si>
  <si>
    <t>Santa Fe L-S-R0002-17:40</t>
  </si>
  <si>
    <t>E-PEP-T3-R0005</t>
  </si>
  <si>
    <t>Moctezuma Loma Dorada</t>
  </si>
  <si>
    <t>Moctezuma Loma DoradaPEPSICO GDL</t>
  </si>
  <si>
    <t>PEPSICO GDLMoctezuma Loma Dorada</t>
  </si>
  <si>
    <t>E-PEP-R0005</t>
  </si>
  <si>
    <t>Moctezuma Loma Dorada-R0005-20:00</t>
  </si>
  <si>
    <t>E-CUP-T3-R0001</t>
  </si>
  <si>
    <t>Chulavista-R0001-20:05</t>
  </si>
  <si>
    <t>E-HLL-T3-R0039</t>
  </si>
  <si>
    <t>Mezcala</t>
  </si>
  <si>
    <t>MezcalaHELLA GDL</t>
  </si>
  <si>
    <t>HELLA GDLMezcala</t>
  </si>
  <si>
    <t>E-HLL-R0039</t>
  </si>
  <si>
    <t>Mezcala-R0039-20:10</t>
  </si>
  <si>
    <t>E-HER-T3-R0039</t>
  </si>
  <si>
    <t>Tonala-Tateposco Dominical-R0039-20:25</t>
  </si>
  <si>
    <t>E-HLL-T3-R0057</t>
  </si>
  <si>
    <t>Capilla</t>
  </si>
  <si>
    <t>CapillaHELLA GDL</t>
  </si>
  <si>
    <t>HELLA GDLCapilla</t>
  </si>
  <si>
    <t>E-HLL-R0057</t>
  </si>
  <si>
    <t>Capilla-R0057-20:45</t>
  </si>
  <si>
    <t>E-SK1-T3-R0085</t>
  </si>
  <si>
    <t>Chulavista 2 T3</t>
  </si>
  <si>
    <t>Chulavista 2 T3SANMINA KAMPUS 16</t>
  </si>
  <si>
    <t>SANMINA KAMPUS 16Chulavista 2 T3</t>
  </si>
  <si>
    <t>E-SK1-R0085</t>
  </si>
  <si>
    <t>Chulavista 2 T3-R0085-21:00</t>
  </si>
  <si>
    <t>E-SK1-T3-R0074</t>
  </si>
  <si>
    <t>Zalatitan T3</t>
  </si>
  <si>
    <t>Zalatitan T3SANMINA KAMPUS 16</t>
  </si>
  <si>
    <t>SANMINA KAMPUS 16Zalatitan T3</t>
  </si>
  <si>
    <t>E-SK1-R0074</t>
  </si>
  <si>
    <t>Zalatitan T3-R0074-21:05</t>
  </si>
  <si>
    <t>E-SK1-T3-R0080</t>
  </si>
  <si>
    <t>Chulavista Valle Dorado T3</t>
  </si>
  <si>
    <t>Chulavista Valle Dorado T3SANMINA KAMPUS 16</t>
  </si>
  <si>
    <t>SANMINA KAMPUS 16Chulavista Valle Dorado T3</t>
  </si>
  <si>
    <t>E-SK1-R0080</t>
  </si>
  <si>
    <t>Chulavista Valle Dorado T3-R0080-21:07</t>
  </si>
  <si>
    <t>E-SK1-T3-R0076</t>
  </si>
  <si>
    <t>Auditorio T3</t>
  </si>
  <si>
    <t>Auditorio T3SANMINA KAMPUS 16</t>
  </si>
  <si>
    <t>SANMINA KAMPUS 16Auditorio T3</t>
  </si>
  <si>
    <t>E-SK1-R0076</t>
  </si>
  <si>
    <t>Auditorio T3-R0076-21:10</t>
  </si>
  <si>
    <t>E-SAN-T3-R0428</t>
  </si>
  <si>
    <t>Dominical Tonala 1 y 2</t>
  </si>
  <si>
    <t>Dominical Tonala 1 y 2SANMINA GDL</t>
  </si>
  <si>
    <t>SANMINA GDLDominical Tonala 1 y 2</t>
  </si>
  <si>
    <t>E-SAN-R0428</t>
  </si>
  <si>
    <t>Dominical Tonala 1 y 2-R0428-21:10</t>
  </si>
  <si>
    <t>E-SK1-T3-R0087</t>
  </si>
  <si>
    <t>San Martin</t>
  </si>
  <si>
    <t>San MartinSANMINA KAMPUS 16</t>
  </si>
  <si>
    <t>SANMINA KAMPUS 16San Martin</t>
  </si>
  <si>
    <t>E-SK1-R0087</t>
  </si>
  <si>
    <t>San Martin-R0087-21:15</t>
  </si>
  <si>
    <t>E-SM4-T3-R0188</t>
  </si>
  <si>
    <t>Dominical Las Juntas Pintas Vergel</t>
  </si>
  <si>
    <t>Dominical Las Juntas Pintas VergelSANMINA TLAJOMULCO</t>
  </si>
  <si>
    <t>SANMINA TLAJOMULCODominical Las Juntas Pintas Vergel</t>
  </si>
  <si>
    <t>E-SM4-R0188</t>
  </si>
  <si>
    <t>Dominical Las Juntas Pintas Vergel-R0188-21:15</t>
  </si>
  <si>
    <t>E-SM4-T3-R0138</t>
  </si>
  <si>
    <t>Dominical Valle Dorado Encinos</t>
  </si>
  <si>
    <t>VELAZQUEZ JUAREZ JONATHAN GERA</t>
  </si>
  <si>
    <t>Dominical Valle Dorado EncinosSANMINA TLAJOMULCO</t>
  </si>
  <si>
    <t>SANMINA TLAJOMULCODominical Valle Dorado Encinos</t>
  </si>
  <si>
    <t>E-SM4-R0138</t>
  </si>
  <si>
    <t>Dominical Valle Dorado Encinos-R0138-21:15</t>
  </si>
  <si>
    <t>E-SK1-T3-R0067</t>
  </si>
  <si>
    <t>Polanco T3</t>
  </si>
  <si>
    <t>Polanco T3SANMINA KAMPUS 16</t>
  </si>
  <si>
    <t>SANMINA KAMPUS 16Polanco T3</t>
  </si>
  <si>
    <t>E-SK1-R0067</t>
  </si>
  <si>
    <t>Polanco T3-R0067-21:20</t>
  </si>
  <si>
    <t>HUIZAR DELGADILLO GLBERTO</t>
  </si>
  <si>
    <t>E-FOX-T3-R0225</t>
  </si>
  <si>
    <t>3A Cima Serena</t>
  </si>
  <si>
    <t>3A Cima SerenaFOXCONN</t>
  </si>
  <si>
    <t>FOXCONN3A Cima Serena</t>
  </si>
  <si>
    <t>E-FOX-R0225</t>
  </si>
  <si>
    <t>3A Cima Serena-R0225-21:25</t>
  </si>
  <si>
    <t>E-FOX-T3-R0199</t>
  </si>
  <si>
    <t>3A Quintas del Valle</t>
  </si>
  <si>
    <t>3A Quintas del ValleFOXCONN</t>
  </si>
  <si>
    <t>FOXCONN3A Quintas del Valle</t>
  </si>
  <si>
    <t>E-FOX-R0199</t>
  </si>
  <si>
    <t>3A Quintas del Valle-R0199-21:30</t>
  </si>
  <si>
    <t>E-PEM-T1-R0013</t>
  </si>
  <si>
    <t>Mixing Santa Fe</t>
  </si>
  <si>
    <t>Mixing Santa FePEPSICO MIXING</t>
  </si>
  <si>
    <t>PEPSICO MIXINGMixing Santa Fe</t>
  </si>
  <si>
    <t>E-PEM-R0013</t>
  </si>
  <si>
    <t>Mixing Santa Fe-R0013-04:50</t>
  </si>
  <si>
    <t>E-SM4-T1-R0117</t>
  </si>
  <si>
    <t>Santa Fe 3-R0117-05:00</t>
  </si>
  <si>
    <t>E-HLL-T1-R0032</t>
  </si>
  <si>
    <t>Santa FeHELLA GDL</t>
  </si>
  <si>
    <t>HELLA GDLSanta Fe</t>
  </si>
  <si>
    <t>E-HLL-R0032</t>
  </si>
  <si>
    <t>Santa Fe-R0032-05:00</t>
  </si>
  <si>
    <t>E-SM4-T1-R0204</t>
  </si>
  <si>
    <t>San Sebastian 2-R0204-05:00</t>
  </si>
  <si>
    <t>E-SK1-T1-R0035</t>
  </si>
  <si>
    <t>Puerta del Sol T1</t>
  </si>
  <si>
    <t>Puerta del Sol T1SANMINA KAMPUS 16</t>
  </si>
  <si>
    <t>SANMINA KAMPUS 16Puerta del Sol T1</t>
  </si>
  <si>
    <t>E-SK1-R0035</t>
  </si>
  <si>
    <t>Puerta del Sol T1-R0035-05:01</t>
  </si>
  <si>
    <t>E-SAN-T1-R0068</t>
  </si>
  <si>
    <t>Panteon-R0068-05:10</t>
  </si>
  <si>
    <t>E-PIS-T1-R0015</t>
  </si>
  <si>
    <t>Chirimoyo</t>
  </si>
  <si>
    <t>ChirimoyoPIS-PISA</t>
  </si>
  <si>
    <t>PIS-PISAChirimoyo</t>
  </si>
  <si>
    <t>E-PIS-R0015</t>
  </si>
  <si>
    <t>Chirimoyo-R0015-05:15</t>
  </si>
  <si>
    <t>E-SM3-T1-R0221</t>
  </si>
  <si>
    <t>El Mirador</t>
  </si>
  <si>
    <t>El MiradorSANMINA FORANE</t>
  </si>
  <si>
    <t>SANMINA FORANEEl Mirador</t>
  </si>
  <si>
    <t>E-SM3-R0221</t>
  </si>
  <si>
    <t>El Mirador-R0221-05:20</t>
  </si>
  <si>
    <t>E-SM3-T1-R0081</t>
  </si>
  <si>
    <t>Azucena 1</t>
  </si>
  <si>
    <t>Azucena 1SANMINA FORANE</t>
  </si>
  <si>
    <t>SANMINA FORANEAzucena 1</t>
  </si>
  <si>
    <t>E-SM3-R0081</t>
  </si>
  <si>
    <t>Azucena 1-R0081-05:29</t>
  </si>
  <si>
    <t>E-FOX-T1-R0025</t>
  </si>
  <si>
    <t>Oblatos 1-R0025-05:30</t>
  </si>
  <si>
    <t>E-MOL-T1-R0030</t>
  </si>
  <si>
    <t>ADM Ciudad Guzmán</t>
  </si>
  <si>
    <t>ADM Ciudad GuzmánMOLEX</t>
  </si>
  <si>
    <t>MOLEXADM Ciudad Guzmán</t>
  </si>
  <si>
    <t>E-MOL-R0030</t>
  </si>
  <si>
    <t>ADM Ciudad Guzmán-R0030-05:30</t>
  </si>
  <si>
    <t>E-FOX-T1-R0063</t>
  </si>
  <si>
    <t>Valle DoradoFOXCONN</t>
  </si>
  <si>
    <t>FOXCONNValle Dorado</t>
  </si>
  <si>
    <t>E-FOX-R0063</t>
  </si>
  <si>
    <t>Valle Dorado-R0063-05:30</t>
  </si>
  <si>
    <t>E-FOX-T1-R0081</t>
  </si>
  <si>
    <t>Juanacatlán</t>
  </si>
  <si>
    <t>GUTIERREZ GALINDO CARLOS DE JE</t>
  </si>
  <si>
    <t>JuanacatlánFOXCONN</t>
  </si>
  <si>
    <t>FOXCONNJuanacatlán</t>
  </si>
  <si>
    <t>E-FOX-R0081</t>
  </si>
  <si>
    <t>Juanacatlán-R0081-05:30</t>
  </si>
  <si>
    <t>E-FOX-T1-R0116</t>
  </si>
  <si>
    <t>Camichines</t>
  </si>
  <si>
    <t>CamichinesFOXCONN</t>
  </si>
  <si>
    <t>FOXCONNCamichines</t>
  </si>
  <si>
    <t>E-FOX-R0116</t>
  </si>
  <si>
    <t>Camichines-R0116-05:47</t>
  </si>
  <si>
    <t>E-MOL-T1-R0028</t>
  </si>
  <si>
    <t>ADM Arcos de Zapopan</t>
  </si>
  <si>
    <t>ADM Arcos de ZapopanMOLEX</t>
  </si>
  <si>
    <t>MOLEXADM Arcos de Zapopan</t>
  </si>
  <si>
    <t>E-MOL-R0028</t>
  </si>
  <si>
    <t>ADM Arcos de Zapopan-R0028-06:15</t>
  </si>
  <si>
    <t>E-SK1-T1-R0001</t>
  </si>
  <si>
    <t>ADM Calzada</t>
  </si>
  <si>
    <t>ZARATE HERNANDEZ FRANCISCO JAV</t>
  </si>
  <si>
    <t>ADM CalzadaSANMINA KAMPUS 16</t>
  </si>
  <si>
    <t>SANMINA KAMPUS 16ADM Calzada</t>
  </si>
  <si>
    <t>E-SK1-R0001</t>
  </si>
  <si>
    <t>ADM Calzada-R0001-06:35</t>
  </si>
  <si>
    <t>E-SA4-T1-R0105</t>
  </si>
  <si>
    <t>Ocotlan 3</t>
  </si>
  <si>
    <t>SANMINA ADM</t>
  </si>
  <si>
    <t>Ocotlan 3SANMINA ADM</t>
  </si>
  <si>
    <t>FELIPE G.</t>
  </si>
  <si>
    <t>SANMINA ADMOcotlan 3</t>
  </si>
  <si>
    <t>E-SA4-R0105</t>
  </si>
  <si>
    <t>Ocotlan 3-R0105-06:40</t>
  </si>
  <si>
    <t>E-SA4-T1-R0117</t>
  </si>
  <si>
    <t>Villas AndaluciaSANMINA ADM</t>
  </si>
  <si>
    <t>SANMINA ADMVillas Andalucia</t>
  </si>
  <si>
    <t>E-SA4-R0117</t>
  </si>
  <si>
    <t>Villas Andalucia-R0117-06:40</t>
  </si>
  <si>
    <t>E-SA4-T1-R0103</t>
  </si>
  <si>
    <t>Santa fe 2</t>
  </si>
  <si>
    <t>Santa fe 2SANMINA ADM</t>
  </si>
  <si>
    <t>SANMINA ADMSanta fe 2</t>
  </si>
  <si>
    <t>E-SA4-R0103</t>
  </si>
  <si>
    <t>Santa fe 2-R0103-06:48</t>
  </si>
  <si>
    <t>E-SA4-T1-R0113</t>
  </si>
  <si>
    <t>Sauz</t>
  </si>
  <si>
    <t>SauzSANMINA ADM</t>
  </si>
  <si>
    <t>SANMINA ADMSauz</t>
  </si>
  <si>
    <t>E-SA4-R0113</t>
  </si>
  <si>
    <t>Sauz-R0113-06:48</t>
  </si>
  <si>
    <t>E-SA4-T1-R0076</t>
  </si>
  <si>
    <t>Ajijic Chapala</t>
  </si>
  <si>
    <t>Ajijic ChapalaSANMINA ADM</t>
  </si>
  <si>
    <t>SANMINA ADMAjijic Chapala</t>
  </si>
  <si>
    <t>E-SA4-R0076</t>
  </si>
  <si>
    <t>Ajijic Chapala-R0076-06:50</t>
  </si>
  <si>
    <t>E-SA4-T1-R0126</t>
  </si>
  <si>
    <t>Oblatos 1SANMINA ADM</t>
  </si>
  <si>
    <t>SANMINA ADMOblatos 1</t>
  </si>
  <si>
    <t>E-SA4-R0126</t>
  </si>
  <si>
    <t>Oblatos 1-R0126-06:50</t>
  </si>
  <si>
    <t>E-IFA-T1-R0003</t>
  </si>
  <si>
    <t>Centro Sur T1</t>
  </si>
  <si>
    <t>GRUPO IFACO GDL</t>
  </si>
  <si>
    <t>Centro Sur T1GRUPO IFACO GDL</t>
  </si>
  <si>
    <t>David C.</t>
  </si>
  <si>
    <t>GRUPO IFACO GDLCentro Sur T1</t>
  </si>
  <si>
    <t>E-IFA-R0003</t>
  </si>
  <si>
    <t>Centro Sur T1-R0003-07:00</t>
  </si>
  <si>
    <t>E-SA4-T1-R0109</t>
  </si>
  <si>
    <t>Santa fe Combinado</t>
  </si>
  <si>
    <t>Santa fe CombinadoSANMINA ADM</t>
  </si>
  <si>
    <t>SANMINA ADMSanta fe Combinado</t>
  </si>
  <si>
    <t>E-SA4-R0109</t>
  </si>
  <si>
    <t>Santa fe Combinado-R0109-07:05</t>
  </si>
  <si>
    <t>E-IFA-T1-R0015</t>
  </si>
  <si>
    <t>Centro Sur T2</t>
  </si>
  <si>
    <t>Centro Sur T2GRUPO IFACO GDL</t>
  </si>
  <si>
    <t>GRUPO IFACO GDLCentro Sur T2</t>
  </si>
  <si>
    <t>Centro Sur T2-R0015-09:00</t>
  </si>
  <si>
    <t>E-PEM-T?-?0013</t>
  </si>
  <si>
    <t>T?</t>
  </si>
  <si>
    <t>Mixing Santa Fe-?0013-11:10</t>
  </si>
  <si>
    <t>E-PEP-T2-R0007</t>
  </si>
  <si>
    <t>Moctezuma San Sebastian</t>
  </si>
  <si>
    <t>Moctezuma San SebastianPEPSICO GDL</t>
  </si>
  <si>
    <t>PEPSICO GDLMoctezuma San Sebastian</t>
  </si>
  <si>
    <t>E-PEP-R0007</t>
  </si>
  <si>
    <t>Moctezuma San Sebastian-R0007-12:20</t>
  </si>
  <si>
    <t>E-SOR-T2-R0033</t>
  </si>
  <si>
    <t>El Vado</t>
  </si>
  <si>
    <t>SORIANA GDL</t>
  </si>
  <si>
    <t>El VadoSORIANA GDL</t>
  </si>
  <si>
    <t>SORIANA GDLEl Vado</t>
  </si>
  <si>
    <t>E-SOR-R0033</t>
  </si>
  <si>
    <t>El Vado-R0033-12:30</t>
  </si>
  <si>
    <t>E-PEP-T2-R0038</t>
  </si>
  <si>
    <t>Moctezuma Zalate</t>
  </si>
  <si>
    <t>Moctezuma ZalatePEPSICO GDL</t>
  </si>
  <si>
    <t>PEPSICO GDLMoctezuma Zalate</t>
  </si>
  <si>
    <t>E-PEP-R0038</t>
  </si>
  <si>
    <t>Moctezuma Zalate-R0038-12:40</t>
  </si>
  <si>
    <t>E-SM4-T2-R0101</t>
  </si>
  <si>
    <t>Lomas de San Agustin-R0101-12:40</t>
  </si>
  <si>
    <t>E-SK1-T2-R0068</t>
  </si>
  <si>
    <t>Tonala T2</t>
  </si>
  <si>
    <t>Tonala T2SANMINA KAMPUS 16</t>
  </si>
  <si>
    <t>SANMINA KAMPUS 16Tonala T2</t>
  </si>
  <si>
    <t>E-SK1-R0068</t>
  </si>
  <si>
    <t>Tonala T2-R0068-12:45</t>
  </si>
  <si>
    <t>E-SK1-T2-R0083</t>
  </si>
  <si>
    <t>Jauja T2</t>
  </si>
  <si>
    <t>Jauja T2SANMINA KAMPUS 16</t>
  </si>
  <si>
    <t>SANMINA KAMPUS 16Jauja T2</t>
  </si>
  <si>
    <t>E-SK1-R0083</t>
  </si>
  <si>
    <t>Jauja T2-R0083-12:53</t>
  </si>
  <si>
    <t>E-SAN-T2-R0058</t>
  </si>
  <si>
    <t>Adrian Puga</t>
  </si>
  <si>
    <t>Adrian PugaSANMINA GDL</t>
  </si>
  <si>
    <t>SANMINA GDLAdrian Puga</t>
  </si>
  <si>
    <t>E-SAN-R0058</t>
  </si>
  <si>
    <t>Adrian Puga-R0058-12:55</t>
  </si>
  <si>
    <t>E-SK1-T2-R0069</t>
  </si>
  <si>
    <t>Periferico T2</t>
  </si>
  <si>
    <t>Periferico T2SANMINA KAMPUS 16</t>
  </si>
  <si>
    <t>SANMINA KAMPUS 16Periferico T2</t>
  </si>
  <si>
    <t>E-SK1-R0069</t>
  </si>
  <si>
    <t>Periferico T2-R0069-13:00</t>
  </si>
  <si>
    <t>E-DIA-T2-R0001</t>
  </si>
  <si>
    <t>Atotonilco-Nueva Destileria-R0001-13:15</t>
  </si>
  <si>
    <t>E-FOX-T2-R0173</t>
  </si>
  <si>
    <t>Apoyo Loma Bonita-R0173-13:17</t>
  </si>
  <si>
    <t>E-FOX-T2-R0230</t>
  </si>
  <si>
    <t>Zalatitan</t>
  </si>
  <si>
    <t>ZalatitanFOXCONN</t>
  </si>
  <si>
    <t>FOXCONNZalatitan</t>
  </si>
  <si>
    <t>E-FOX-R0230</t>
  </si>
  <si>
    <t>Zalatitan-R0230-13:28</t>
  </si>
  <si>
    <t>E-FOX-T2-R0232</t>
  </si>
  <si>
    <t>Olivos</t>
  </si>
  <si>
    <t>P.MURILLO GOMEZ MARIO ROBERTO</t>
  </si>
  <si>
    <t>OlivosFOXCONN</t>
  </si>
  <si>
    <t>FOXCONNOlivos</t>
  </si>
  <si>
    <t>E-FOX-R0232</t>
  </si>
  <si>
    <t>Olivos-R0232-13:40</t>
  </si>
  <si>
    <t>E-ZFF-T2-R0009</t>
  </si>
  <si>
    <t>Op FOR Ex Hacienda</t>
  </si>
  <si>
    <t>Op FOR Ex HaciendaZF FORANEO</t>
  </si>
  <si>
    <t>ZF FORANEOOp FOR Ex Hacienda</t>
  </si>
  <si>
    <t>E-ZFF-R0009</t>
  </si>
  <si>
    <t>Op FOR Ex Hacienda-R0009-14:45</t>
  </si>
  <si>
    <t>E-FOX-T2-R0267</t>
  </si>
  <si>
    <t>Interplantas-R0267-15:20</t>
  </si>
  <si>
    <t>E-PAQ-T3-R0021</t>
  </si>
  <si>
    <t>Juan de la Barrera T3</t>
  </si>
  <si>
    <t>Juan de la Barrera T3PAQUETEXPRESS GDL</t>
  </si>
  <si>
    <t>PAQUETEXPRESS GDLJuan de la Barrera T3</t>
  </si>
  <si>
    <t>E-PAQ-R0021</t>
  </si>
  <si>
    <t>Juan de la Barrera T3-R0021-15:34</t>
  </si>
  <si>
    <t>E-MOL-T2-R0038</t>
  </si>
  <si>
    <t>Ciudad Guzman-R0038-16:20</t>
  </si>
  <si>
    <t>E-PIS-T2-R0089</t>
  </si>
  <si>
    <t>Valle Dorado-R0089-17:00</t>
  </si>
  <si>
    <t>E-PEP-T3-R0007</t>
  </si>
  <si>
    <t>Moctezuma San Sebastian-R0007-19:55</t>
  </si>
  <si>
    <t>E-FOX-T3-R0136</t>
  </si>
  <si>
    <t>Apoyo Ocotlán-R0136-20:43</t>
  </si>
  <si>
    <t>E-HER-T3-R0007</t>
  </si>
  <si>
    <t>Tonala-R0007-20:50</t>
  </si>
  <si>
    <t>E-SK1-T3-R0029</t>
  </si>
  <si>
    <t>Lomas del Sur-R0029-21:00</t>
  </si>
  <si>
    <t>E-SK1-T3-R0072</t>
  </si>
  <si>
    <t>Puerta del Sol T3</t>
  </si>
  <si>
    <t>GODINEZ CONTRERAS SERGIO ALEJA</t>
  </si>
  <si>
    <t>Puerta del Sol T3SANMINA KAMPUS 16</t>
  </si>
  <si>
    <t>SANMINA KAMPUS 16Puerta del Sol T3</t>
  </si>
  <si>
    <t>E-SK1-R0072</t>
  </si>
  <si>
    <t>Puerta del Sol T3-R0072-21:05</t>
  </si>
  <si>
    <t>E-FOX-T3-R0218</t>
  </si>
  <si>
    <t>3A Apoyo Tetlan</t>
  </si>
  <si>
    <t>3A Apoyo TetlanFOXCONN</t>
  </si>
  <si>
    <t>FOXCONN3A Apoyo Tetlan</t>
  </si>
  <si>
    <t>E-FOX-R0218</t>
  </si>
  <si>
    <t>3A Apoyo Tetlan-R0218-21:06</t>
  </si>
  <si>
    <t>E-FOX-T3-R0098</t>
  </si>
  <si>
    <t>El Colli-R0098-21:10</t>
  </si>
  <si>
    <t>E-FOX-T3-R0121</t>
  </si>
  <si>
    <t>Fresnos</t>
  </si>
  <si>
    <t>FresnosFOXCONN</t>
  </si>
  <si>
    <t>FOXCONNFresnos</t>
  </si>
  <si>
    <t>E-FOX-R0121</t>
  </si>
  <si>
    <t>Fresnos-R0121-21:10</t>
  </si>
  <si>
    <t>E-FOX-T3-R0258</t>
  </si>
  <si>
    <t>Apoyo Las Villas</t>
  </si>
  <si>
    <t>Apoyo Las VillasFOXCONN</t>
  </si>
  <si>
    <t>FOXCONNApoyo Las Villas</t>
  </si>
  <si>
    <t>E-FOX-R0258</t>
  </si>
  <si>
    <t>Apoyo Las Villas-R0258-21:22</t>
  </si>
  <si>
    <t>E-HER-T3-R0011</t>
  </si>
  <si>
    <t>El Salto Azucena-R0011-21:26</t>
  </si>
  <si>
    <t>E-ZFM-T3-R0013</t>
  </si>
  <si>
    <t>Op MET El Verde E</t>
  </si>
  <si>
    <t>Op MET El Verde EZF METROPOLITANA</t>
  </si>
  <si>
    <t>ZF METROPOLITANAOp MET El Verde E</t>
  </si>
  <si>
    <t>E-ZFM-R0013</t>
  </si>
  <si>
    <t>Op MET El Verde E-R0013-21:30</t>
  </si>
  <si>
    <t>E-ZFF-T3-R0001</t>
  </si>
  <si>
    <t>Op FOR Aguilillas</t>
  </si>
  <si>
    <t>Op FOR AguilillasZF FORANEO</t>
  </si>
  <si>
    <t>ZF FORANEOOp FOR Aguilillas</t>
  </si>
  <si>
    <t>E-ZFF-R0001</t>
  </si>
  <si>
    <t>Op FOR Aguilillas-R0001-21:35</t>
  </si>
  <si>
    <t>E-DJT-T1-R0009</t>
  </si>
  <si>
    <t>San Fernando</t>
  </si>
  <si>
    <t xml:space="preserve">DON JULIO TEPIC </t>
  </si>
  <si>
    <t xml:space="preserve">San FernandoDON JULIO TEPIC </t>
  </si>
  <si>
    <t>DON JULIO TEPIC San Fernando</t>
  </si>
  <si>
    <t>E-DJT-R0009</t>
  </si>
  <si>
    <t>San Fernando-R0009-04:40</t>
  </si>
  <si>
    <t>E-MOL-T1-R0042</t>
  </si>
  <si>
    <t>Tlaquepaque 2</t>
  </si>
  <si>
    <t>BELTRAN OLIVARES NESTOR ARMAND</t>
  </si>
  <si>
    <t>Tlaquepaque 2MOLEX</t>
  </si>
  <si>
    <t>MOLEXTlaquepaque 2</t>
  </si>
  <si>
    <t>E-MOL-R0042</t>
  </si>
  <si>
    <t>Tlaquepaque 2-R0042-04:40</t>
  </si>
  <si>
    <t>E-DJT-T1-R0001</t>
  </si>
  <si>
    <t>Puga</t>
  </si>
  <si>
    <t xml:space="preserve">PugaDON JULIO TEPIC </t>
  </si>
  <si>
    <t>DON JULIO TEPIC Puga</t>
  </si>
  <si>
    <t>E-DJT-R0001</t>
  </si>
  <si>
    <t>Puga-R0001-05:00</t>
  </si>
  <si>
    <t>E-DJT-T1-R0002</t>
  </si>
  <si>
    <t>Mujeres</t>
  </si>
  <si>
    <t xml:space="preserve">MujeresDON JULIO TEPIC </t>
  </si>
  <si>
    <t>DON JULIO TEPIC Mujeres</t>
  </si>
  <si>
    <t>E-DJT-R0002</t>
  </si>
  <si>
    <t>Mujeres-R0002-05:00</t>
  </si>
  <si>
    <t>E-DJT-T1-R0004</t>
  </si>
  <si>
    <t>Pochotitan Mujeres</t>
  </si>
  <si>
    <t xml:space="preserve">Pochotitan MujeresDON JULIO TEPIC </t>
  </si>
  <si>
    <t>DON JULIO TEPIC Pochotitan Mujeres</t>
  </si>
  <si>
    <t>E-DJT-R0004</t>
  </si>
  <si>
    <t>Pochotitan Mujeres-R0004-05:00</t>
  </si>
  <si>
    <t>E-ZLT-T1-R0014</t>
  </si>
  <si>
    <t>Villas de andalucia</t>
  </si>
  <si>
    <t>Villas de andaluciaZOLTEK GDL</t>
  </si>
  <si>
    <t>ZOLTEK GDLVillas de andalucia</t>
  </si>
  <si>
    <t>E-ZLT-R0014</t>
  </si>
  <si>
    <t>Villas de andalucia-R0014-05:00</t>
  </si>
  <si>
    <t>E-PIS-T1-R0077</t>
  </si>
  <si>
    <t>Gobernador Curiel</t>
  </si>
  <si>
    <t>Gobernador CurielPIS-PISA</t>
  </si>
  <si>
    <t>PIS-PISAGobernador Curiel</t>
  </si>
  <si>
    <t>E-PIS-R0077</t>
  </si>
  <si>
    <t>Gobernador Curiel-R0077-05:00</t>
  </si>
  <si>
    <t>E-SK1-T1-R0086</t>
  </si>
  <si>
    <t>Bethel T1</t>
  </si>
  <si>
    <t>VAZQUEZ CORTES MIGUEL ALEJANDR</t>
  </si>
  <si>
    <t>Bethel T1SANMINA KAMPUS 16</t>
  </si>
  <si>
    <t>SANMINA KAMPUS 16Bethel T1</t>
  </si>
  <si>
    <t>E-SK1-R0086</t>
  </si>
  <si>
    <t>Bethel T1-R0086-05:07</t>
  </si>
  <si>
    <t>E-PEP-T1-R0038</t>
  </si>
  <si>
    <t>Moctezuma Zalate-R0038-05:10</t>
  </si>
  <si>
    <t>E-DIA-T1-R0005</t>
  </si>
  <si>
    <t>Atotonilco-Centro-Charcon</t>
  </si>
  <si>
    <t>Atotonilco-Centro-CharconDIAGEO GDL</t>
  </si>
  <si>
    <t>DIAGEO GDLAtotonilco-Centro-Charcon</t>
  </si>
  <si>
    <t>E-DIA-R0005</t>
  </si>
  <si>
    <t>Atotonilco-Centro-Charcon-R0005-05:10</t>
  </si>
  <si>
    <t>E-PIS-T1-R0079</t>
  </si>
  <si>
    <t>Villas de la Hacienda-R0079-05:10</t>
  </si>
  <si>
    <t>E-FOX-T1-R0136</t>
  </si>
  <si>
    <t>Apoyo Ocotlán-R0136-05:13</t>
  </si>
  <si>
    <t>E-DIA-T1-R0001</t>
  </si>
  <si>
    <t>Atotonilco-Nueva Destileria-R0001-05:15</t>
  </si>
  <si>
    <t>E-PIS-T1-R0025</t>
  </si>
  <si>
    <t>Lomas del SurPIS-PISA</t>
  </si>
  <si>
    <t>PIS-PISALomas del Sur</t>
  </si>
  <si>
    <t>E-PIS-R0025</t>
  </si>
  <si>
    <t>Lomas del Sur-R0025-05:15</t>
  </si>
  <si>
    <t>E-SAN-T1-R0071</t>
  </si>
  <si>
    <t>Santa Cecilia-R0071-05:20</t>
  </si>
  <si>
    <t>Centro Sur.-R0016-05:20</t>
  </si>
  <si>
    <t>E-SM3-T1-R0119</t>
  </si>
  <si>
    <t>Piedras Villas</t>
  </si>
  <si>
    <t>Piedras VillasSANMINA FORANE</t>
  </si>
  <si>
    <t>SANMINA FORANEPiedras Villas</t>
  </si>
  <si>
    <t>E-SM3-R0119</t>
  </si>
  <si>
    <t>Piedras Villas-R0119-05:21</t>
  </si>
  <si>
    <t>E-PIS-T1-R0033</t>
  </si>
  <si>
    <t>Los Eucaliptos</t>
  </si>
  <si>
    <t>Los EucaliptosPIS-PISA</t>
  </si>
  <si>
    <t>PIS-PISALos Eucaliptos</t>
  </si>
  <si>
    <t>E-PIS-R0033</t>
  </si>
  <si>
    <t>Los Eucaliptos-R0033-05:25</t>
  </si>
  <si>
    <t>almost</t>
  </si>
  <si>
    <t>E-FOX-T1-R0151</t>
  </si>
  <si>
    <t>Apoyo Santa Fe 2</t>
  </si>
  <si>
    <t>Apoyo Santa Fe 2FOXCONN</t>
  </si>
  <si>
    <t>FOXCONNApoyo Santa Fe 2</t>
  </si>
  <si>
    <t>E-FOX-R0151</t>
  </si>
  <si>
    <t>Apoyo Santa Fe 2-R0151-05:32</t>
  </si>
  <si>
    <t>E-FOX-T1-R0258</t>
  </si>
  <si>
    <t>Apoyo Las Villas-R0258-06:02</t>
  </si>
  <si>
    <t>E-FOX-T1-R0054</t>
  </si>
  <si>
    <t>ADM Arcos Zapopan</t>
  </si>
  <si>
    <t>ADM Arcos ZapopanFOXCONN</t>
  </si>
  <si>
    <t>FOXCONNADM Arcos Zapopan</t>
  </si>
  <si>
    <t>E-FOX-R0054</t>
  </si>
  <si>
    <t>ADM Arcos Zapopan-R0054-07:00</t>
  </si>
  <si>
    <t>E-MAB-T1-R0022</t>
  </si>
  <si>
    <t>Sabinos- Santa Rosa</t>
  </si>
  <si>
    <t>MABE GDL</t>
  </si>
  <si>
    <t>Sabinos- Santa RosaMABE GDL</t>
  </si>
  <si>
    <t>MABE GDLSabinos- Santa Rosa</t>
  </si>
  <si>
    <t>E-MAB-R0022</t>
  </si>
  <si>
    <t>Sabinos- Santa Rosa-R0022-07:00</t>
  </si>
  <si>
    <t>E-SM3-T2-R0231</t>
  </si>
  <si>
    <t>Ocotlan 1 T2 y T3</t>
  </si>
  <si>
    <t>OCEGUEDA CHAVEZ GUADALUPE ALEJ</t>
  </si>
  <si>
    <t>Ocotlan 1 T2 y T3SANMINA FORANE</t>
  </si>
  <si>
    <t>SANMINA FORANEOcotlan 1 T2 y T3</t>
  </si>
  <si>
    <t>E-SM3-R0231</t>
  </si>
  <si>
    <t>Ocotlan 1 T2 y T3-R0231-12:45</t>
  </si>
  <si>
    <t>E-MAB-T2-R0022</t>
  </si>
  <si>
    <t>ZUÑIGA HERNANDEZ OSCAR FRANC</t>
  </si>
  <si>
    <t>Sabinos- Santa Rosa-R0022-13:00</t>
  </si>
  <si>
    <t>E-SM4-T2-R0227</t>
  </si>
  <si>
    <t>Lomas del SurSANMINA TLAJOMULCO</t>
  </si>
  <si>
    <t>SANMINA TLAJOMULCOLomas del Sur</t>
  </si>
  <si>
    <t>E-SM4-R0227</t>
  </si>
  <si>
    <t>Lomas del Sur-R0227-13:00</t>
  </si>
  <si>
    <t>E-FOX-T2-R0067</t>
  </si>
  <si>
    <t>Terranova 3</t>
  </si>
  <si>
    <t>Terranova 3FOXCONN</t>
  </si>
  <si>
    <t>FOXCONNTerranova 3</t>
  </si>
  <si>
    <t>E-FOX-R0067</t>
  </si>
  <si>
    <t>Terranova 3-R0067-13:05</t>
  </si>
  <si>
    <t>E-FOX-T2-R0032</t>
  </si>
  <si>
    <t>Lomas del Sur-R0032-13:19</t>
  </si>
  <si>
    <t>E-PEP-T2-R0018</t>
  </si>
  <si>
    <t>Moctezuma Miramar 2</t>
  </si>
  <si>
    <t>Moctezuma Miramar 2PEPSICO GDL</t>
  </si>
  <si>
    <t>PEPSICO GDLMoctezuma Miramar 2</t>
  </si>
  <si>
    <t>E-PEP-R0018</t>
  </si>
  <si>
    <t>Moctezuma Miramar 2-R0018-13:20</t>
  </si>
  <si>
    <t>E-SM4-T2-R0229</t>
  </si>
  <si>
    <t>Apoyo Adolf Horn T2 y T3</t>
  </si>
  <si>
    <t>Apoyo Adolf Horn T2 y T3SANMINA TLAJOMULCO</t>
  </si>
  <si>
    <t>SANMINA TLAJOMULCOApoyo Adolf Horn T2 y T3</t>
  </si>
  <si>
    <t>E-SM4-R0229</t>
  </si>
  <si>
    <t>Apoyo Adolf Horn T2 y T3-R0229-13:20</t>
  </si>
  <si>
    <t>E-FOX-T2-R0155</t>
  </si>
  <si>
    <t>Lomas de Polanco</t>
  </si>
  <si>
    <t>Lomas de PolancoFOXCONN</t>
  </si>
  <si>
    <t>FOXCONNLomas de Polanco</t>
  </si>
  <si>
    <t>E-FOX-R0155</t>
  </si>
  <si>
    <t>Lomas de Polanco-R0155-13:21</t>
  </si>
  <si>
    <t>E-FOX-T2-R0040</t>
  </si>
  <si>
    <t>8 De Julio</t>
  </si>
  <si>
    <t>8 De JulioFOXCONN</t>
  </si>
  <si>
    <t>FOXCONN8 De Julio</t>
  </si>
  <si>
    <t>E-FOX-R0040</t>
  </si>
  <si>
    <t>8 De Julio-R0040-13:30</t>
  </si>
  <si>
    <t>FLORES CERVANTES JOSE CHRISTIA</t>
  </si>
  <si>
    <t>E-PIS-T2-R0027</t>
  </si>
  <si>
    <t>Las Juntas-R0027-16:15</t>
  </si>
  <si>
    <t>E-CUP-T1-R0003</t>
  </si>
  <si>
    <t>Chulavista 12X12</t>
  </si>
  <si>
    <t>Chulavista 12X12CUPRUM GDL</t>
  </si>
  <si>
    <t>CUPRUM GDLChulavista 12X12</t>
  </si>
  <si>
    <t>E-CUP-R0003</t>
  </si>
  <si>
    <t>Chulavista 12X12-R0003-16:35</t>
  </si>
  <si>
    <t>E-MOL-T2-R0018</t>
  </si>
  <si>
    <t>Zacoalco L - J</t>
  </si>
  <si>
    <t>Zacoalco L - JMOLEX</t>
  </si>
  <si>
    <t>MOLEXZacoalco L - J</t>
  </si>
  <si>
    <t>E-MOL-R0018</t>
  </si>
  <si>
    <t>Zacoalco L - J-R0018-16:55</t>
  </si>
  <si>
    <t>E-PIS-T2-R0087</t>
  </si>
  <si>
    <t>Lomas de Tejeda</t>
  </si>
  <si>
    <t>AVILA HERRADA WILLIAMS</t>
  </si>
  <si>
    <t>Lomas de TejedaPIS-PISA</t>
  </si>
  <si>
    <t>PIS-PISALomas de Tejeda</t>
  </si>
  <si>
    <t>E-PIS-R0087</t>
  </si>
  <si>
    <t>Lomas de Tejeda-R0087-17:00</t>
  </si>
  <si>
    <t>E-PIS-T2-R0085</t>
  </si>
  <si>
    <t>Cielito Lindo</t>
  </si>
  <si>
    <t>Cielito LindoPIS-PISA</t>
  </si>
  <si>
    <t>PIS-PISACielito Lindo</t>
  </si>
  <si>
    <t>E-PIS-R0085</t>
  </si>
  <si>
    <t>Cielito Lindo-R0085-17:15</t>
  </si>
  <si>
    <t>E-PEP-T3-R0049</t>
  </si>
  <si>
    <t>Moctezuma Santa Rita-R0049-20:50</t>
  </si>
  <si>
    <t>E-SK1-T3-R0013</t>
  </si>
  <si>
    <t>Bethel T3</t>
  </si>
  <si>
    <t>Bethel T3SANMINA KAMPUS 16</t>
  </si>
  <si>
    <t>SANMINA KAMPUS 16Bethel T3</t>
  </si>
  <si>
    <t>E-SK1-R0013</t>
  </si>
  <si>
    <t>Bethel T3-R0013-20:57</t>
  </si>
  <si>
    <t>E-HLL-T3-R0049</t>
  </si>
  <si>
    <t>Puente Viejo</t>
  </si>
  <si>
    <t>Puente ViejoHELLA GDL</t>
  </si>
  <si>
    <t>HELLA GDLPuente Viejo</t>
  </si>
  <si>
    <t>E-HLL-R0049</t>
  </si>
  <si>
    <t>Puente Viejo-R0049-21:05</t>
  </si>
  <si>
    <t>E-SK1-T3-R0082</t>
  </si>
  <si>
    <t>Santa Fe T3</t>
  </si>
  <si>
    <t>Santa Fe T3SANMINA KAMPUS 16</t>
  </si>
  <si>
    <t>SANMINA KAMPUS 16Santa Fe T3</t>
  </si>
  <si>
    <t>E-SK1-R0082</t>
  </si>
  <si>
    <t>Santa Fe T3-R0082-21:13</t>
  </si>
  <si>
    <t>E-SAN-T3-R0424</t>
  </si>
  <si>
    <t>Plutarco-Santa Cecilia</t>
  </si>
  <si>
    <t>Plutarco-Santa CeciliaSANMINA GDL</t>
  </si>
  <si>
    <t>SANMINA GDLPlutarco-Santa Cecilia</t>
  </si>
  <si>
    <t>E-SAN-R0424</t>
  </si>
  <si>
    <t>Plutarco-Santa Cecilia-R0424-21:15</t>
  </si>
  <si>
    <t>E-FOX-T3-R0139</t>
  </si>
  <si>
    <t>Apoyo Chulavista-R0139-21:16</t>
  </si>
  <si>
    <t>E-HER-T3-R0016</t>
  </si>
  <si>
    <t>Centro Sur.-R0016-21:20</t>
  </si>
  <si>
    <t>E-FOX-T3-R0149</t>
  </si>
  <si>
    <t>Apoyo Santa Fe 1</t>
  </si>
  <si>
    <t>Apoyo Santa Fe 1FOXCONN</t>
  </si>
  <si>
    <t>FOXCONNApoyo Santa Fe 1</t>
  </si>
  <si>
    <t>E-FOX-R0149</t>
  </si>
  <si>
    <t>Apoyo Santa Fe 1-R0149-21:24</t>
  </si>
  <si>
    <t>E-ZFF-T3-R0009</t>
  </si>
  <si>
    <t>Op FOR Ex Hacienda-R0009-21:25</t>
  </si>
  <si>
    <t>E-FOX-T3-R0034</t>
  </si>
  <si>
    <t>Arvento-R0034-21:32</t>
  </si>
  <si>
    <t>E-FUN-T1-R0005</t>
  </si>
  <si>
    <t>Tlajomulco</t>
  </si>
  <si>
    <t>FUNDIAC</t>
  </si>
  <si>
    <t>TlajomulcoFUNDIAC</t>
  </si>
  <si>
    <t>FUNDIACTlajomulco</t>
  </si>
  <si>
    <t>E-FUN-R0005</t>
  </si>
  <si>
    <t>Tlajomulco-R0005-04:50</t>
  </si>
  <si>
    <t>E-PIS-T1-R0041</t>
  </si>
  <si>
    <t>Parques del Palmar-R0041-04:50</t>
  </si>
  <si>
    <t>E-SM3-T1-R0098</t>
  </si>
  <si>
    <t>Villas Andalucia-R0098-05:00</t>
  </si>
  <si>
    <t>E-PIS-T1-R0051</t>
  </si>
  <si>
    <t>El Refugio</t>
  </si>
  <si>
    <t>El RefugioPIS-PISA</t>
  </si>
  <si>
    <t>PIS-PISAEl Refugio</t>
  </si>
  <si>
    <t>E-PIS-R0051</t>
  </si>
  <si>
    <t>El Refugio-R0051-05:03</t>
  </si>
  <si>
    <t>E-SM4-T1-R0231</t>
  </si>
  <si>
    <t>Lopez Mateos</t>
  </si>
  <si>
    <t>Lopez MateosSANMINA TLAJOMULCO</t>
  </si>
  <si>
    <t>SANMINA TLAJOMULCOLopez Mateos</t>
  </si>
  <si>
    <t>E-SM4-R0231</t>
  </si>
  <si>
    <t>Lopez Mateos-R0231-05:10</t>
  </si>
  <si>
    <t>E-CUP-T1-R0020</t>
  </si>
  <si>
    <t>1 de Mayo</t>
  </si>
  <si>
    <t>RODRIGUEZ RENTERIA BRAYAN  IVAN</t>
  </si>
  <si>
    <t>1 de MayoCUPRUM GDL</t>
  </si>
  <si>
    <t>CUPRUM GDL1 de Mayo</t>
  </si>
  <si>
    <t>E-CUP-R0020</t>
  </si>
  <si>
    <t>1 de Mayo-R0020-05:10</t>
  </si>
  <si>
    <t>E-SM4-T1-R0227</t>
  </si>
  <si>
    <t>Lomas del Sur-R0227-05:15</t>
  </si>
  <si>
    <t>E-SK1-T1-R0033</t>
  </si>
  <si>
    <t>Polanco T1</t>
  </si>
  <si>
    <t>Polanco T1SANMINA KAMPUS 16</t>
  </si>
  <si>
    <t>SANMINA KAMPUS 16Polanco T1</t>
  </si>
  <si>
    <t>E-SK1-R0033</t>
  </si>
  <si>
    <t>Polanco T1-R0033-05:20</t>
  </si>
  <si>
    <t>E-SM4-T1-R0090</t>
  </si>
  <si>
    <t>Carretera Santa Filomena</t>
  </si>
  <si>
    <t>Carretera Santa FilomenaSANMINA TLAJOMULCO</t>
  </si>
  <si>
    <t>SANMINA TLAJOMULCOCarretera Santa Filomena</t>
  </si>
  <si>
    <t>E-SM4-R0090</t>
  </si>
  <si>
    <t>Carretera Santa Filomena-R0090-05:20</t>
  </si>
  <si>
    <t>E-SK1-T1-R0021</t>
  </si>
  <si>
    <t>Fovissste</t>
  </si>
  <si>
    <t>FovisssteSANMINA KAMPUS 16</t>
  </si>
  <si>
    <t>SANMINA KAMPUS 16Fovissste</t>
  </si>
  <si>
    <t>E-SK1-R0021</t>
  </si>
  <si>
    <t>Fovissste-R0021-05:22</t>
  </si>
  <si>
    <t>E-SM4-T1-R0125</t>
  </si>
  <si>
    <t>Vergel Rosas Pintas</t>
  </si>
  <si>
    <t>Vergel Rosas PintasSANMINA TLAJOMULCO</t>
  </si>
  <si>
    <t>SANMINA TLAJOMULCOVergel Rosas Pintas</t>
  </si>
  <si>
    <t>E-SM4-R0125</t>
  </si>
  <si>
    <t>Vergel Rosas Pintas-R0125-05:25</t>
  </si>
  <si>
    <t>E-HER-T1-R0006</t>
  </si>
  <si>
    <t>Villas AndaluciaHERSHEYS</t>
  </si>
  <si>
    <t>HERSHEYSVillas Andalucia</t>
  </si>
  <si>
    <t>E-HER-R0006</t>
  </si>
  <si>
    <t>Villas Andalucia-R0006-05:25</t>
  </si>
  <si>
    <t>E-ZFF-T1-R0001</t>
  </si>
  <si>
    <t>Op FOR Aguilillas-R0001-05:35</t>
  </si>
  <si>
    <t>E-HLL-T1-R0049</t>
  </si>
  <si>
    <t>Puente Viejo-R0049-05:35</t>
  </si>
  <si>
    <t>E-FOX-T1-R0254</t>
  </si>
  <si>
    <t>Casa Blanca</t>
  </si>
  <si>
    <t>Casa BlancaFOXCONN</t>
  </si>
  <si>
    <t>FOXCONNCasa Blanca</t>
  </si>
  <si>
    <t>E-FOX-R0254</t>
  </si>
  <si>
    <t>Casa Blanca-R0254-05:39</t>
  </si>
  <si>
    <t>E-SA4-T1-R0089</t>
  </si>
  <si>
    <t>Guadalupe</t>
  </si>
  <si>
    <t>GuadalupeSANMINA ADM</t>
  </si>
  <si>
    <t>SANMINA ADMGuadalupe</t>
  </si>
  <si>
    <t>E-SA4-R0089</t>
  </si>
  <si>
    <t>Guadalupe-R0089-07:00</t>
  </si>
  <si>
    <t>E-SK1-T2-R0057</t>
  </si>
  <si>
    <t>Bethel T2</t>
  </si>
  <si>
    <t>Bethel T2SANMINA KAMPUS 16</t>
  </si>
  <si>
    <t>SANMINA KAMPUS 16Bethel T2</t>
  </si>
  <si>
    <t>E-SK1-R0057</t>
  </si>
  <si>
    <t>Bethel T2-R0057-12:40</t>
  </si>
  <si>
    <t>E-SK1-T2-R0021</t>
  </si>
  <si>
    <t>Fovissste-R0021-13:00</t>
  </si>
  <si>
    <t>E-SM4-T2-R0080</t>
  </si>
  <si>
    <t>Villas Santa Cruz</t>
  </si>
  <si>
    <t>Villas Santa CruzSANMINA TLAJOMULCO</t>
  </si>
  <si>
    <t>SANMINA TLAJOMULCOVillas Santa Cruz</t>
  </si>
  <si>
    <t>E-SM4-R0080</t>
  </si>
  <si>
    <t>Villas Santa Cruz-R0080-13:05</t>
  </si>
  <si>
    <t>E-DIA-T2-R0005</t>
  </si>
  <si>
    <t>Atotonilco-Centro-Charcon-R0005-13:10</t>
  </si>
  <si>
    <t>E-FOX-T2-R0030</t>
  </si>
  <si>
    <t>San Gaspar</t>
  </si>
  <si>
    <t>San GasparFOXCONN</t>
  </si>
  <si>
    <t>FOXCONNSan Gaspar</t>
  </si>
  <si>
    <t>E-FOX-R0030</t>
  </si>
  <si>
    <t>San Gaspar-R0030-13:16</t>
  </si>
  <si>
    <t>E-HER-T2-R0016</t>
  </si>
  <si>
    <t>Centro Sur.-R0016-13:50</t>
  </si>
  <si>
    <t>E-ZFM-T2-R0011</t>
  </si>
  <si>
    <t>Op MET Cajititlan E</t>
  </si>
  <si>
    <t>Op MET Cajititlan EZF METROPOLITANA</t>
  </si>
  <si>
    <t>ZF METROPOLITANAOp MET Cajititlan E</t>
  </si>
  <si>
    <t>E-ZFM-R0011</t>
  </si>
  <si>
    <t>Op MET Cajititlan E-R0011-14:50</t>
  </si>
  <si>
    <t>E-PIS-T2-R0077</t>
  </si>
  <si>
    <t>Gobernador Curiel-R0077-16:50</t>
  </si>
  <si>
    <t>E-PIS-T2-R0021</t>
  </si>
  <si>
    <t>La Fortuna-R0021-17:05</t>
  </si>
  <si>
    <t>E-PEP-T3-R0038</t>
  </si>
  <si>
    <t>Moctezuma Zalate-R0038-20:20</t>
  </si>
  <si>
    <t>E-SAN-T3-R0490</t>
  </si>
  <si>
    <t>Tabachines T2 y T3</t>
  </si>
  <si>
    <t>Tabachines T2 y T3SANMINA GDL</t>
  </si>
  <si>
    <t>SANMINA GDLTabachines T2 y T3</t>
  </si>
  <si>
    <t>E-SAN-R0490</t>
  </si>
  <si>
    <t>Tabachines T2 y T3-R0490-20:50</t>
  </si>
  <si>
    <t>E-FOX-T3-R0181</t>
  </si>
  <si>
    <t>Federalismo</t>
  </si>
  <si>
    <t>FederalismoFOXCONN</t>
  </si>
  <si>
    <t>FOXCONNFederalismo</t>
  </si>
  <si>
    <t>E-FOX-R0181</t>
  </si>
  <si>
    <t>Federalismo-R0181-20:53</t>
  </si>
  <si>
    <t>E-SAN-T3-R0061</t>
  </si>
  <si>
    <t>Bethel</t>
  </si>
  <si>
    <t>BethelSANMINA GDL</t>
  </si>
  <si>
    <t>SANMINA GDLBethel</t>
  </si>
  <si>
    <t>E-SAN-R0061</t>
  </si>
  <si>
    <t>Bethel-R0061-21:00</t>
  </si>
  <si>
    <t>E-HLL-T3-R0001</t>
  </si>
  <si>
    <t>San Antonio</t>
  </si>
  <si>
    <t>HERNANDEZ RAMIREZ ALEJANDRO CR</t>
  </si>
  <si>
    <t>San AntonioHELLA GDL</t>
  </si>
  <si>
    <t>HELLA GDLSan Antonio</t>
  </si>
  <si>
    <t>E-HLL-R0001</t>
  </si>
  <si>
    <t>San Antonio-R0001-21:05</t>
  </si>
  <si>
    <t>E-SAN-T3-R0068</t>
  </si>
  <si>
    <t>Panteon-R0068-21:10</t>
  </si>
  <si>
    <t>E-FOX-T3-R0151</t>
  </si>
  <si>
    <t>Apoyo Santa Fe 2-R0151-21:12</t>
  </si>
  <si>
    <t>E-FOX-T3-R0207</t>
  </si>
  <si>
    <t>3A Rodeo</t>
  </si>
  <si>
    <t>3A RodeoFOXCONN</t>
  </si>
  <si>
    <t>FOXCONN3A Rodeo</t>
  </si>
  <si>
    <t>E-FOX-R0207</t>
  </si>
  <si>
    <t>3A Rodeo-R0207-21:12</t>
  </si>
  <si>
    <t>E-SK1-T3-R0021</t>
  </si>
  <si>
    <t>Fovissste-R0021-21:22</t>
  </si>
  <si>
    <t>E-SM3-T3-R0225</t>
  </si>
  <si>
    <t>Capilla 3-R0225-21:40</t>
  </si>
  <si>
    <t>E-SM3-T3-R0076</t>
  </si>
  <si>
    <t>Agaves 2</t>
  </si>
  <si>
    <t>Agaves 2SANMINA FORANE</t>
  </si>
  <si>
    <t>SANMINA FORANEAgaves 2</t>
  </si>
  <si>
    <t>E-SM3-R0076</t>
  </si>
  <si>
    <t>Agaves 2-R0076-21:44</t>
  </si>
  <si>
    <t>E-JLL-T1-R0005</t>
  </si>
  <si>
    <t>Ocotlan T1 y T2</t>
  </si>
  <si>
    <t>JLL</t>
  </si>
  <si>
    <t>BARRERA HERNANDEZ JOSE SALVA</t>
  </si>
  <si>
    <t>Ocotlan T1 y T2JLL</t>
  </si>
  <si>
    <t>MANUEL G.</t>
  </si>
  <si>
    <t>JLLOcotlan T1 y T2</t>
  </si>
  <si>
    <t>E-JLL-R0005</t>
  </si>
  <si>
    <t>Ocotlan T1 y T2-R0005-04:25</t>
  </si>
  <si>
    <t>Tonala-R0007-04:50</t>
  </si>
  <si>
    <t>Caleras</t>
  </si>
  <si>
    <t xml:space="preserve">CalerasDON JULIO TEPIC </t>
  </si>
  <si>
    <t>DON JULIO TEPIC Caleras</t>
  </si>
  <si>
    <t>Caleras-R0001-05:00</t>
  </si>
  <si>
    <t>Atonalisco</t>
  </si>
  <si>
    <t xml:space="preserve">AtonaliscoDON JULIO TEPIC </t>
  </si>
  <si>
    <t>DON JULIO TEPIC Atonalisco</t>
  </si>
  <si>
    <t>Atonalisco-R0002-05:00</t>
  </si>
  <si>
    <t>Puga-R0004-05:00</t>
  </si>
  <si>
    <t>E-PIS-T1-R0039</t>
  </si>
  <si>
    <t>Miravalle</t>
  </si>
  <si>
    <t>MiravallePIS-PISA</t>
  </si>
  <si>
    <t>PIS-PISAMiravalle</t>
  </si>
  <si>
    <t>E-PIS-R0039</t>
  </si>
  <si>
    <t>Miravalle-R0039-05:05</t>
  </si>
  <si>
    <t>E-FOX-T1-R0067</t>
  </si>
  <si>
    <t>Terranova 3-R0067-05:25</t>
  </si>
  <si>
    <t>E-PEP-T1-R0006</t>
  </si>
  <si>
    <t>Moctezuma Batan</t>
  </si>
  <si>
    <t>ORTIZ HERNANDEZ JESUS GUADALUP</t>
  </si>
  <si>
    <t>Moctezuma BatanPEPSICO GDL</t>
  </si>
  <si>
    <t>PEPSICO GDLMoctezuma Batan</t>
  </si>
  <si>
    <t>E-PEP-R0006</t>
  </si>
  <si>
    <t>Moctezuma Batan-R0006-05:30</t>
  </si>
  <si>
    <t>E-FOX-T1-R0071</t>
  </si>
  <si>
    <t>Belisario</t>
  </si>
  <si>
    <t>BelisarioFOXCONN</t>
  </si>
  <si>
    <t>FOXCONNBelisario</t>
  </si>
  <si>
    <t>E-FOX-R0071</t>
  </si>
  <si>
    <t>Belisario-R0071-05:45</t>
  </si>
  <si>
    <t>E-MOL-T1-R0026</t>
  </si>
  <si>
    <t>ADM Adolf Horn</t>
  </si>
  <si>
    <t>ADM Adolf HornMOLEX</t>
  </si>
  <si>
    <t>MOLEXADM Adolf Horn</t>
  </si>
  <si>
    <t>E-MOL-R0026</t>
  </si>
  <si>
    <t>ADM Adolf Horn-R0026-06:00</t>
  </si>
  <si>
    <t>E-SA4-T1-R0096</t>
  </si>
  <si>
    <t>Ocotlan 1</t>
  </si>
  <si>
    <t>Ocotlan 1SANMINA ADM</t>
  </si>
  <si>
    <t>SANMINA ADMOcotlan 1</t>
  </si>
  <si>
    <t>E-SA4-R0096</t>
  </si>
  <si>
    <t>Ocotlan 1-R0096-06:30</t>
  </si>
  <si>
    <t>E-SA4-T1-R0099</t>
  </si>
  <si>
    <t>Ocotlan 2</t>
  </si>
  <si>
    <t>Ocotlan 2SANMINA ADM</t>
  </si>
  <si>
    <t>SANMINA ADMOcotlan 2</t>
  </si>
  <si>
    <t>E-SA4-R0099</t>
  </si>
  <si>
    <t>Ocotlan 2-R0099-06:38</t>
  </si>
  <si>
    <t>E-CAB-T1-R0002</t>
  </si>
  <si>
    <t>Arcos</t>
  </si>
  <si>
    <t>CABRERA LLAMAS GDL</t>
  </si>
  <si>
    <t>ArcosCABRERA LLAMAS GDL</t>
  </si>
  <si>
    <t>CABRERA LLAMAS GDLArcos</t>
  </si>
  <si>
    <t>E-CAB-R0002</t>
  </si>
  <si>
    <t>Arcos-R0002-06:45</t>
  </si>
  <si>
    <t>E-SA4-T1-R0116</t>
  </si>
  <si>
    <t>TlajomulcoSANMINA ADM</t>
  </si>
  <si>
    <t>SANMINA ADMTlajomulco</t>
  </si>
  <si>
    <t>E-SA4-R0116</t>
  </si>
  <si>
    <t>Tlajomulco-R0116-06:45</t>
  </si>
  <si>
    <t>E-FOX-T1-R0203</t>
  </si>
  <si>
    <t>ADM Mariano Otero</t>
  </si>
  <si>
    <t>ZUÑIGA CARRILLO CHRISTIAN ALEJ</t>
  </si>
  <si>
    <t>ADM Mariano OteroFOXCONN</t>
  </si>
  <si>
    <t>FOXCONNADM Mariano Otero</t>
  </si>
  <si>
    <t>E-FOX-R0203</t>
  </si>
  <si>
    <t>ADM Mariano Otero-R0203-07:12</t>
  </si>
  <si>
    <t>E-DIA-T1-R0076</t>
  </si>
  <si>
    <t>ADM Atotonilco Atreyu</t>
  </si>
  <si>
    <t>ADM Atotonilco AtreyuDIAGEO GDL</t>
  </si>
  <si>
    <t>DIAGEO GDLADM Atotonilco Atreyu</t>
  </si>
  <si>
    <t>E-DIA-R0076</t>
  </si>
  <si>
    <t>ADM Atotonilco Atreyu-R0076-07:15</t>
  </si>
  <si>
    <t>Tonala-R0007-12:55</t>
  </si>
  <si>
    <t>E-PEP-T2-R0006</t>
  </si>
  <si>
    <t>Moctezuma Batan-R0006-13:05</t>
  </si>
  <si>
    <t>E-PIS-T2-R0039</t>
  </si>
  <si>
    <t>Miravalle-R0039-16:50</t>
  </si>
  <si>
    <t>E-PIS-T2-R0063</t>
  </si>
  <si>
    <t>Hacienda del Real</t>
  </si>
  <si>
    <t>Hacienda del RealPIS-PISA</t>
  </si>
  <si>
    <t>PIS-PISAHacienda del Real</t>
  </si>
  <si>
    <t>E-PIS-R0063</t>
  </si>
  <si>
    <t>Hacienda del Real-R0063-16:50</t>
  </si>
  <si>
    <t>E-PIS-T2-R0037</t>
  </si>
  <si>
    <t>Mezquitera</t>
  </si>
  <si>
    <t>C.CORONA MARIN OSCAR DAVID</t>
  </si>
  <si>
    <t>MezquiteraPIS-PISA</t>
  </si>
  <si>
    <t>PIS-PISAMezquitera</t>
  </si>
  <si>
    <t>E-PIS-R0037</t>
  </si>
  <si>
    <t>Mezquitera-R0037-17:10</t>
  </si>
  <si>
    <t>E-MOL-T2-R0001</t>
  </si>
  <si>
    <t>Especial Cofradia L - J</t>
  </si>
  <si>
    <t>Especial Cofradia L - JMOLEX</t>
  </si>
  <si>
    <t>MOLEXEspecial Cofradia L - J</t>
  </si>
  <si>
    <t>E-MOL-R0001</t>
  </si>
  <si>
    <t>Especial Cofradia L - J-R0001-17:20</t>
  </si>
  <si>
    <t>E-SM4-T3-R0109</t>
  </si>
  <si>
    <t>San Sebastian 1 T2 y T3-R0109-21:05</t>
  </si>
  <si>
    <t>E-PEM-T1-R0012</t>
  </si>
  <si>
    <t>Mixing La Noria</t>
  </si>
  <si>
    <t>Mixing La NoriaPEPSICO MIXING</t>
  </si>
  <si>
    <t>PEPSICO MIXINGMixing La Noria</t>
  </si>
  <si>
    <t>E-PEM-R0012</t>
  </si>
  <si>
    <t>Mixing La Noria-R0012-04:40</t>
  </si>
  <si>
    <t>E-SK1-T1-R0029</t>
  </si>
  <si>
    <t>Lomas del Sur-R0029-05:00</t>
  </si>
  <si>
    <t>SIN INFORMACION DE UNIDAD</t>
  </si>
  <si>
    <t>E-SAN-T1-R0067</t>
  </si>
  <si>
    <t>Miramar</t>
  </si>
  <si>
    <t>MiramarSANMINA GDL</t>
  </si>
  <si>
    <t>SANMINA GDLMiramar</t>
  </si>
  <si>
    <t>E-SAN-R0067</t>
  </si>
  <si>
    <t>Miramar-R0067-05:03</t>
  </si>
  <si>
    <t>E-HLL-T1-R0045</t>
  </si>
  <si>
    <t>Casa De Teja</t>
  </si>
  <si>
    <t>Casa De TejaHELLA GDL</t>
  </si>
  <si>
    <t>HELLA GDLCasa De Teja</t>
  </si>
  <si>
    <t>E-HLL-R0045</t>
  </si>
  <si>
    <t>Casa De Teja-R0045-05:15</t>
  </si>
  <si>
    <t>E-HLL-T1-R0057</t>
  </si>
  <si>
    <t>Capilla-R0057-05:15</t>
  </si>
  <si>
    <t>E-PIS-T1-R0001</t>
  </si>
  <si>
    <t>Abedules</t>
  </si>
  <si>
    <t>AbedulesPIS-PISA</t>
  </si>
  <si>
    <t>PIS-PISAAbedules</t>
  </si>
  <si>
    <t>E-PIS-R0001</t>
  </si>
  <si>
    <t>Abedules-R0001-05:25</t>
  </si>
  <si>
    <t>E-FOX-T1-R0230</t>
  </si>
  <si>
    <t>Zalatitan-R0230-05:28</t>
  </si>
  <si>
    <t>E-FOX-T1-R0232</t>
  </si>
  <si>
    <t>Olivos-R0232-05:40</t>
  </si>
  <si>
    <t>E-SM3-T1-R0223</t>
  </si>
  <si>
    <t>Rancho Silos</t>
  </si>
  <si>
    <t>Rancho SilosSANMINA FORANE</t>
  </si>
  <si>
    <t>SANMINA FORANERancho Silos</t>
  </si>
  <si>
    <t>E-SM3-R0223</t>
  </si>
  <si>
    <t>Rancho Silos-R0223-05:50</t>
  </si>
  <si>
    <t>E-SA4-T1-R0135</t>
  </si>
  <si>
    <t>Tabachines 1</t>
  </si>
  <si>
    <t>Tabachines 1SANMINA ADM</t>
  </si>
  <si>
    <t>SANMINA ADMTabachines 1</t>
  </si>
  <si>
    <t>E-SA4-R0135</t>
  </si>
  <si>
    <t>Tabachines 1-R0135-06:30</t>
  </si>
  <si>
    <t>E-SOR-T1-R0032</t>
  </si>
  <si>
    <t>MiravalleSORIANA GDL</t>
  </si>
  <si>
    <t>SORIANA GDLMiravalle</t>
  </si>
  <si>
    <t>E-SOR-R0032</t>
  </si>
  <si>
    <t>Miravalle-R0032-06:30</t>
  </si>
  <si>
    <t>E-SK1-T1-R0092</t>
  </si>
  <si>
    <t>ADM Agaves</t>
  </si>
  <si>
    <t>ADM AgavesSANMINA KAMPUS 16</t>
  </si>
  <si>
    <t>SANMINA KAMPUS 16ADM Agaves</t>
  </si>
  <si>
    <t>E-SK1-R0092</t>
  </si>
  <si>
    <t>ADM Agaves-R0092-06:45</t>
  </si>
  <si>
    <t>E-PAQ-T2-R0001</t>
  </si>
  <si>
    <t>Lopez Mateos T1, T3 y T4</t>
  </si>
  <si>
    <t>Lopez Mateos T1, T3 y T4PAQUETEXPRESS GDL</t>
  </si>
  <si>
    <t>PAQUETEXPRESS GDLLopez Mateos T1, T3 y T4</t>
  </si>
  <si>
    <t>E-PAQ-R0001</t>
  </si>
  <si>
    <t>Lopez Mateos T1, T3 y T4-R0001-11:43</t>
  </si>
  <si>
    <t>E-SAN-T2-R0455</t>
  </si>
  <si>
    <t>Tesistan T2</t>
  </si>
  <si>
    <t>Tesistan T2SANMINA GDL</t>
  </si>
  <si>
    <t>SANMINA GDLTesistan T2</t>
  </si>
  <si>
    <t>E-SAN-R0455</t>
  </si>
  <si>
    <t>Tesistan T2-R0455-12:40</t>
  </si>
  <si>
    <t>E-SM4-T2-R0112</t>
  </si>
  <si>
    <t>Santa Fe 1-R0112-12:50</t>
  </si>
  <si>
    <t>E-HER-T2-R0015</t>
  </si>
  <si>
    <t>Santa FeHERSHEYS</t>
  </si>
  <si>
    <t>HERSHEYSSanta Fe</t>
  </si>
  <si>
    <t>E-HER-R0015</t>
  </si>
  <si>
    <t>Santa Fe-R0015-12:52</t>
  </si>
  <si>
    <t>E-HER-T2-R0008</t>
  </si>
  <si>
    <t>Parque Morelos-R0008-12:55</t>
  </si>
  <si>
    <t>E-FOX-T2-R0181</t>
  </si>
  <si>
    <t>SERRANO MACHUCA MARIA ELIZABET</t>
  </si>
  <si>
    <t>Federalismo-R0181-13:10</t>
  </si>
  <si>
    <t>E-FOX-T2-R0149</t>
  </si>
  <si>
    <t>Apoyo Santa Fe 1-R0149-13:12</t>
  </si>
  <si>
    <t>E-HLL-T2-R0057</t>
  </si>
  <si>
    <t>Capilla-R0057-13:15</t>
  </si>
  <si>
    <t>E-SAN-T2-R0076</t>
  </si>
  <si>
    <t>Tonala 1SANMINA GDL</t>
  </si>
  <si>
    <t>SANMINA GDLTonala 1</t>
  </si>
  <si>
    <t>E-SAN-R0076</t>
  </si>
  <si>
    <t>Tonala 1-R0076-13:25</t>
  </si>
  <si>
    <t>E-SM4-T2-R0093</t>
  </si>
  <si>
    <t>Chulavista 1 T2 Y T3</t>
  </si>
  <si>
    <t>Chulavista 1 T2 Y T3SANMINA TLAJOMULCO</t>
  </si>
  <si>
    <t>SANMINA TLAJOMULCOChulavista 1 T2 Y T3</t>
  </si>
  <si>
    <t>E-SM4-R0093</t>
  </si>
  <si>
    <t>Chulavista 1 T2 Y T3-R0093-13:27</t>
  </si>
  <si>
    <t>E-FOX-T2-R0254</t>
  </si>
  <si>
    <t>Casa Blanca-R0254-13:39</t>
  </si>
  <si>
    <t>E-FOX-T2-R0110</t>
  </si>
  <si>
    <t>Lilas-Azucena</t>
  </si>
  <si>
    <t>Lilas-AzucenaFOXCONN</t>
  </si>
  <si>
    <t>FOXCONNLilas-Azucena</t>
  </si>
  <si>
    <t>E-FOX-R0110</t>
  </si>
  <si>
    <t>Lilas-Azucena-R0110-13:40</t>
  </si>
  <si>
    <t>E-FOX-T2-R0258</t>
  </si>
  <si>
    <t>Apoyo Las Villas-R0258-13:42</t>
  </si>
  <si>
    <t>E-ZFF-T2-R0003</t>
  </si>
  <si>
    <t>Op FOR Apoyo Poncitlan 1</t>
  </si>
  <si>
    <t>Op FOR Apoyo Poncitlan 1ZF FORANEO</t>
  </si>
  <si>
    <t>ZF FORANEOOp FOR Apoyo Poncitlan 1</t>
  </si>
  <si>
    <t>E-ZFF-R0003</t>
  </si>
  <si>
    <t>Op FOR Apoyo Poncitlan 1-R0003-15:10</t>
  </si>
  <si>
    <t>E-CUP-T1-R0002</t>
  </si>
  <si>
    <t>Polanco</t>
  </si>
  <si>
    <t>PolancoCUPRUM GDL</t>
  </si>
  <si>
    <t>CUPRUM GDLPolanco</t>
  </si>
  <si>
    <t>E-CUP-R0002</t>
  </si>
  <si>
    <t>Polanco-R0002-19:40</t>
  </si>
  <si>
    <t>E-ONT-T3-R0001</t>
  </si>
  <si>
    <t>Ocotlán</t>
  </si>
  <si>
    <t>ONEST</t>
  </si>
  <si>
    <t>OcotlánONEST</t>
  </si>
  <si>
    <t>ONESTOcotlán</t>
  </si>
  <si>
    <t>E-ONT-R0001</t>
  </si>
  <si>
    <t>Ocotlán-R0001-19:52</t>
  </si>
  <si>
    <t>E-HLL-T3-R0055</t>
  </si>
  <si>
    <t>OblatosHELLA GDL</t>
  </si>
  <si>
    <t>HELLA GDLOblatos</t>
  </si>
  <si>
    <t>E-HLL-R0055</t>
  </si>
  <si>
    <t>Oblatos-R0055-20:30</t>
  </si>
  <si>
    <t>E-PI4-T3-R0005</t>
  </si>
  <si>
    <t>Puente Viejo El Salto PIT4</t>
  </si>
  <si>
    <t>HELLA PIT4</t>
  </si>
  <si>
    <t>Puente Viejo El Salto PIT4HELLA PIT4</t>
  </si>
  <si>
    <t>HELLA PIT4Puente Viejo El Salto PIT4</t>
  </si>
  <si>
    <t>E-PI4-R0005</t>
  </si>
  <si>
    <t>Puente Viejo El Salto PIT4-R0005-20:45</t>
  </si>
  <si>
    <t>E-HLL-T3-R0059</t>
  </si>
  <si>
    <t>Agaves-R0059-20:50</t>
  </si>
  <si>
    <t>E-FOX-T3-R0236</t>
  </si>
  <si>
    <t>3A Jardines de Verano</t>
  </si>
  <si>
    <t>3A Jardines de VeranoFOXCONN</t>
  </si>
  <si>
    <t>FOXCONN3A Jardines de Verano</t>
  </si>
  <si>
    <t>E-FOX-R0236</t>
  </si>
  <si>
    <t>3A Jardines de Verano-R0236-20:55</t>
  </si>
  <si>
    <t>E-ZLT-T3-R0014</t>
  </si>
  <si>
    <t>Villas de andalucia-R0014-21:00</t>
  </si>
  <si>
    <t>E-FOX-T3-R0022</t>
  </si>
  <si>
    <t>Arcos Zapopan-R0022-21:00</t>
  </si>
  <si>
    <t>E-FOX-T3-R0173</t>
  </si>
  <si>
    <t>Apoyo Loma Bonita-R0173-21:02</t>
  </si>
  <si>
    <t>E-FOX-T3-R0067</t>
  </si>
  <si>
    <t>Terranova 3-R0067-21:04</t>
  </si>
  <si>
    <t>E-SM3-T3-R0109</t>
  </si>
  <si>
    <t>Ocotlan 2 T2 y T3</t>
  </si>
  <si>
    <t>MARROQUIN ACEVES MARCOS GUILLE</t>
  </si>
  <si>
    <t>Ocotlan 2 T2 y T3SANMINA FORANE</t>
  </si>
  <si>
    <t>SANMINA FORANEOcotlan 2 T2 y T3</t>
  </si>
  <si>
    <t>E-SM3-R0109</t>
  </si>
  <si>
    <t>Ocotlan 2 T2 y T3-R0109-21:05</t>
  </si>
  <si>
    <t>E-PAQ-T3-R0050</t>
  </si>
  <si>
    <t>Tonala T5</t>
  </si>
  <si>
    <t>Tonala T5PAQUETEXPRESS GDL</t>
  </si>
  <si>
    <t>PAQUETEXPRESS GDLTonala T5</t>
  </si>
  <si>
    <t>E-PAQ-R0050</t>
  </si>
  <si>
    <t>Tonala T5-R0050-21:05</t>
  </si>
  <si>
    <t>E-FOX-T3-R0254</t>
  </si>
  <si>
    <t>Casa Blanca-R0254-21:09</t>
  </si>
  <si>
    <t>E-FOX-T3-R0073</t>
  </si>
  <si>
    <t>Valle De Tejeda</t>
  </si>
  <si>
    <t>Valle De TejedaFOXCONN</t>
  </si>
  <si>
    <t>FOXCONNValle De Tejeda</t>
  </si>
  <si>
    <t>E-FOX-R0073</t>
  </si>
  <si>
    <t>Valle De Tejeda-R0073-21:10</t>
  </si>
  <si>
    <t>E-FOX-T3-R0110</t>
  </si>
  <si>
    <t>Lilas-Azucena-R0110-21:10</t>
  </si>
  <si>
    <t>E-SM4-T3-R0090</t>
  </si>
  <si>
    <t>Carretera Santa Filomena-R0090-21:20</t>
  </si>
  <si>
    <t>E-FOX-T3-R0129</t>
  </si>
  <si>
    <t>Las Huertas-R0129-21:26</t>
  </si>
  <si>
    <t>E-SM4-T3-R0099</t>
  </si>
  <si>
    <t>Las Juntas-R0099-21:31</t>
  </si>
  <si>
    <t>E-ZFM-T3-R0042</t>
  </si>
  <si>
    <t>Op MET El Salto La Meza E</t>
  </si>
  <si>
    <t>Op MET El Salto La Meza EZF METROPOLITANA</t>
  </si>
  <si>
    <t>ZF METROPOLITANAOp MET El Salto La Meza E</t>
  </si>
  <si>
    <t>E-ZFM-R0042</t>
  </si>
  <si>
    <t>Op MET El Salto La Meza E-R0042-21:40</t>
  </si>
  <si>
    <t>agrupador</t>
  </si>
  <si>
    <t>concepto</t>
  </si>
  <si>
    <t>clave</t>
  </si>
  <si>
    <t>nombre_completo</t>
  </si>
  <si>
    <t>importe</t>
  </si>
  <si>
    <t>periodo</t>
  </si>
  <si>
    <t>PRESTACIONES</t>
  </si>
  <si>
    <t>BONO DE RENDIMI</t>
  </si>
  <si>
    <t>S33</t>
  </si>
  <si>
    <t>VAZQUEZ MATEO MARCO ANTONIO</t>
  </si>
  <si>
    <t>JACOBO MACIEL ISMAEL</t>
  </si>
  <si>
    <t>ESTRADA CHAVEZ JUAN MANUEL</t>
  </si>
  <si>
    <t>SANTOS EMIGDIO JUAN DIEGO</t>
  </si>
  <si>
    <t>CALLETANO HERNANDEZ PEDRO</t>
  </si>
  <si>
    <t>BELLO DIAZ SALVADOR</t>
  </si>
  <si>
    <t>VELEZ LOPEZ JOSE LUIS</t>
  </si>
  <si>
    <t>MARTINEZ REYES RAUMIR</t>
  </si>
  <si>
    <t>TELLEZ CORREA SAMUEL</t>
  </si>
  <si>
    <t>CASTRO JIMENEZ PEDRO</t>
  </si>
  <si>
    <t>LOPEZ BAZAN RODOLFO</t>
  </si>
  <si>
    <t>CERVERA COLIN VICTOR MANUEL</t>
  </si>
  <si>
    <t>ADAME RENDON NOE</t>
  </si>
  <si>
    <t>PEÑALOZA ESPINO JESUS</t>
  </si>
  <si>
    <t>NEGRETE MEDINA JUAN CARLOS</t>
  </si>
  <si>
    <t>MERCADO ELORZA FLABIO</t>
  </si>
  <si>
    <t>GASPAR GARCIA FRANCISCO</t>
  </si>
  <si>
    <t>PINEDA CASTAÑEDA MARGARITO</t>
  </si>
  <si>
    <t>ROBLES DE LEON HERIBERTO</t>
  </si>
  <si>
    <t>ROMERO VAZQUEZ JULIAN</t>
  </si>
  <si>
    <t>HERNANDEZ ORTIZ MARCO ANTONIO</t>
  </si>
  <si>
    <t>CABRERA RUIZ CATALINO</t>
  </si>
  <si>
    <t>GARCIA GONZALEZ SANTOS GABRIEL</t>
  </si>
  <si>
    <t>MAYORGA ROMERO SEBASTIAN</t>
  </si>
  <si>
    <t>LEYVA MUÑOZ LUIS ENRIQUE</t>
  </si>
  <si>
    <t>GONZALEZ BARRERA JESUS</t>
  </si>
  <si>
    <t>CARREON AVALOS MARTIN</t>
  </si>
  <si>
    <t>PEREZ LEMUS MARIO</t>
  </si>
  <si>
    <t>ARROYO FLORES JOSE GUADALUPE</t>
  </si>
  <si>
    <t>ROJAS MARTINEZ ELI RAYMUNDO</t>
  </si>
  <si>
    <t>LEON ORNELAS EMMANUEL</t>
  </si>
  <si>
    <t>HERNANDEZ ROSAS ARTURO</t>
  </si>
  <si>
    <t>RUEDA GARIBAY ANTONIO</t>
  </si>
  <si>
    <t>CARMONA MENDOZA BENJAMIN</t>
  </si>
  <si>
    <t>ESPINO DELGADO CESAR</t>
  </si>
  <si>
    <t>MIRANDA VILLANUEVA LUIS FERNANDO</t>
  </si>
  <si>
    <t>PONCE PINEDA JOSE LUIS</t>
  </si>
  <si>
    <t>MARTINEZ GARCIA SERGIO</t>
  </si>
  <si>
    <t>EZQUIVEL VEGA JUAN MANUEL</t>
  </si>
  <si>
    <t>AVALOS MORA APOLONIO</t>
  </si>
  <si>
    <t>MARTINEZ CARDENAS CORNELIO</t>
  </si>
  <si>
    <t>DELGADO CABRERA ARMANDO</t>
  </si>
  <si>
    <t>CORTEZ SOTELO JOEL</t>
  </si>
  <si>
    <t>EVERARDO CADENAS LUIS MANUEL</t>
  </si>
  <si>
    <t>GUILLEN HERNANDEZ FRANCISCO JAVIER</t>
  </si>
  <si>
    <t>ROMERO GUZMAN JULIO ALBERTO</t>
  </si>
  <si>
    <t>ROMERO DIAZ JAVI JAIR</t>
  </si>
  <si>
    <t>PIÑON ZARCO ANGEL</t>
  </si>
  <si>
    <t>VALLE VALDOVINOS UBER</t>
  </si>
  <si>
    <t>ALVAREZ MUÑOZ DIONICIO</t>
  </si>
  <si>
    <t>GARCIA BAUTISTA EVENCIO</t>
  </si>
  <si>
    <t>GARCIA GUZMAN ILDEBERTO</t>
  </si>
  <si>
    <t>GALEANA TORRES IMER</t>
  </si>
  <si>
    <t>RIVERA REBOLLEDO LUIS ANGEL</t>
  </si>
  <si>
    <t>ESCAMILLA HERNANDEZ MIGUEL JOSHIMAR</t>
  </si>
  <si>
    <t>MONTALVO NUÑEZ SAIDA ASMIN</t>
  </si>
  <si>
    <t>HERNANDEZ LAZCANO CARLOS MANUEL</t>
  </si>
  <si>
    <t>LOPEZ GARCIA OCTAVIO</t>
  </si>
  <si>
    <t>TORRES ROMERO VALENTIN</t>
  </si>
  <si>
    <t>MARTINEZ HERNANDEZ MIGUEL ANGEL</t>
  </si>
  <si>
    <t>OLAYO FLORES FERNANDO</t>
  </si>
  <si>
    <t>MARTINEZ CORTEZ JOSE DE JESUS</t>
  </si>
  <si>
    <t>BENITEZ ALVAREZ ALFREDO</t>
  </si>
  <si>
    <t>DE LA TORRE MENDOZA JORGE ANTONIO</t>
  </si>
  <si>
    <t>BARTOLO TELLEZ JESUS EDUARDO</t>
  </si>
  <si>
    <t>CASTRO GONZALEZ JOSE MANUEL</t>
  </si>
  <si>
    <t>PAZ DE LOS SANTOS LUIS MANUEL</t>
  </si>
  <si>
    <t>NAVARRETE SOTO BERTIN JOSUE</t>
  </si>
  <si>
    <t>RANGEL VALDOVINOS FREDY ALBERTO</t>
  </si>
  <si>
    <t>LARREA MEDINA BERTOLDO</t>
  </si>
  <si>
    <t>DELGADO RANGEL FRANCISCO JAVIER</t>
  </si>
  <si>
    <t>VALENCIA HERNANDEZ ARMANDO</t>
  </si>
  <si>
    <t>RIOS FLORES MISAEL</t>
  </si>
  <si>
    <t>VILLANUEVA RAMOS GABRIEL</t>
  </si>
  <si>
    <t>PEREZ ROQUE REY DAN</t>
  </si>
  <si>
    <t>REYES HERNANDEZ JUAN CARLOS</t>
  </si>
  <si>
    <t>FUENTES LOPEZ CRISTIAN</t>
  </si>
  <si>
    <t>SORIANO VEGA FERNANDO</t>
  </si>
  <si>
    <t>MARISCAL CEJA LUIS MANUEL</t>
  </si>
  <si>
    <t>CAMPOS GALVAN VICTOR MANUEL</t>
  </si>
  <si>
    <t>TORRES CALDERON ISMAEL</t>
  </si>
  <si>
    <t>PEREZ ZAPIEN ANGEL ALBERTO</t>
  </si>
  <si>
    <t>PINEDA MATA JOSE LUIS MANUEL</t>
  </si>
  <si>
    <t>ANAYA TOLEDO SERGIO ALEJANDRO</t>
  </si>
  <si>
    <t>SANCHEZ JUAREZ JAIME DAVID</t>
  </si>
  <si>
    <t>RUBIO REYES ROBERTO</t>
  </si>
  <si>
    <t>BELLO DIAZ BEKER URIEL</t>
  </si>
  <si>
    <t>NAVA DE JESUS OSCAR URIEL</t>
  </si>
  <si>
    <t>DIAZ TORRES ALEXIS</t>
  </si>
  <si>
    <t>JIMENEZ OROSCO ALEXANDER</t>
  </si>
  <si>
    <t>BONO DESEMPEÑO</t>
  </si>
  <si>
    <t>COMPENSACION</t>
  </si>
  <si>
    <t>RODRIGUEZ ATANACIO ANA ISABEL</t>
  </si>
  <si>
    <t>DOMINGO LABORAD</t>
  </si>
  <si>
    <t>RIVERA RENTERIA ELIAS</t>
  </si>
  <si>
    <t>RIVERA RENTERIA OCTAVIO</t>
  </si>
  <si>
    <t>VILLA LOPEZ FRANCISCO DAVID</t>
  </si>
  <si>
    <t>GOITIA VILLA ABRAHAM LUIS</t>
  </si>
  <si>
    <t>MENDOZA LARIOS LORENZO JAVIER</t>
  </si>
  <si>
    <t>ALONSO ALVA JESUS ALBERTO</t>
  </si>
  <si>
    <t>GONZALEZ CANDELARIO JORGE ARTURO</t>
  </si>
  <si>
    <t>BARAJAS RICARDO JUAN DIEGO</t>
  </si>
  <si>
    <t>HONORATO PLASCENCIA EDGAR ANTONIO</t>
  </si>
  <si>
    <t>AVILES SILVA JOSE ADRIAN</t>
  </si>
  <si>
    <t>DOMINGOS LAB 2</t>
  </si>
  <si>
    <t>FONDO DE AHORRO</t>
  </si>
  <si>
    <t>VENANCIO LOPEZ EDUARDO</t>
  </si>
  <si>
    <t>ALFARO MERCADO JULIO CESAR</t>
  </si>
  <si>
    <t>MEDINA GONZALEZ OLGA</t>
  </si>
  <si>
    <t>VAZQUEZ MACIAS RAFAEL</t>
  </si>
  <si>
    <t>GOMEZ SANDOVAL JUAN RAMON</t>
  </si>
  <si>
    <t>LOPEZ ACEVES FERNANDO</t>
  </si>
  <si>
    <t>ALATORRE GONZALEZ ALEJANDRO</t>
  </si>
  <si>
    <t>JIMENEZ RUVALCABA ALEJANDRO</t>
  </si>
  <si>
    <t>SANCHEZ PICHARDO JUAN</t>
  </si>
  <si>
    <t>GARCIA BEJARANO J. ANTONIO</t>
  </si>
  <si>
    <t>CASTELLANOS GOMEZ MARTIN</t>
  </si>
  <si>
    <t>CASTILLO GRADILLA OSCAR EMILIO</t>
  </si>
  <si>
    <t>MARTINEZ RODRIGUEZ ELIAS</t>
  </si>
  <si>
    <t>TORRES DE LA CRUZ ARMANDO</t>
  </si>
  <si>
    <t>TORRES RAMOS ARMANDO JOSE</t>
  </si>
  <si>
    <t>GARCIA ANDRADE SALVADOR ERNESTO</t>
  </si>
  <si>
    <t>PEREZ MARTINEZ TIMOTEO</t>
  </si>
  <si>
    <t>DELGADO VAZQUEZ JORGE</t>
  </si>
  <si>
    <t>VENANCIO CARRAZCO EDUARDO NEFTALI</t>
  </si>
  <si>
    <t>RAMIREZ AVILES GILDARDO</t>
  </si>
  <si>
    <t>ABARCA MARQUEZ JORGE ABRAHAM</t>
  </si>
  <si>
    <t>LOPEZ ZEPEDA JOSE JESUS</t>
  </si>
  <si>
    <t>ESCOTO RAMIREZ JOSE LUIS</t>
  </si>
  <si>
    <t>SOTO CONTRERAS ELOY</t>
  </si>
  <si>
    <t>CRUZ GONZALEZ CARLOS JAVIER</t>
  </si>
  <si>
    <t>VELAZCO BETANCOURT MARTIN</t>
  </si>
  <si>
    <t>OCHOA GUERRERO EDGAR JESUS</t>
  </si>
  <si>
    <t>LEE GUTIERREZ JOSE GUADALUPE</t>
  </si>
  <si>
    <t>MACIAS MACIAS MELCHOR</t>
  </si>
  <si>
    <t>PEREZ RODRIGUEZ CESAR</t>
  </si>
  <si>
    <t>CAMACHO MARTINEZ OSCAR RAMON</t>
  </si>
  <si>
    <t>SANCHEZ PELAYO JOSE JUAN MANUEL</t>
  </si>
  <si>
    <t>BACHOMO BRACAMONTES VICTOR MANUEL</t>
  </si>
  <si>
    <t>ANDRES NARANJO ISELA YANETH</t>
  </si>
  <si>
    <t>APOLINAR CELIS JOSE DE JESUS</t>
  </si>
  <si>
    <t>ABARCA SALAS MOISES</t>
  </si>
  <si>
    <t>GUEVARA OCAMPO LUIS</t>
  </si>
  <si>
    <t>LEON ALEMAN RIGOBERTO</t>
  </si>
  <si>
    <t>TINOCO MARTINEZ ANA MARIA</t>
  </si>
  <si>
    <t>HERNANDEZ NARCISO JORGE EDUARDO</t>
  </si>
  <si>
    <t>PRIMA DOMINICAL</t>
  </si>
  <si>
    <t>SERVICIOS ESPEC</t>
  </si>
  <si>
    <t>SERVICIOS FIJOS</t>
  </si>
  <si>
    <t>SUELDOS</t>
  </si>
  <si>
    <t>SUELDO</t>
  </si>
  <si>
    <t>SUELDO ADEUDADO</t>
  </si>
  <si>
    <t>VACACIONES</t>
  </si>
  <si>
    <t>VIAJES ADICIONA2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</si>
</sst>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\-#,##0.00\ "/>
    <numFmt numFmtId="165" formatCode="0.0"/>
  </numFmts>
  <fonts count="53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Arial Narrow"/>
      <family val="2"/>
    </font>
    <font>
      <b/>
      <sz val="18"/>
      <color theme="3"/>
      <name val="Calibri Light"/>
      <family val="2"/>
      <scheme val="major"/>
    </font>
    <font>
      <b/>
      <sz val="11"/>
      <color indexed="52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color theme="1"/>
      <name val="Ebrima"/>
      <family val="2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2"/>
      <color theme="1" tint="0.14999847407452621"/>
      <name val="Calibri"/>
      <family val="2"/>
      <scheme val="minor"/>
    </font>
    <font>
      <b/>
      <sz val="12"/>
      <color theme="1"/>
      <name val="Amasis MT Pro Light"/>
      <family val="1"/>
    </font>
    <font>
      <b/>
      <i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Amasis MT Pro Light"/>
      <family val="1"/>
    </font>
    <font>
      <b/>
      <sz val="14"/>
      <color theme="0"/>
      <name val="Calibri"/>
      <family val="2"/>
      <scheme val="minor"/>
    </font>
    <font>
      <b/>
      <sz val="11"/>
      <color theme="0"/>
      <name val="Arial"/>
      <family val="2"/>
    </font>
    <font>
      <sz val="18"/>
      <color theme="0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Amasis MT Pro Light"/>
      <family val="1"/>
    </font>
    <font>
      <sz val="12"/>
      <color theme="1"/>
      <name val="Segoe UI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6"/>
      <color indexed="8"/>
      <name val="Arial"/>
      <family val="2"/>
    </font>
    <font>
      <sz val="11"/>
      <color indexed="8"/>
      <name val="Arial"/>
      <family val="2"/>
    </font>
    <font>
      <b/>
      <sz val="16"/>
      <name val="Calibri"/>
      <family val="2"/>
      <scheme val="minor"/>
    </font>
    <font>
      <b/>
      <u/>
      <sz val="9"/>
      <color theme="9" tint="-0.499984740745262"/>
      <name val="Arial"/>
      <family val="2"/>
    </font>
    <font>
      <b/>
      <sz val="12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33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03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12" fillId="0" borderId="0" applyFill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13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8" fillId="13" borderId="1" applyNumberFormat="0" applyAlignment="0" applyProtection="0"/>
    <xf numFmtId="0" fontId="8" fillId="1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2" fillId="0" borderId="0" applyFill="0"/>
    <xf numFmtId="0" fontId="12" fillId="0" borderId="0" applyFill="0"/>
    <xf numFmtId="0" fontId="19" fillId="0" borderId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" fillId="0" borderId="0"/>
    <xf numFmtId="0" fontId="12" fillId="0" borderId="0" applyFill="0"/>
    <xf numFmtId="0" fontId="12" fillId="0" borderId="0" applyFill="0"/>
    <xf numFmtId="0" fontId="1" fillId="0" borderId="0"/>
    <xf numFmtId="0" fontId="2" fillId="0" borderId="0"/>
    <xf numFmtId="0" fontId="12" fillId="0" borderId="0" applyFill="0"/>
    <xf numFmtId="0" fontId="12" fillId="0" borderId="0" applyFill="0"/>
    <xf numFmtId="0" fontId="1" fillId="0" borderId="0"/>
    <xf numFmtId="0" fontId="12" fillId="0" borderId="0" applyFill="0"/>
    <xf numFmtId="0" fontId="1" fillId="0" borderId="0"/>
    <xf numFmtId="0" fontId="12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0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24" fillId="0" borderId="0"/>
    <xf numFmtId="0" fontId="1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2" fillId="0" borderId="0" applyFill="0"/>
  </cellStyleXfs>
  <cellXfs count="170">
    <xf numFmtId="0" fontId="0" fillId="0" borderId="0" xfId="0"/>
    <xf numFmtId="0" fontId="0" fillId="31" borderId="0" xfId="0" applyFill="1"/>
    <xf numFmtId="44" fontId="29" fillId="31" borderId="0" xfId="301" applyFont="1" applyFill="1"/>
    <xf numFmtId="0" fontId="0" fillId="31" borderId="13" xfId="0" applyFill="1" applyBorder="1" applyAlignment="1">
      <alignment vertical="center"/>
    </xf>
    <xf numFmtId="0" fontId="0" fillId="31" borderId="17" xfId="0" applyFill="1" applyBorder="1"/>
    <xf numFmtId="0" fontId="0" fillId="31" borderId="20" xfId="0" applyFill="1" applyBorder="1" applyAlignment="1">
      <alignment vertical="center"/>
    </xf>
    <xf numFmtId="0" fontId="0" fillId="31" borderId="0" xfId="0" applyFill="1" applyAlignment="1">
      <alignment vertical="center"/>
    </xf>
    <xf numFmtId="0" fontId="0" fillId="30" borderId="13" xfId="0" applyFill="1" applyBorder="1"/>
    <xf numFmtId="0" fontId="0" fillId="30" borderId="17" xfId="0" applyFill="1" applyBorder="1"/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5" fillId="32" borderId="12" xfId="0" applyFont="1" applyFill="1" applyBorder="1" applyAlignment="1">
      <alignment horizontal="center" vertical="center"/>
    </xf>
    <xf numFmtId="0" fontId="25" fillId="32" borderId="31" xfId="0" applyFont="1" applyFill="1" applyBorder="1" applyAlignment="1">
      <alignment horizontal="center" vertical="center"/>
    </xf>
    <xf numFmtId="0" fontId="25" fillId="32" borderId="14" xfId="0" applyFont="1" applyFill="1" applyBorder="1" applyAlignment="1">
      <alignment horizontal="center" vertical="center"/>
    </xf>
    <xf numFmtId="0" fontId="0" fillId="31" borderId="0" xfId="0" applyFill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30" borderId="0" xfId="0" applyFont="1" applyFill="1" applyAlignment="1">
      <alignment horizontal="center" vertical="center" wrapText="1"/>
    </xf>
    <xf numFmtId="44" fontId="33" fillId="33" borderId="37" xfId="301" applyFont="1" applyFill="1" applyBorder="1" applyAlignment="1">
      <alignment horizontal="center" vertical="center"/>
    </xf>
    <xf numFmtId="44" fontId="33" fillId="33" borderId="38" xfId="301" applyFont="1" applyFill="1" applyBorder="1" applyAlignment="1">
      <alignment horizontal="center" vertical="center"/>
    </xf>
    <xf numFmtId="44" fontId="33" fillId="33" borderId="39" xfId="301" applyFont="1" applyFill="1" applyBorder="1" applyAlignment="1">
      <alignment horizontal="center" vertical="center" wrapText="1"/>
    </xf>
    <xf numFmtId="44" fontId="34" fillId="0" borderId="0" xfId="30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44" fontId="35" fillId="0" borderId="0" xfId="301" applyFont="1" applyBorder="1" applyAlignment="1">
      <alignment horizontal="center"/>
    </xf>
    <xf numFmtId="0" fontId="34" fillId="34" borderId="0" xfId="0" applyFont="1" applyFill="1" applyAlignment="1">
      <alignment horizontal="center"/>
    </xf>
    <xf numFmtId="0" fontId="10" fillId="34" borderId="0" xfId="0" applyFont="1" applyFill="1" applyAlignment="1">
      <alignment horizontal="center" vertical="center"/>
    </xf>
    <xf numFmtId="0" fontId="36" fillId="32" borderId="20" xfId="0" applyFont="1" applyFill="1" applyBorder="1" applyAlignment="1">
      <alignment horizontal="center" vertical="center" wrapText="1"/>
    </xf>
    <xf numFmtId="40" fontId="36" fillId="32" borderId="20" xfId="0" applyNumberFormat="1" applyFont="1" applyFill="1" applyBorder="1" applyAlignment="1">
      <alignment horizontal="center" vertical="center" wrapText="1"/>
    </xf>
    <xf numFmtId="40" fontId="28" fillId="32" borderId="40" xfId="0" applyNumberFormat="1" applyFont="1" applyFill="1" applyBorder="1" applyAlignment="1">
      <alignment horizontal="center" vertical="center" wrapText="1"/>
    </xf>
    <xf numFmtId="40" fontId="37" fillId="32" borderId="20" xfId="0" applyNumberFormat="1" applyFont="1" applyFill="1" applyBorder="1" applyAlignment="1">
      <alignment horizontal="center" vertical="center" wrapText="1"/>
    </xf>
    <xf numFmtId="14" fontId="38" fillId="32" borderId="40" xfId="0" applyNumberFormat="1" applyFont="1" applyFill="1" applyBorder="1" applyAlignment="1">
      <alignment horizontal="center" vertical="center" wrapText="1"/>
    </xf>
    <xf numFmtId="40" fontId="25" fillId="32" borderId="41" xfId="0" applyNumberFormat="1" applyFont="1" applyFill="1" applyBorder="1" applyAlignment="1">
      <alignment horizontal="center" vertical="center" wrapText="1"/>
    </xf>
    <xf numFmtId="40" fontId="28" fillId="32" borderId="0" xfId="0" applyNumberFormat="1" applyFont="1" applyFill="1" applyAlignment="1">
      <alignment horizontal="center" vertical="center" wrapText="1"/>
    </xf>
    <xf numFmtId="0" fontId="39" fillId="35" borderId="0" xfId="0" applyFont="1" applyFill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 wrapText="1"/>
    </xf>
    <xf numFmtId="1" fontId="43" fillId="0" borderId="13" xfId="0" applyNumberFormat="1" applyFont="1" applyBorder="1" applyAlignment="1">
      <alignment horizontal="center" vertical="center" wrapText="1"/>
    </xf>
    <xf numFmtId="0" fontId="43" fillId="36" borderId="13" xfId="0" applyFont="1" applyFill="1" applyBorder="1" applyAlignment="1">
      <alignment horizontal="center"/>
    </xf>
    <xf numFmtId="44" fontId="44" fillId="0" borderId="13" xfId="0" applyNumberFormat="1" applyFont="1" applyBorder="1" applyAlignment="1">
      <alignment horizontal="center"/>
    </xf>
    <xf numFmtId="0" fontId="0" fillId="30" borderId="0" xfId="0" applyFill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 wrapText="1"/>
    </xf>
    <xf numFmtId="0" fontId="45" fillId="0" borderId="13" xfId="302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0" fontId="19" fillId="31" borderId="0" xfId="0" applyFont="1" applyFill="1" applyAlignment="1">
      <alignment horizontal="center" vertical="center"/>
    </xf>
    <xf numFmtId="0" fontId="32" fillId="31" borderId="0" xfId="0" applyFont="1" applyFill="1" applyAlignment="1">
      <alignment horizontal="center" vertical="center"/>
    </xf>
    <xf numFmtId="0" fontId="34" fillId="31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8" fillId="32" borderId="0" xfId="0" applyNumberFormat="1" applyFont="1" applyFill="1" applyAlignment="1">
      <alignment horizontal="center" vertical="center" wrapText="1"/>
    </xf>
    <xf numFmtId="164" fontId="44" fillId="0" borderId="13" xfId="0" applyNumberFormat="1" applyFont="1" applyBorder="1" applyAlignment="1">
      <alignment horizontal="center"/>
    </xf>
    <xf numFmtId="44" fontId="0" fillId="0" borderId="13" xfId="0" applyNumberFormat="1" applyBorder="1"/>
    <xf numFmtId="1" fontId="0" fillId="0" borderId="13" xfId="0" applyNumberFormat="1" applyBorder="1" applyAlignment="1">
      <alignment horizontal="center" vertical="center"/>
    </xf>
    <xf numFmtId="44" fontId="0" fillId="0" borderId="0" xfId="0" applyNumberFormat="1"/>
    <xf numFmtId="0" fontId="0" fillId="30" borderId="45" xfId="0" applyFill="1" applyBorder="1" applyAlignment="1">
      <alignment horizontal="center" vertical="center"/>
    </xf>
    <xf numFmtId="0" fontId="49" fillId="30" borderId="18" xfId="0" applyFont="1" applyFill="1" applyBorder="1" applyAlignment="1">
      <alignment horizontal="center" vertical="center"/>
    </xf>
    <xf numFmtId="0" fontId="49" fillId="30" borderId="21" xfId="0" applyFont="1" applyFill="1" applyBorder="1" applyAlignment="1">
      <alignment horizontal="center" vertical="center"/>
    </xf>
    <xf numFmtId="0" fontId="49" fillId="30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4" fontId="26" fillId="39" borderId="25" xfId="301" applyFont="1" applyFill="1" applyBorder="1" applyAlignment="1">
      <alignment horizontal="right" vertical="center"/>
    </xf>
    <xf numFmtId="0" fontId="49" fillId="30" borderId="46" xfId="0" applyFont="1" applyFill="1" applyBorder="1" applyAlignment="1">
      <alignment horizontal="center" vertical="center"/>
    </xf>
    <xf numFmtId="0" fontId="49" fillId="31" borderId="0" xfId="0" applyFont="1" applyFill="1"/>
    <xf numFmtId="0" fontId="49" fillId="30" borderId="47" xfId="0" applyFont="1" applyFill="1" applyBorder="1" applyAlignment="1">
      <alignment horizontal="center"/>
    </xf>
    <xf numFmtId="44" fontId="26" fillId="31" borderId="0" xfId="301" applyFont="1" applyFill="1"/>
    <xf numFmtId="4" fontId="50" fillId="38" borderId="29" xfId="0" applyNumberFormat="1" applyFont="1" applyFill="1" applyBorder="1" applyAlignment="1">
      <alignment horizontal="left" vertical="center"/>
    </xf>
    <xf numFmtId="44" fontId="26" fillId="39" borderId="23" xfId="301" applyFont="1" applyFill="1" applyBorder="1" applyAlignment="1">
      <alignment horizontal="right" vertical="center"/>
    </xf>
    <xf numFmtId="0" fontId="49" fillId="30" borderId="50" xfId="0" applyFont="1" applyFill="1" applyBorder="1" applyAlignment="1">
      <alignment horizontal="center" vertical="center"/>
    </xf>
    <xf numFmtId="44" fontId="26" fillId="39" borderId="33" xfId="301" applyFont="1" applyFill="1" applyBorder="1" applyAlignment="1">
      <alignment horizontal="right" vertical="center"/>
    </xf>
    <xf numFmtId="2" fontId="26" fillId="39" borderId="23" xfId="301" applyNumberFormat="1" applyFont="1" applyFill="1" applyBorder="1" applyAlignment="1">
      <alignment horizontal="right" vertical="center"/>
    </xf>
    <xf numFmtId="2" fontId="26" fillId="39" borderId="33" xfId="301" applyNumberFormat="1" applyFont="1" applyFill="1" applyBorder="1" applyAlignment="1">
      <alignment horizontal="right" vertical="center"/>
    </xf>
    <xf numFmtId="0" fontId="49" fillId="33" borderId="0" xfId="0" applyFont="1" applyFill="1"/>
    <xf numFmtId="0" fontId="0" fillId="33" borderId="0" xfId="0" applyFill="1"/>
    <xf numFmtId="44" fontId="0" fillId="33" borderId="0" xfId="0" applyNumberFormat="1" applyFill="1"/>
    <xf numFmtId="0" fontId="49" fillId="30" borderId="51" xfId="0" applyFont="1" applyFill="1" applyBorder="1" applyAlignment="1">
      <alignment horizontal="center" vertical="center"/>
    </xf>
    <xf numFmtId="44" fontId="26" fillId="33" borderId="0" xfId="301" applyFont="1" applyFill="1" applyBorder="1" applyAlignment="1">
      <alignment horizontal="right" vertical="center"/>
    </xf>
    <xf numFmtId="0" fontId="49" fillId="30" borderId="25" xfId="0" applyFont="1" applyFill="1" applyBorder="1" applyAlignment="1">
      <alignment horizontal="center" vertical="center"/>
    </xf>
    <xf numFmtId="0" fontId="49" fillId="30" borderId="26" xfId="0" applyFont="1" applyFill="1" applyBorder="1" applyAlignment="1">
      <alignment horizontal="center" vertical="center"/>
    </xf>
    <xf numFmtId="44" fontId="26" fillId="39" borderId="14" xfId="301" applyFont="1" applyFill="1" applyBorder="1" applyAlignment="1">
      <alignment horizontal="right" vertical="center"/>
    </xf>
    <xf numFmtId="44" fontId="26" fillId="39" borderId="16" xfId="301" applyFont="1" applyFill="1" applyBorder="1" applyAlignment="1">
      <alignment horizontal="right" vertical="center"/>
    </xf>
    <xf numFmtId="44" fontId="26" fillId="39" borderId="39" xfId="301" applyFont="1" applyFill="1" applyBorder="1" applyAlignment="1">
      <alignment horizontal="right" vertical="center"/>
    </xf>
    <xf numFmtId="0" fontId="49" fillId="30" borderId="49" xfId="0" applyFont="1" applyFill="1" applyBorder="1" applyAlignment="1">
      <alignment horizontal="center" vertical="center"/>
    </xf>
    <xf numFmtId="0" fontId="26" fillId="33" borderId="0" xfId="301" applyNumberFormat="1" applyFont="1" applyFill="1" applyBorder="1" applyAlignment="1">
      <alignment horizontal="right" vertical="center"/>
    </xf>
    <xf numFmtId="0" fontId="49" fillId="33" borderId="0" xfId="0" applyFont="1" applyFill="1" applyAlignment="1">
      <alignment horizontal="center" vertical="center"/>
    </xf>
    <xf numFmtId="0" fontId="49" fillId="39" borderId="22" xfId="0" applyFont="1" applyFill="1" applyBorder="1" applyAlignment="1">
      <alignment vertical="center"/>
    </xf>
    <xf numFmtId="0" fontId="49" fillId="39" borderId="28" xfId="0" applyFont="1" applyFill="1" applyBorder="1" applyAlignment="1">
      <alignment vertical="center"/>
    </xf>
    <xf numFmtId="0" fontId="49" fillId="39" borderId="32" xfId="0" applyFont="1" applyFill="1" applyBorder="1" applyAlignment="1">
      <alignment vertical="center"/>
    </xf>
    <xf numFmtId="0" fontId="0" fillId="31" borderId="24" xfId="0" applyFill="1" applyBorder="1" applyAlignment="1">
      <alignment vertical="center"/>
    </xf>
    <xf numFmtId="0" fontId="0" fillId="31" borderId="48" xfId="0" applyFill="1" applyBorder="1" applyAlignment="1">
      <alignment vertical="center"/>
    </xf>
    <xf numFmtId="0" fontId="0" fillId="31" borderId="27" xfId="0" applyFill="1" applyBorder="1" applyAlignment="1">
      <alignment vertical="center"/>
    </xf>
    <xf numFmtId="0" fontId="49" fillId="33" borderId="0" xfId="0" applyFont="1" applyFill="1" applyAlignment="1">
      <alignment horizontal="left" vertical="center"/>
    </xf>
    <xf numFmtId="0" fontId="49" fillId="31" borderId="0" xfId="0" applyFont="1" applyFill="1" applyAlignment="1">
      <alignment vertical="center"/>
    </xf>
    <xf numFmtId="44" fontId="27" fillId="39" borderId="44" xfId="301" applyFont="1" applyFill="1" applyBorder="1" applyAlignment="1">
      <alignment horizontal="right" vertical="center"/>
    </xf>
    <xf numFmtId="44" fontId="27" fillId="39" borderId="30" xfId="301" applyFont="1" applyFill="1" applyBorder="1" applyAlignment="1">
      <alignment vertical="center"/>
    </xf>
    <xf numFmtId="165" fontId="26" fillId="39" borderId="33" xfId="301" applyNumberFormat="1" applyFont="1" applyFill="1" applyBorder="1" applyAlignment="1">
      <alignment horizontal="right" vertical="center"/>
    </xf>
    <xf numFmtId="44" fontId="26" fillId="40" borderId="16" xfId="301" applyFont="1" applyFill="1" applyBorder="1" applyAlignment="1">
      <alignment horizontal="right" vertical="center"/>
    </xf>
    <xf numFmtId="44" fontId="26" fillId="40" borderId="25" xfId="301" applyFont="1" applyFill="1" applyBorder="1" applyAlignment="1">
      <alignment horizontal="right" vertical="center"/>
    </xf>
    <xf numFmtId="0" fontId="0" fillId="30" borderId="0" xfId="0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40" fillId="41" borderId="13" xfId="0" applyFont="1" applyFill="1" applyBorder="1" applyAlignment="1">
      <alignment horizontal="center" vertical="center"/>
    </xf>
    <xf numFmtId="0" fontId="41" fillId="41" borderId="13" xfId="0" applyFont="1" applyFill="1" applyBorder="1" applyAlignment="1">
      <alignment horizontal="center" vertical="center"/>
    </xf>
    <xf numFmtId="0" fontId="30" fillId="41" borderId="13" xfId="0" applyFont="1" applyFill="1" applyBorder="1" applyAlignment="1">
      <alignment horizontal="center" vertical="center"/>
    </xf>
    <xf numFmtId="0" fontId="45" fillId="41" borderId="13" xfId="0" applyFont="1" applyFill="1" applyBorder="1" applyAlignment="1">
      <alignment horizontal="center" vertical="center"/>
    </xf>
    <xf numFmtId="0" fontId="31" fillId="41" borderId="13" xfId="0" applyFont="1" applyFill="1" applyBorder="1" applyAlignment="1">
      <alignment horizontal="center" vertical="center"/>
    </xf>
    <xf numFmtId="0" fontId="52" fillId="41" borderId="13" xfId="0" applyFont="1" applyFill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4" fontId="10" fillId="37" borderId="13" xfId="301" applyFont="1" applyFill="1" applyBorder="1" applyAlignment="1">
      <alignment horizontal="center" wrapText="1"/>
    </xf>
    <xf numFmtId="44" fontId="44" fillId="0" borderId="0" xfId="0" applyNumberFormat="1" applyFont="1" applyAlignment="1">
      <alignment horizontal="center"/>
    </xf>
    <xf numFmtId="0" fontId="0" fillId="37" borderId="0" xfId="0" applyFill="1" applyAlignment="1">
      <alignment horizontal="center"/>
    </xf>
    <xf numFmtId="0" fontId="40" fillId="42" borderId="13" xfId="0" applyFont="1" applyFill="1" applyBorder="1" applyAlignment="1">
      <alignment horizontal="center" vertical="center"/>
    </xf>
    <xf numFmtId="0" fontId="41" fillId="42" borderId="13" xfId="0" applyFont="1" applyFill="1" applyBorder="1" applyAlignment="1">
      <alignment horizontal="center" vertical="center"/>
    </xf>
    <xf numFmtId="0" fontId="30" fillId="42" borderId="13" xfId="0" applyFont="1" applyFill="1" applyBorder="1" applyAlignment="1">
      <alignment horizontal="center" vertical="center"/>
    </xf>
    <xf numFmtId="0" fontId="42" fillId="42" borderId="13" xfId="0" applyFont="1" applyFill="1" applyBorder="1" applyAlignment="1">
      <alignment horizontal="center" vertical="center"/>
    </xf>
    <xf numFmtId="0" fontId="45" fillId="42" borderId="13" xfId="0" applyFont="1" applyFill="1" applyBorder="1" applyAlignment="1">
      <alignment horizontal="center" vertical="center"/>
    </xf>
    <xf numFmtId="0" fontId="0" fillId="31" borderId="13" xfId="0" applyFill="1" applyBorder="1" applyAlignment="1">
      <alignment horizontal="center"/>
    </xf>
    <xf numFmtId="14" fontId="0" fillId="31" borderId="13" xfId="0" applyNumberFormat="1" applyFill="1" applyBorder="1" applyAlignment="1">
      <alignment horizontal="center"/>
    </xf>
    <xf numFmtId="14" fontId="0" fillId="31" borderId="0" xfId="0" applyNumberForma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4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21" xfId="0" applyBorder="1"/>
    <xf numFmtId="4" fontId="0" fillId="0" borderId="0" xfId="0" applyNumberFormat="1"/>
    <xf numFmtId="0" fontId="51" fillId="33" borderId="0" xfId="0" applyFont="1" applyFill="1" applyAlignment="1">
      <alignment horizontal="center" vertical="center" wrapText="1"/>
    </xf>
    <xf numFmtId="0" fontId="49" fillId="39" borderId="37" xfId="0" applyFont="1" applyFill="1" applyBorder="1" applyAlignment="1">
      <alignment horizontal="left" vertical="center"/>
    </xf>
    <xf numFmtId="0" fontId="49" fillId="39" borderId="38" xfId="0" applyFont="1" applyFill="1" applyBorder="1" applyAlignment="1">
      <alignment horizontal="left" vertical="center"/>
    </xf>
    <xf numFmtId="0" fontId="27" fillId="0" borderId="12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4" fontId="50" fillId="38" borderId="41" xfId="0" applyNumberFormat="1" applyFont="1" applyFill="1" applyBorder="1" applyAlignment="1">
      <alignment horizontal="center" vertical="center"/>
    </xf>
    <xf numFmtId="4" fontId="50" fillId="38" borderId="49" xfId="0" applyNumberFormat="1" applyFont="1" applyFill="1" applyBorder="1" applyAlignment="1">
      <alignment horizontal="center" vertical="center"/>
    </xf>
    <xf numFmtId="4" fontId="50" fillId="38" borderId="26" xfId="0" applyNumberFormat="1" applyFont="1" applyFill="1" applyBorder="1" applyAlignment="1">
      <alignment horizontal="center" vertical="center"/>
    </xf>
    <xf numFmtId="0" fontId="49" fillId="39" borderId="22" xfId="0" applyFont="1" applyFill="1" applyBorder="1" applyAlignment="1">
      <alignment horizontal="left" vertical="center"/>
    </xf>
    <xf numFmtId="0" fontId="49" fillId="39" borderId="50" xfId="0" applyFont="1" applyFill="1" applyBorder="1" applyAlignment="1">
      <alignment horizontal="left" vertical="center"/>
    </xf>
    <xf numFmtId="0" fontId="49" fillId="40" borderId="28" xfId="0" applyFont="1" applyFill="1" applyBorder="1" applyAlignment="1">
      <alignment horizontal="left" vertical="center"/>
    </xf>
    <xf numFmtId="0" fontId="49" fillId="40" borderId="18" xfId="0" applyFont="1" applyFill="1" applyBorder="1" applyAlignment="1">
      <alignment horizontal="left" vertical="center"/>
    </xf>
    <xf numFmtId="0" fontId="49" fillId="39" borderId="32" xfId="0" applyFont="1" applyFill="1" applyBorder="1" applyAlignment="1">
      <alignment horizontal="left" vertical="center"/>
    </xf>
    <xf numFmtId="0" fontId="49" fillId="39" borderId="34" xfId="0" applyFont="1" applyFill="1" applyBorder="1" applyAlignment="1">
      <alignment horizontal="left" vertical="center"/>
    </xf>
    <xf numFmtId="0" fontId="27" fillId="33" borderId="35" xfId="0" applyFont="1" applyFill="1" applyBorder="1" applyAlignment="1">
      <alignment horizontal="center" vertical="center" wrapText="1"/>
    </xf>
    <xf numFmtId="0" fontId="27" fillId="33" borderId="0" xfId="0" applyFont="1" applyFill="1" applyAlignment="1">
      <alignment horizontal="center" vertical="center" wrapText="1"/>
    </xf>
    <xf numFmtId="0" fontId="26" fillId="39" borderId="42" xfId="0" applyFont="1" applyFill="1" applyBorder="1" applyAlignment="1">
      <alignment horizontal="left" vertical="center"/>
    </xf>
    <xf numFmtId="0" fontId="26" fillId="39" borderId="43" xfId="0" applyFont="1" applyFill="1" applyBorder="1" applyAlignment="1">
      <alignment horizontal="left" vertical="center"/>
    </xf>
    <xf numFmtId="0" fontId="26" fillId="39" borderId="27" xfId="0" applyFont="1" applyFill="1" applyBorder="1" applyAlignment="1">
      <alignment horizontal="left" vertical="center"/>
    </xf>
    <xf numFmtId="0" fontId="26" fillId="39" borderId="19" xfId="0" applyFont="1" applyFill="1" applyBorder="1" applyAlignment="1">
      <alignment horizontal="left" vertical="center"/>
    </xf>
    <xf numFmtId="0" fontId="49" fillId="40" borderId="15" xfId="0" applyFont="1" applyFill="1" applyBorder="1" applyAlignment="1">
      <alignment horizontal="left" vertical="center"/>
    </xf>
    <xf numFmtId="0" fontId="49" fillId="40" borderId="13" xfId="0" applyFont="1" applyFill="1" applyBorder="1" applyAlignment="1">
      <alignment horizontal="left" vertical="center"/>
    </xf>
    <xf numFmtId="0" fontId="48" fillId="33" borderId="28" xfId="0" applyFont="1" applyFill="1" applyBorder="1" applyAlignment="1" applyProtection="1">
      <alignment horizontal="center" vertical="center"/>
      <protection locked="0"/>
    </xf>
    <xf numFmtId="0" fontId="48" fillId="33" borderId="18" xfId="0" applyFont="1" applyFill="1" applyBorder="1" applyAlignment="1" applyProtection="1">
      <alignment horizontal="center" vertical="center"/>
      <protection locked="0"/>
    </xf>
    <xf numFmtId="0" fontId="48" fillId="33" borderId="25" xfId="0" applyFont="1" applyFill="1" applyBorder="1" applyAlignment="1" applyProtection="1">
      <alignment horizontal="center" vertical="center"/>
      <protection locked="0"/>
    </xf>
    <xf numFmtId="0" fontId="49" fillId="33" borderId="0" xfId="0" applyFont="1" applyFill="1" applyAlignment="1">
      <alignment horizontal="left"/>
    </xf>
    <xf numFmtId="0" fontId="49" fillId="40" borderId="17" xfId="0" applyFont="1" applyFill="1" applyBorder="1" applyAlignment="1">
      <alignment horizontal="left" vertical="center"/>
    </xf>
    <xf numFmtId="0" fontId="49" fillId="39" borderId="52" xfId="0" applyFont="1" applyFill="1" applyBorder="1" applyAlignment="1">
      <alignment horizontal="left" vertical="center"/>
    </xf>
    <xf numFmtId="0" fontId="49" fillId="39" borderId="28" xfId="0" applyFont="1" applyFill="1" applyBorder="1" applyAlignment="1">
      <alignment horizontal="left" vertical="center"/>
    </xf>
    <xf numFmtId="0" fontId="49" fillId="39" borderId="17" xfId="0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1" fillId="30" borderId="0" xfId="0" applyFont="1" applyFill="1" applyAlignment="1">
      <alignment horizontal="center" vertical="center" wrapText="1"/>
    </xf>
    <xf numFmtId="44" fontId="34" fillId="34" borderId="0" xfId="301" applyFont="1" applyFill="1" applyBorder="1" applyAlignment="1">
      <alignment horizontal="center"/>
    </xf>
  </cellXfs>
  <cellStyles count="303">
    <cellStyle name="20% - Énfasis1 2" xfId="14" xr:uid="{52053D3C-7C4A-4C84-9326-CEF2417FB2B2}"/>
    <cellStyle name="20% - Énfasis1 3" xfId="15" xr:uid="{6C69EDC5-8548-4DE6-988D-839C069E9294}"/>
    <cellStyle name="20% - Énfasis1 4" xfId="16" xr:uid="{717B9462-84FC-4B50-8CE3-148EB9DE5CC6}"/>
    <cellStyle name="20% - Énfasis1 5" xfId="17" xr:uid="{09F8B523-427C-40F3-BAAA-A22AD2512C8F}"/>
    <cellStyle name="20% - Énfasis1 6" xfId="18" xr:uid="{F59B7C69-7EFE-412F-AAE6-E083B18ED817}"/>
    <cellStyle name="20% - Énfasis1 7" xfId="19" xr:uid="{7397D9D1-89A7-4B30-AB34-674E8D0C3F49}"/>
    <cellStyle name="20% - Énfasis2 2" xfId="20" xr:uid="{3EF0AAAF-7314-457F-9CF2-E5C20BABC0D3}"/>
    <cellStyle name="20% - Énfasis2 3" xfId="21" xr:uid="{1D869210-A525-471F-B731-BC7D3B85773B}"/>
    <cellStyle name="20% - Énfasis2 4" xfId="22" xr:uid="{5662FDAE-0052-4E66-A7D7-EF1AF7B0FA54}"/>
    <cellStyle name="20% - Énfasis2 5" xfId="23" xr:uid="{A7BBE4DB-8F04-456D-B802-0ED53F24F230}"/>
    <cellStyle name="20% - Énfasis2 6" xfId="24" xr:uid="{DA6B2079-A75B-4B65-9A19-835424C9D490}"/>
    <cellStyle name="20% - Énfasis2 7" xfId="25" xr:uid="{CA422B9E-A7E2-484A-8D63-3D6AD7F54F9B}"/>
    <cellStyle name="20% - Énfasis3 2" xfId="26" xr:uid="{1C961021-DD6B-4AA6-862A-453E2C48BF76}"/>
    <cellStyle name="20% - Énfasis3 3" xfId="27" xr:uid="{BD9A2A03-5801-47C9-94FA-DEA1C7E8D75D}"/>
    <cellStyle name="20% - Énfasis3 4" xfId="28" xr:uid="{9C9797D9-889F-47D0-9676-BDE6C29DA42B}"/>
    <cellStyle name="20% - Énfasis3 5" xfId="29" xr:uid="{E77669FE-ECA3-4B7F-99B4-CE911D35B5FD}"/>
    <cellStyle name="20% - Énfasis3 6" xfId="30" xr:uid="{D3A819F6-1D25-4800-9B52-F59977E74C4C}"/>
    <cellStyle name="20% - Énfasis3 7" xfId="31" xr:uid="{361EE559-9DDC-44E5-903C-26D0019662AD}"/>
    <cellStyle name="20% - Énfasis4 2" xfId="32" xr:uid="{E4E3B7A3-B8A7-4078-B49A-ECD3AAC987AF}"/>
    <cellStyle name="20% - Énfasis4 3" xfId="33" xr:uid="{323B75EB-20A3-469F-8978-D8669C154430}"/>
    <cellStyle name="20% - Énfasis4 4" xfId="34" xr:uid="{5DF7ED9D-C4E8-416D-95A9-BC726F1D510A}"/>
    <cellStyle name="20% - Énfasis4 5" xfId="35" xr:uid="{C9EC0F1B-3503-45C4-B509-CF2029C0D592}"/>
    <cellStyle name="20% - Énfasis4 6" xfId="36" xr:uid="{895B6BDE-E86F-413A-8D30-E5A2E768BC5E}"/>
    <cellStyle name="20% - Énfasis4 7" xfId="37" xr:uid="{F670E91B-2A6E-4176-A350-90D099C02ACF}"/>
    <cellStyle name="20% - Énfasis6 2" xfId="38" xr:uid="{F296A21D-25CC-4D33-B463-AB36915A4C64}"/>
    <cellStyle name="20% - Énfasis6 3" xfId="39" xr:uid="{B5850480-6C2E-4B11-99EC-EA759394DA7C}"/>
    <cellStyle name="20% - Énfasis6 4" xfId="40" xr:uid="{54B11D0C-6BE0-4469-8953-D239EC7FDCCC}"/>
    <cellStyle name="20% - Énfasis6 5" xfId="41" xr:uid="{A2D9428C-2ABA-4552-BCEF-AFC391318CE8}"/>
    <cellStyle name="20% - Énfasis6 6" xfId="42" xr:uid="{23BB3937-FD25-4D81-915B-1360BE5D6450}"/>
    <cellStyle name="20% - Énfasis6 7" xfId="43" xr:uid="{0D52F97E-08F6-46A5-93B3-AB98DB588382}"/>
    <cellStyle name="40% - Énfasis1 2" xfId="44" xr:uid="{BBCC93DB-A1F7-4FD7-9085-A9776201B846}"/>
    <cellStyle name="40% - Énfasis1 3" xfId="45" xr:uid="{2FBD9142-6C52-4C94-9083-C15DB98288C0}"/>
    <cellStyle name="40% - Énfasis1 4" xfId="46" xr:uid="{9CBE17F7-16B3-4750-B8DB-D50344062347}"/>
    <cellStyle name="40% - Énfasis1 5" xfId="47" xr:uid="{597AA47F-4EAD-41A7-BD41-5C273C391449}"/>
    <cellStyle name="40% - Énfasis1 6" xfId="48" xr:uid="{CC6AD9C9-2092-4A07-BD70-2A8F7BE00304}"/>
    <cellStyle name="40% - Énfasis1 7" xfId="49" xr:uid="{B0EBE6D5-E7CB-4776-A2CF-5B65BA2008EA}"/>
    <cellStyle name="40% - Énfasis3 2" xfId="50" xr:uid="{182F232D-3401-4406-A2A7-C10ADDFC0105}"/>
    <cellStyle name="40% - Énfasis3 3" xfId="51" xr:uid="{7A0097E7-71AD-4875-992E-FCC0EEA806BD}"/>
    <cellStyle name="40% - Énfasis3 4" xfId="52" xr:uid="{565B33D7-3888-427F-BCDC-1795BB1330F2}"/>
    <cellStyle name="40% - Énfasis3 5" xfId="53" xr:uid="{AFE2AE9B-34F0-4F68-84EA-857EC2349443}"/>
    <cellStyle name="40% - Énfasis3 6" xfId="54" xr:uid="{CD5F4C30-FD6F-4545-B49C-558653AC03EA}"/>
    <cellStyle name="40% - Énfasis3 7" xfId="55" xr:uid="{330A350A-716C-497B-8570-86502E70F852}"/>
    <cellStyle name="40% - Énfasis4 2" xfId="56" xr:uid="{E84BB3E9-CD06-41F9-B8A0-78A774C7F65E}"/>
    <cellStyle name="40% - Énfasis4 3" xfId="57" xr:uid="{CCE0B6A6-CF02-4F25-9B46-2EAAA6F3C755}"/>
    <cellStyle name="40% - Énfasis4 4" xfId="58" xr:uid="{9BC6B26A-CB3A-415E-BB18-B9CF5B6B9D02}"/>
    <cellStyle name="40% - Énfasis4 5" xfId="59" xr:uid="{8546B94F-72D9-474C-8A75-B90D227539DE}"/>
    <cellStyle name="40% - Énfasis4 6" xfId="60" xr:uid="{20A241FE-F028-4B3A-BD6E-A2040F88B850}"/>
    <cellStyle name="40% - Énfasis4 7" xfId="61" xr:uid="{9DB4F40E-941C-4707-AC7E-42BB13B0B8EB}"/>
    <cellStyle name="40% - Énfasis5 2" xfId="62" xr:uid="{76F44057-96A4-42B6-9A8E-BF39084F4B26}"/>
    <cellStyle name="40% - Énfasis5 3" xfId="63" xr:uid="{F5CF860F-B5D9-4FA5-8B26-32D878BD47FF}"/>
    <cellStyle name="40% - Énfasis5 4" xfId="64" xr:uid="{11B74D78-D8AA-41C8-A99D-5EA3E5D15165}"/>
    <cellStyle name="40% - Énfasis5 5" xfId="65" xr:uid="{03D44E67-87AA-466E-958B-84D9F0B53830}"/>
    <cellStyle name="40% - Énfasis5 6" xfId="66" xr:uid="{EFEAC579-0C63-44E3-9DEB-79EC5787FE52}"/>
    <cellStyle name="40% - Énfasis5 7" xfId="67" xr:uid="{631D79AB-116F-4A75-B39E-4C1B3B4236D7}"/>
    <cellStyle name="40% - Énfasis6 2" xfId="68" xr:uid="{606DD21E-870F-489F-9EE6-0B0418FDA7D9}"/>
    <cellStyle name="40% - Énfasis6 3" xfId="69" xr:uid="{83AF2343-8114-42DC-A675-6E8102E7E458}"/>
    <cellStyle name="40% - Énfasis6 4" xfId="70" xr:uid="{58C57B62-9B38-45C8-9D65-50A848AD7B00}"/>
    <cellStyle name="40% - Énfasis6 5" xfId="71" xr:uid="{A10FD917-285B-4C97-86E8-C858F2507A4C}"/>
    <cellStyle name="40% - Énfasis6 6" xfId="72" xr:uid="{DCE7474A-93C9-413E-8F0F-700F69FEB8B4}"/>
    <cellStyle name="40% - Énfasis6 7" xfId="73" xr:uid="{4B9992ED-7645-4847-A525-ECB712A54EC5}"/>
    <cellStyle name="60% - Énfasis1 2" xfId="74" xr:uid="{05B4505E-ED33-4BFB-8A6B-CB4FC02F4002}"/>
    <cellStyle name="60% - Énfasis1 3" xfId="75" xr:uid="{62FF608E-47B6-44A8-AD6D-8F18203007B4}"/>
    <cellStyle name="60% - Énfasis1 4" xfId="76" xr:uid="{8EC3698C-95B5-4F51-B20E-12D46BEB2278}"/>
    <cellStyle name="60% - Énfasis1 5" xfId="77" xr:uid="{2A171F74-1B0F-4649-9139-834A3F4CB751}"/>
    <cellStyle name="60% - Énfasis1 6" xfId="78" xr:uid="{61B6F427-3563-4B80-B6CB-EB03F5AA1AFE}"/>
    <cellStyle name="60% - Énfasis1 7" xfId="79" xr:uid="{4D4C3FD2-2403-4461-9CA9-8306984F4CEA}"/>
    <cellStyle name="60% - Énfasis2 2" xfId="80" xr:uid="{7B249378-EA6D-402C-82F1-3DCD72B9CFD7}"/>
    <cellStyle name="60% - Énfasis2 3" xfId="81" xr:uid="{E2E5A21F-56DA-4D35-BE31-6A27388251CF}"/>
    <cellStyle name="60% - Énfasis2 4" xfId="82" xr:uid="{3D2D50E3-F59D-4A44-800B-475DFB9F2862}"/>
    <cellStyle name="60% - Énfasis2 5" xfId="83" xr:uid="{4E1D3235-F728-42C8-B43E-F27290E0BC77}"/>
    <cellStyle name="60% - Énfasis2 6" xfId="84" xr:uid="{74986340-CAB1-41DE-A423-96E09CBCE2DE}"/>
    <cellStyle name="60% - Énfasis2 7" xfId="85" xr:uid="{F84AD400-D948-46AD-BA6B-569E274AD03C}"/>
    <cellStyle name="60% - Énfasis3 2" xfId="86" xr:uid="{FDF1BB40-F862-4B22-8081-754E87278B83}"/>
    <cellStyle name="60% - Énfasis3 3" xfId="87" xr:uid="{F825EA62-33E6-40C5-81BB-540769ECF0EA}"/>
    <cellStyle name="60% - Énfasis3 4" xfId="88" xr:uid="{FFF28CF1-59EE-4190-8389-62A4478CF047}"/>
    <cellStyle name="60% - Énfasis3 5" xfId="89" xr:uid="{3E959879-05A9-4466-ACFE-942E44F89EAF}"/>
    <cellStyle name="60% - Énfasis3 6" xfId="90" xr:uid="{6485B305-54AA-491F-BD53-A54DBBE8CD40}"/>
    <cellStyle name="60% - Énfasis3 7" xfId="91" xr:uid="{DA86B28A-13E1-4875-82D0-8BB1E5EDA312}"/>
    <cellStyle name="60% - Énfasis4 2" xfId="92" xr:uid="{61B70C9B-0D72-484A-9B4D-A23180E7EC0C}"/>
    <cellStyle name="60% - Énfasis4 3" xfId="93" xr:uid="{AB6284DD-E760-4B35-A9DE-433212B5E49A}"/>
    <cellStyle name="60% - Énfasis4 4" xfId="94" xr:uid="{A100A88F-21AC-4181-9371-BA14697A24F2}"/>
    <cellStyle name="60% - Énfasis4 5" xfId="95" xr:uid="{F166E227-500A-41E2-B2CE-43E0754AE51C}"/>
    <cellStyle name="60% - Énfasis4 6" xfId="96" xr:uid="{31F76FFC-9998-4AE1-A78A-4280B1030782}"/>
    <cellStyle name="60% - Énfasis4 7" xfId="97" xr:uid="{DA541985-CE6D-48EE-A8D3-F038F045169C}"/>
    <cellStyle name="60% - Énfasis5 2" xfId="98" xr:uid="{EAC93938-9E6A-4D75-ADE5-AA1D08F4880D}"/>
    <cellStyle name="60% - Énfasis5 3" xfId="99" xr:uid="{A06E739F-0B4F-47CD-9BBE-718A29CB975E}"/>
    <cellStyle name="60% - Énfasis5 4" xfId="100" xr:uid="{B47A58AD-C9D3-43FE-906F-CD6DF197DD4F}"/>
    <cellStyle name="60% - Énfasis5 5" xfId="101" xr:uid="{BAD1AAFC-A3A0-49E4-B7FE-D9A74F12D2F1}"/>
    <cellStyle name="60% - Énfasis5 6" xfId="102" xr:uid="{C86AA498-B9DC-4E0E-A58C-3F44097216B3}"/>
    <cellStyle name="60% - Énfasis5 7" xfId="103" xr:uid="{FDA3F236-025B-48F8-AFAC-9BC35EB1D2A3}"/>
    <cellStyle name="60% - Énfasis6 2" xfId="104" xr:uid="{5012A832-420A-4F3A-B78E-E88793924525}"/>
    <cellStyle name="60% - Énfasis6 3" xfId="105" xr:uid="{7CBCF521-B30B-4228-9DAD-BA4C2E18B5CC}"/>
    <cellStyle name="60% - Énfasis6 4" xfId="106" xr:uid="{6C985FD3-4616-4258-918A-9DBCB0E2186B}"/>
    <cellStyle name="60% - Énfasis6 5" xfId="107" xr:uid="{A54990D2-3AFD-4227-981C-AD9F77ADEEFC}"/>
    <cellStyle name="60% - Énfasis6 6" xfId="108" xr:uid="{99A392AA-73E2-461C-8F33-C2E78966E763}"/>
    <cellStyle name="60% - Énfasis6 7" xfId="109" xr:uid="{312F08F5-6FDA-42B5-9EDF-015418C01A8B}"/>
    <cellStyle name="Buena 2" xfId="110" xr:uid="{0C15741C-976D-4B8F-91F0-9525F6491B0E}"/>
    <cellStyle name="Buena 3" xfId="111" xr:uid="{BB771F9F-A91E-4D0B-88D2-93DB926E2EEC}"/>
    <cellStyle name="Buena 4" xfId="112" xr:uid="{BB1F3680-FAF2-4B36-AE3B-592C184086AA}"/>
    <cellStyle name="Buena 5" xfId="113" xr:uid="{130AFD53-81E0-4B0A-92D9-42B44EBA32C3}"/>
    <cellStyle name="Buena 6" xfId="114" xr:uid="{03B404FA-F63E-4BA3-95F7-F41F57FE0495}"/>
    <cellStyle name="Buena 7" xfId="115" xr:uid="{89F84533-6224-49C2-8D08-8A500937750A}"/>
    <cellStyle name="Cálculo 2" xfId="116" xr:uid="{474FE4FA-6EE5-4BA1-9092-F46FE7F7F416}"/>
    <cellStyle name="Cálculo 3" xfId="117" xr:uid="{3531E85E-845B-4C57-9241-BBCD55D6F1B0}"/>
    <cellStyle name="Cálculo 4" xfId="118" xr:uid="{C6A739A3-84BB-4A26-AB61-D97321A67B9A}"/>
    <cellStyle name="Cálculo 5" xfId="119" xr:uid="{58AE3FC2-B51E-46F3-9AED-BEDF4143CBCE}"/>
    <cellStyle name="Cálculo 6" xfId="120" xr:uid="{7857BCFB-9091-4230-965A-D63BDFE9FAFA}"/>
    <cellStyle name="Cálculo 7" xfId="121" xr:uid="{7EF9426E-3685-40B6-88B9-200192D88032}"/>
    <cellStyle name="Celda vinculada 2" xfId="122" xr:uid="{B22841F6-B407-4CDC-A8B4-E508B33B1F62}"/>
    <cellStyle name="Celda vinculada 3" xfId="123" xr:uid="{1ECBC23F-0B94-4E75-ADE5-0E633934EA24}"/>
    <cellStyle name="Celda vinculada 4" xfId="124" xr:uid="{89B364C2-6D95-4FDB-8CD2-32AB1C5F2E5B}"/>
    <cellStyle name="Celda vinculada 5" xfId="125" xr:uid="{17373B23-9785-48B0-A0F3-E2749523882E}"/>
    <cellStyle name="Celda vinculada 6" xfId="126" xr:uid="{0BD4CE88-FCC6-48BC-9F57-E008EA488F33}"/>
    <cellStyle name="Celda vinculada 7" xfId="127" xr:uid="{CD12E78A-F391-4D17-BE48-4FBE33B00728}"/>
    <cellStyle name="Comma 2" xfId="299" xr:uid="{BF883885-A9EC-47AC-86AC-6D451E2AC5DF}"/>
    <cellStyle name="Currency 2" xfId="9" xr:uid="{74030623-4A55-4BAA-91ED-3DEAA3B31AEA}"/>
    <cellStyle name="Currency 2 2" xfId="298" xr:uid="{A692C36A-4370-4902-9B73-5257C664047D}"/>
    <cellStyle name="Currency 2 3" xfId="300" xr:uid="{2A9B9F24-D9BA-4C0B-BF3A-ECE92CA48B10}"/>
    <cellStyle name="Encabezado 4 2" xfId="128" xr:uid="{67C9B155-9AE8-4488-9D10-279D2342DAA1}"/>
    <cellStyle name="Encabezado 4 3" xfId="129" xr:uid="{4D32E2A1-693C-49E7-B7B8-796AA0DBA29F}"/>
    <cellStyle name="Encabezado 4 4" xfId="130" xr:uid="{1391C436-C3B0-400B-A89E-6B3E1EDE95E7}"/>
    <cellStyle name="Encabezado 4 5" xfId="131" xr:uid="{C148687F-E102-4F3D-B754-E6FF1154386C}"/>
    <cellStyle name="Encabezado 4 6" xfId="132" xr:uid="{4361A170-7584-4D03-91A7-4C4918DBA1D9}"/>
    <cellStyle name="Encabezado 4 7" xfId="133" xr:uid="{EAE25D0B-0141-4775-B1BB-A977E32D5020}"/>
    <cellStyle name="Énfasis1 2" xfId="134" xr:uid="{FCEE00AA-BC0B-4B4B-A0B9-33A36CBB4611}"/>
    <cellStyle name="Énfasis1 3" xfId="135" xr:uid="{449B004F-9C8B-454C-AA1E-BD7A880EEEAA}"/>
    <cellStyle name="Énfasis1 4" xfId="136" xr:uid="{5D0A890A-2C4E-4FEE-B17E-882F09D64DD7}"/>
    <cellStyle name="Énfasis1 5" xfId="137" xr:uid="{D40E401B-1BDF-4BDF-8827-EBF958BEB632}"/>
    <cellStyle name="Énfasis1 6" xfId="138" xr:uid="{78ED8CB4-9A88-4BE4-85A0-FD0CBD6FB05E}"/>
    <cellStyle name="Énfasis1 7" xfId="139" xr:uid="{7836250B-8FDB-4C0F-8B0B-B1C2B0DCEA62}"/>
    <cellStyle name="Énfasis2 2" xfId="140" xr:uid="{9D61D23E-5E30-4BC3-B43B-346C6A6509C3}"/>
    <cellStyle name="Énfasis2 3" xfId="141" xr:uid="{3131F615-44C2-4287-9FA9-F08B0A31E464}"/>
    <cellStyle name="Énfasis2 4" xfId="142" xr:uid="{6CE32901-3ABE-4B28-B8E1-4B3D3352D7A6}"/>
    <cellStyle name="Énfasis2 5" xfId="143" xr:uid="{CB1D0698-171B-4EF1-931F-997527448374}"/>
    <cellStyle name="Énfasis2 6" xfId="144" xr:uid="{CE9E1142-7476-42EB-86FE-55C457436A36}"/>
    <cellStyle name="Énfasis2 7" xfId="145" xr:uid="{9C99A30D-A98E-4652-9367-8FBD6A3F249C}"/>
    <cellStyle name="Énfasis3 2" xfId="146" xr:uid="{16221EE2-47B2-4E74-B7BA-21A7FF2A2F68}"/>
    <cellStyle name="Énfasis3 3" xfId="147" xr:uid="{17320512-75B7-40A7-B746-EBBC97AD7B01}"/>
    <cellStyle name="Énfasis3 4" xfId="148" xr:uid="{2F8C1175-16DC-4DCE-82F3-04F861BC1A97}"/>
    <cellStyle name="Énfasis3 5" xfId="149" xr:uid="{09E55051-0D01-4E04-A1A0-96FE4A4ECFC5}"/>
    <cellStyle name="Énfasis3 6" xfId="150" xr:uid="{5CB1B549-D7B8-4497-8012-778ABC7621E6}"/>
    <cellStyle name="Énfasis3 7" xfId="151" xr:uid="{B28617F6-78D8-4944-B06D-3032166A85F5}"/>
    <cellStyle name="Énfasis4 2" xfId="152" xr:uid="{FD5E3E72-80FE-4563-8776-7FC2C5F11A40}"/>
    <cellStyle name="Énfasis4 3" xfId="153" xr:uid="{CDC64EB1-C19D-4A8E-AB21-746AC2F4A983}"/>
    <cellStyle name="Énfasis4 4" xfId="154" xr:uid="{D6C9E2C3-65A5-4672-8A56-877923E022D9}"/>
    <cellStyle name="Énfasis4 5" xfId="155" xr:uid="{B4C0E61F-EE60-4D1F-BA5C-E816E8D51A04}"/>
    <cellStyle name="Énfasis4 6" xfId="156" xr:uid="{488CE1D3-4C74-4B60-87B1-D8F0B5D33664}"/>
    <cellStyle name="Énfasis4 7" xfId="157" xr:uid="{1DFCAFCC-C347-4E1C-BA11-27EF36007285}"/>
    <cellStyle name="Énfasis6 2" xfId="158" xr:uid="{4A5A7416-26BA-42B0-A76A-AE6AE13B8333}"/>
    <cellStyle name="Énfasis6 3" xfId="159" xr:uid="{93A9BC81-75EA-4946-A27C-C86D9CBA3B35}"/>
    <cellStyle name="Énfasis6 4" xfId="160" xr:uid="{1F472F4E-2171-4080-88A6-22755DE7DDEA}"/>
    <cellStyle name="Énfasis6 5" xfId="161" xr:uid="{70637877-1974-45D0-AF05-4F7888D090DF}"/>
    <cellStyle name="Énfasis6 6" xfId="162" xr:uid="{A4506532-6AF7-46D5-A8D2-51A219D6C103}"/>
    <cellStyle name="Énfasis6 7" xfId="163" xr:uid="{5F7E52C8-4E32-4913-9617-F8233BD34007}"/>
    <cellStyle name="Entrada 2" xfId="164" xr:uid="{CCD5311F-560F-4ECA-BEEB-EB9EFAD5952B}"/>
    <cellStyle name="Entrada 3" xfId="165" xr:uid="{11C96239-8EB3-4F41-8EF5-BF7497393E45}"/>
    <cellStyle name="Entrada 4" xfId="166" xr:uid="{515EB127-049C-4FAD-88DF-EECD851874E8}"/>
    <cellStyle name="Entrada 5" xfId="167" xr:uid="{89ACC3A8-A899-43BD-80DC-C48DF1475EF4}"/>
    <cellStyle name="Entrada 6" xfId="168" xr:uid="{9EF38132-0ABB-4FC5-8BA7-308F4EF5E193}"/>
    <cellStyle name="Entrada 7" xfId="169" xr:uid="{A58C972F-775C-4058-9384-7D404CB80A76}"/>
    <cellStyle name="Incorrecto 2" xfId="170" xr:uid="{68EA9EC0-7507-47B0-8578-640757AFDBFD}"/>
    <cellStyle name="Incorrecto 3" xfId="171" xr:uid="{9B0190E3-03AD-4015-9854-FC47AA77A57C}"/>
    <cellStyle name="Incorrecto 4" xfId="172" xr:uid="{34157FE1-DEF6-413F-9433-737A98BB380B}"/>
    <cellStyle name="Incorrecto 5" xfId="173" xr:uid="{75D5EC15-0844-4B55-BEBD-00EDA7E4B237}"/>
    <cellStyle name="Incorrecto 6" xfId="174" xr:uid="{1A0A8CAC-5149-4CEA-AA72-C353B0E6F39A}"/>
    <cellStyle name="Incorrecto 7" xfId="175" xr:uid="{56579709-A96D-4D5B-B658-095FB06A30ED}"/>
    <cellStyle name="Millares 2" xfId="7" xr:uid="{41B3A2CD-E3BB-4103-A36E-BCAEB30C00AD}"/>
    <cellStyle name="Millares 2 2" xfId="177" xr:uid="{22E2DF84-3764-4A3F-83EC-0DDC97B9966A}"/>
    <cellStyle name="Millares 2 3" xfId="178" xr:uid="{6694D879-1C53-487D-8EA2-B9150F589889}"/>
    <cellStyle name="Millares 2 4" xfId="176" xr:uid="{03453FCC-0E77-4726-8E7E-611247CFF7C2}"/>
    <cellStyle name="Millares 3" xfId="3" xr:uid="{B4E06A23-7AAD-4057-B644-D11715C61C87}"/>
    <cellStyle name="Millares 4 2" xfId="13" xr:uid="{7E8A41A9-F842-4912-A1A7-EC4279871EEB}"/>
    <cellStyle name="Moneda" xfId="301" builtinId="4"/>
    <cellStyle name="Moneda 2" xfId="179" xr:uid="{0AA733D0-E693-42A6-A117-E8A17F24ABA4}"/>
    <cellStyle name="Moneda 2 2" xfId="180" xr:uid="{81B17F81-FE94-4A10-9A3B-1F3740F862A7}"/>
    <cellStyle name="Moneda 2 2 2" xfId="293" xr:uid="{157F7DD3-54E9-4605-9712-6FC7F0AF4897}"/>
    <cellStyle name="Moneda 2 3" xfId="181" xr:uid="{8106F00A-962F-4EFA-9EC4-C0DED961FD50}"/>
    <cellStyle name="Moneda 2 4" xfId="295" xr:uid="{2527DA1B-7013-42F8-A507-10814CE9FD09}"/>
    <cellStyle name="Moneda 3" xfId="292" xr:uid="{7119B06B-3D04-4FE9-8BB7-381025B61EFD}"/>
    <cellStyle name="Neutral 2" xfId="182" xr:uid="{06C7F654-ECE1-4CF3-985A-B21A72216C06}"/>
    <cellStyle name="Neutral 3" xfId="183" xr:uid="{AA9E8E74-1C08-47DC-92D7-2E473C6A018F}"/>
    <cellStyle name="Neutral 4" xfId="184" xr:uid="{772B4BCC-C6A9-404A-B135-4724A56E7F93}"/>
    <cellStyle name="Neutral 5" xfId="185" xr:uid="{158BA1A2-749A-49F8-BE0F-75DEE1AA01B9}"/>
    <cellStyle name="Neutral 6" xfId="186" xr:uid="{6CBCD9A7-56CF-4D4B-8CCE-F9BD79E466F2}"/>
    <cellStyle name="Neutral 7" xfId="187" xr:uid="{6D609333-318D-4A07-A8D9-E54150B2EC18}"/>
    <cellStyle name="Normal" xfId="0" builtinId="0"/>
    <cellStyle name="Normal 10" xfId="188" xr:uid="{F52A9E50-F66E-4567-8756-96C313FC07F8}"/>
    <cellStyle name="Normal 11" xfId="189" xr:uid="{D09DB28B-00D6-4704-A38A-2C16FB65B8AF}"/>
    <cellStyle name="Normal 12" xfId="290" xr:uid="{C3D48063-6F8E-4A59-BEFB-CFD72581C963}"/>
    <cellStyle name="Normal 13" xfId="291" xr:uid="{535B7525-7E15-42B9-B796-5A9F080FFE48}"/>
    <cellStyle name="Normal 14" xfId="8" xr:uid="{6115E9D8-A8C5-4808-BF7C-9C29D0A893F6}"/>
    <cellStyle name="Normal 15" xfId="190" xr:uid="{0A0F4A44-1244-499F-92CD-C4B5E8FC1DFA}"/>
    <cellStyle name="Normal 16" xfId="1" xr:uid="{88F5E8E7-3A96-4969-9673-B70371B1B41E}"/>
    <cellStyle name="Normal 2" xfId="5" xr:uid="{28597B4F-3D52-4D31-9BE6-6AFC2D2FEFA7}"/>
    <cellStyle name="Normal 2 2" xfId="191" xr:uid="{978D644A-FECC-4E4C-A959-66861C4BD4FA}"/>
    <cellStyle name="Normal 2 2 2" xfId="192" xr:uid="{E4A64CB1-4802-47BC-82FD-C8E621B6CBE0}"/>
    <cellStyle name="Normal 2 2 2 10" xfId="193" xr:uid="{D0DA9073-E53F-4031-9130-C12167C47652}"/>
    <cellStyle name="Normal 2 2 2 2" xfId="194" xr:uid="{91603E3A-1469-4CD9-8064-3E3C215028A0}"/>
    <cellStyle name="Normal 2 2 2 3" xfId="195" xr:uid="{6CBBF813-587C-43A4-9A36-A8072C24A05F}"/>
    <cellStyle name="Normal 2 2 2 4" xfId="196" xr:uid="{447B2302-2EB8-46FB-8DA8-960E6CFE0467}"/>
    <cellStyle name="Normal 2 2 2 5" xfId="197" xr:uid="{EB3FA0ED-CF07-4597-8FAE-2E9919AA4656}"/>
    <cellStyle name="Normal 2 2 2 6" xfId="198" xr:uid="{237EF989-C77D-41B5-95CA-0F12E756ACAF}"/>
    <cellStyle name="Normal 2 2 2 7" xfId="199" xr:uid="{2C6BE766-82CF-448A-B54B-C46386277EFA}"/>
    <cellStyle name="Normal 2 2 2 8" xfId="200" xr:uid="{D43F35A4-D3BC-4493-87D8-69DCE5D1789F}"/>
    <cellStyle name="Normal 2 2 2 9" xfId="201" xr:uid="{C50EC2D5-753D-48D1-8EAD-4C1FE9B35DB8}"/>
    <cellStyle name="Normal 2 2 3" xfId="202" xr:uid="{5D134171-7A2F-4B22-BE27-B7F7492EA10F}"/>
    <cellStyle name="Normal 2 3" xfId="12" xr:uid="{ABC4FF6C-1E95-45AC-8AFE-B359B8D0B4DD}"/>
    <cellStyle name="Normal 2 3 2" xfId="203" xr:uid="{3B7B94EE-DCB4-44F2-84D0-10567B372F0F}"/>
    <cellStyle name="Normal 2 3 24" xfId="302" xr:uid="{55246830-61DE-491D-BB5B-327FC8D6ADA6}"/>
    <cellStyle name="Normal 2 3 4" xfId="4" xr:uid="{FC3BEDF3-5769-40D4-A810-8E04D696FA10}"/>
    <cellStyle name="Normal 2 4" xfId="204" xr:uid="{FDFCC6D1-EDDB-4D41-83A3-B52AA1CBD66C}"/>
    <cellStyle name="Normal 2 5" xfId="2" xr:uid="{F5364053-CF4A-494A-896B-777FF3DB0888}"/>
    <cellStyle name="Normal 2 5 2" xfId="205" xr:uid="{8B8B9A31-7F40-4B4A-B724-0BFDD413CFAF}"/>
    <cellStyle name="Normal 2 6" xfId="206" xr:uid="{97A731BD-859A-4FCD-8E64-90F10602C6DB}"/>
    <cellStyle name="Normal 2 7" xfId="10" xr:uid="{71117036-5661-45A0-A8EF-B16591A42285}"/>
    <cellStyle name="Normal 3" xfId="6" xr:uid="{652A30C3-EFDD-4A59-9EE6-39FFC4C5CDD4}"/>
    <cellStyle name="Normal 3 2" xfId="208" xr:uid="{AB5E707D-6440-4990-BC08-B2F1F0A3AC86}"/>
    <cellStyle name="Normal 3 2 2" xfId="11" xr:uid="{43826067-7FCD-4237-B5BB-CEF84C71F067}"/>
    <cellStyle name="Normal 3 3" xfId="209" xr:uid="{8DCFB6D1-2D64-4729-BE0F-94C69C94B1BD}"/>
    <cellStyle name="Normal 3 4" xfId="207" xr:uid="{31538B99-13D2-46FC-948A-B80CA4B7249C}"/>
    <cellStyle name="Normal 4" xfId="210" xr:uid="{2E40183B-7C9A-4EBD-BD51-3388B02A2648}"/>
    <cellStyle name="Normal 4 10" xfId="211" xr:uid="{5FC9CEC5-521C-4593-BCC3-9992B6694D81}"/>
    <cellStyle name="Normal 4 11" xfId="212" xr:uid="{2F86DF61-6083-4E97-8ACA-C76CB6FE0BBD}"/>
    <cellStyle name="Normal 4 2" xfId="213" xr:uid="{0D2BBB38-8672-4195-AE3F-F2AD4B57AADE}"/>
    <cellStyle name="Normal 4 3" xfId="214" xr:uid="{11FF6702-07FC-425D-A21B-84A45D673AB3}"/>
    <cellStyle name="Normal 4 4" xfId="215" xr:uid="{1B5CFAAD-AEAE-4390-86E5-F0674F5A9B03}"/>
    <cellStyle name="Normal 4 5" xfId="216" xr:uid="{E1A00156-0873-4675-93FF-0918D0995B2C}"/>
    <cellStyle name="Normal 4 6" xfId="217" xr:uid="{065C21CA-B744-4EEB-92AC-4306C48E7A4E}"/>
    <cellStyle name="Normal 4 7" xfId="218" xr:uid="{D1E5B9EC-05D8-42B2-B419-34112F03AD44}"/>
    <cellStyle name="Normal 4 8" xfId="219" xr:uid="{FB89FB32-DF76-4A77-88EB-8D0764399AE8}"/>
    <cellStyle name="Normal 4 9" xfId="220" xr:uid="{740124FE-779D-4F7D-AE12-A570C196F7E5}"/>
    <cellStyle name="Normal 5" xfId="221" xr:uid="{B95181A1-C347-4FBE-8BE9-327156334125}"/>
    <cellStyle name="Normal 6" xfId="222" xr:uid="{888303E6-BAFA-4B57-B140-8A757FDB548C}"/>
    <cellStyle name="Normal 6 2" xfId="223" xr:uid="{948D14E4-679B-4D8B-8EEB-54C6B8075B61}"/>
    <cellStyle name="Normal 7" xfId="224" xr:uid="{DF339C79-DC4F-4A74-92E7-DF3430D751B3}"/>
    <cellStyle name="Normal 7 2" xfId="225" xr:uid="{BF22E3E5-4616-47E8-A438-25DC05EAA4EC}"/>
    <cellStyle name="Normal 8" xfId="226" xr:uid="{A96BC8BF-30ED-44A8-8B79-33B34100F232}"/>
    <cellStyle name="Normal 8 2" xfId="227" xr:uid="{35D31A26-8651-4463-8B44-86722FEDFAE5}"/>
    <cellStyle name="Normal 9" xfId="228" xr:uid="{018F49BB-691C-43B6-93C7-521701929D66}"/>
    <cellStyle name="Normal 9 2" xfId="229" xr:uid="{071358B3-BF0D-4088-A91E-3A348C0425A6}"/>
    <cellStyle name="Notas 2" xfId="230" xr:uid="{69928807-3031-4E43-85AB-14A8E1C6F89A}"/>
    <cellStyle name="Notas 2 10" xfId="231" xr:uid="{39708662-3F5C-4BDB-A6D7-635E22B4355D}"/>
    <cellStyle name="Notas 2 2" xfId="232" xr:uid="{58C3D540-3D67-4B20-94DB-DE64F04CAF0E}"/>
    <cellStyle name="Notas 2 3" xfId="233" xr:uid="{A2EBE743-5D31-48B2-8BC7-EDE7B4E19AEF}"/>
    <cellStyle name="Notas 2 4" xfId="234" xr:uid="{0405C17C-3725-444C-8B0A-CEBE0378E821}"/>
    <cellStyle name="Notas 2 5" xfId="235" xr:uid="{675B5C57-00A4-47AA-AFBB-AFF743E11CEB}"/>
    <cellStyle name="Notas 2 6" xfId="236" xr:uid="{6EBF4246-603F-4D7C-B1C0-6E693B6C959A}"/>
    <cellStyle name="Notas 2 7" xfId="237" xr:uid="{70032D46-0E05-45B5-9B63-459BA0467B6C}"/>
    <cellStyle name="Notas 2 8" xfId="238" xr:uid="{1E2E2843-CCEB-4848-A8FB-FA9F92562DFD}"/>
    <cellStyle name="Notas 2 9" xfId="239" xr:uid="{7D7AF10F-E9A1-4945-93A6-EE6C3A258C19}"/>
    <cellStyle name="Notas 3" xfId="240" xr:uid="{DD793ABA-9D78-4473-A5F3-D2A636B33DED}"/>
    <cellStyle name="Notas 3 10" xfId="241" xr:uid="{FE5919A1-F738-46D6-8B3B-18790D928710}"/>
    <cellStyle name="Notas 3 2" xfId="242" xr:uid="{69A34E19-EE0A-4413-89A9-B27CB6486096}"/>
    <cellStyle name="Notas 3 3" xfId="243" xr:uid="{5729F780-3651-41F7-91E6-4A93D35BF8BB}"/>
    <cellStyle name="Notas 3 4" xfId="244" xr:uid="{FA212411-60DB-4599-A143-96C861706A33}"/>
    <cellStyle name="Notas 3 5" xfId="245" xr:uid="{8CC1968F-2639-40ED-879E-062453117133}"/>
    <cellStyle name="Notas 3 6" xfId="246" xr:uid="{2A3F8CE9-9E2D-4116-964C-A775F23EED01}"/>
    <cellStyle name="Notas 3 7" xfId="247" xr:uid="{8CDFB865-DC1D-444D-8DC9-194C60ED6932}"/>
    <cellStyle name="Notas 3 8" xfId="248" xr:uid="{B3A50518-6025-4C73-B9B7-9921B75CCF0C}"/>
    <cellStyle name="Notas 3 9" xfId="249" xr:uid="{7535FBB6-29AE-494D-9573-DD31792CF1AC}"/>
    <cellStyle name="Notas 4" xfId="250" xr:uid="{23EC773E-AFF8-42BD-B786-6481CE618EF0}"/>
    <cellStyle name="Notas 5" xfId="251" xr:uid="{6A4CCE45-7119-4CB8-BE3D-8610535107D0}"/>
    <cellStyle name="Notas 6" xfId="252" xr:uid="{7A1DD253-D268-43C3-A0A0-D73CD90EC0E2}"/>
    <cellStyle name="Notas 7" xfId="253" xr:uid="{A1A06395-A20D-47D0-A19A-FE4D3A42E086}"/>
    <cellStyle name="Porcentaje 2" xfId="294" xr:uid="{04E8E5AB-ECC4-43F4-98B9-8AEA52F95880}"/>
    <cellStyle name="Porcentaje 2 2" xfId="296" xr:uid="{C7FCB015-085A-4093-AD38-0AFCC82AB048}"/>
    <cellStyle name="Porcentaje 3" xfId="297" xr:uid="{647E4D51-0390-4A23-948A-436D23C64AB5}"/>
    <cellStyle name="Salida 2" xfId="254" xr:uid="{5CC6535F-55B3-4BCB-AC67-7C2223A9395F}"/>
    <cellStyle name="Salida 3" xfId="255" xr:uid="{B11E402F-E12E-443C-A8A4-ACDBFC4F8CEF}"/>
    <cellStyle name="Salida 4" xfId="256" xr:uid="{5B5F8EBE-C681-46BD-B36C-7741DA6481A5}"/>
    <cellStyle name="Salida 5" xfId="257" xr:uid="{B521A030-9410-4F28-9D35-C02015A18161}"/>
    <cellStyle name="Salida 6" xfId="258" xr:uid="{6B936A89-DCC9-4E70-A06C-68BBD6986F47}"/>
    <cellStyle name="Salida 7" xfId="259" xr:uid="{36C78E8B-BFFC-4FD9-96E6-71856426BC37}"/>
    <cellStyle name="Título 1 2" xfId="260" xr:uid="{B82D457D-AE8C-418C-BCA7-7D3A3B9A2BB0}"/>
    <cellStyle name="Título 1 3" xfId="261" xr:uid="{F714082D-BC31-469C-9420-CB0A6C9002FF}"/>
    <cellStyle name="Título 1 4" xfId="262" xr:uid="{63E8A3B8-AB6E-4DA4-97E6-18B179054F8A}"/>
    <cellStyle name="Título 1 5" xfId="263" xr:uid="{FF42E616-F9EB-4683-AF0F-DB2A98881B34}"/>
    <cellStyle name="Título 1 6" xfId="264" xr:uid="{8DAFADCD-1CFA-433D-98DF-98AF9C698678}"/>
    <cellStyle name="Título 1 7" xfId="265" xr:uid="{25C6F63C-504C-4107-8B7B-37C998B4A250}"/>
    <cellStyle name="Título 2 2" xfId="266" xr:uid="{0D960AA9-A1A2-43A4-A1E2-38ACBEA0592C}"/>
    <cellStyle name="Título 2 3" xfId="267" xr:uid="{D70E1E6F-3A9D-4DA9-B837-0BCBF473FF2D}"/>
    <cellStyle name="Título 2 4" xfId="268" xr:uid="{C59BDDAF-D21F-48E5-97D2-093B19FA05C3}"/>
    <cellStyle name="Título 2 5" xfId="269" xr:uid="{20A43F4E-2339-4EA3-9540-2F2DC8D66F65}"/>
    <cellStyle name="Título 2 6" xfId="270" xr:uid="{28FF0347-7D77-4D08-BBEA-83C8019DCF3C}"/>
    <cellStyle name="Título 2 7" xfId="271" xr:uid="{10B363D2-C504-47F3-9A7B-37AF1B4B14CD}"/>
    <cellStyle name="Título 3 2" xfId="272" xr:uid="{82E2AEB5-6E76-4023-9FA7-F2E78C6F4D0B}"/>
    <cellStyle name="Título 3 3" xfId="273" xr:uid="{65D756A3-86BE-4732-BF3D-05BD949DC348}"/>
    <cellStyle name="Título 3 4" xfId="274" xr:uid="{B45CB747-4B14-422E-9D5F-F9569881F7C2}"/>
    <cellStyle name="Título 3 5" xfId="275" xr:uid="{9DF27387-4432-40E7-9131-8D3367336EE3}"/>
    <cellStyle name="Título 3 6" xfId="276" xr:uid="{00A79928-2ED8-44CB-B263-8088B57DDFCD}"/>
    <cellStyle name="Título 3 7" xfId="277" xr:uid="{6032C1DB-CC50-4F4D-B877-752ABFA75DC3}"/>
    <cellStyle name="Título 4" xfId="278" xr:uid="{5AAA7874-6B0C-4599-B540-F4A27CC1179F}"/>
    <cellStyle name="Título 5" xfId="279" xr:uid="{84851FE9-A29B-483F-91F7-E4FAE717ADC5}"/>
    <cellStyle name="Título 6" xfId="280" xr:uid="{7725E05C-97A7-4D5A-B07E-49C29493E099}"/>
    <cellStyle name="Título 7" xfId="281" xr:uid="{C0CAE911-7668-49FF-B044-0F5557B382E4}"/>
    <cellStyle name="Título 8" xfId="282" xr:uid="{09F3A0A7-6B12-49D4-9A94-AB3933947155}"/>
    <cellStyle name="Título 9" xfId="283" xr:uid="{32EB1DD0-FA33-4EEA-8139-CA5FA377B9C1}"/>
    <cellStyle name="Total 2" xfId="284" xr:uid="{0C644CFD-41D3-4C7D-A453-F6EC0E72DBEC}"/>
    <cellStyle name="Total 3" xfId="285" xr:uid="{13E6B7E9-794A-4E80-8490-3ACCFD1AD839}"/>
    <cellStyle name="Total 4" xfId="286" xr:uid="{9A7E7608-694A-44DE-B96C-BF6FDB35A085}"/>
    <cellStyle name="Total 5" xfId="287" xr:uid="{5AC5083C-5C72-4B54-A03F-193241B1E107}"/>
    <cellStyle name="Total 6" xfId="288" xr:uid="{E544C8CE-F6A0-4D96-874E-24BA2BB1B429}"/>
    <cellStyle name="Total 7" xfId="289" xr:uid="{F26B765F-C1BE-438F-9D04-3CE3DA4A6338}"/>
  </cellStyles>
  <dxfs count="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rgb="FFCC00F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rgb="FFF89028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B899C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74203BE-0510-4662-83B7-105D2A8BDC5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A89786D-C92C-4C30-9806-F2DE76E917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EB12410-D9FC-465E-931F-D741D049396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8CCDC9C-EB4F-4001-8C28-56A5AEDD8D1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AEF8F64-079B-465B-A538-0B9F7B0C80AE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579C1C9-4810-41A1-A231-7803713A84A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F63AB01-BD7C-48E8-A0B5-7ACABE415AC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DE2044B-2433-402A-96EB-4FB50B9D409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038A7EB-0019-408F-BEC4-A6AEFD72496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071FDF3-72E3-4B62-A557-105A9068B2C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263B383-5AA5-43A2-997E-8DC336CDB6C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7188D8A-2BEB-49F2-815D-5EFB6706D48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2428B40-95BB-48EE-8264-A9DB2CAB99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4A0ADA-CECB-4175-BC78-42FA6F1FEC4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7C32F93-37BD-4B2E-8DBF-9E74E5C14A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B0AB0B7-653F-47EF-9FF6-627F020270A7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B123E18-8D97-4C1D-ADBB-B16ABC6E7E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EBFE905-9723-4F42-96AC-EBB911BB376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0AEE02-11CC-4955-A965-ACF801700F5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B090E9-D2D5-42A6-860E-AB603CBF67E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C91AD4F-8BA9-44F2-B14C-B9B35050EB2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76E7B38-7757-4C57-9199-830A7ECA874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A6C8B6-73F4-45BA-8983-1E7B7E5410E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79DEE59-1867-45A2-956B-5A1BF5AEA1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98C1331-A6BB-4F73-ACBC-E2680972FA06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1E1E2F7-C141-4ACE-BD12-0772689B193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96FE0D3-FFDB-4C47-8ED0-88B4296E2A6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8177A36F-E203-4404-8F87-24678E5A99D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797D582-A587-4F80-A938-25C389DEE00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6761CF7-BB75-4A73-8E92-371CD31FA86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C04E63A-8EB9-4E7E-BEF2-2021BEA39DD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CA3DAC-91C7-4D12-8F5B-8D52F18E842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AB5607E-68A9-4572-B586-4A79502310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0FFA5-C076-4D39-ADDC-C2EEAC289C7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5F5775C-B18B-4227-AF1E-ACCE965307F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EE1AABC-9065-47FF-8559-1B3E45166435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2CA984-C157-45B8-A290-3BA9433629EF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D4C835A-2597-4D64-8155-7139C0310ED4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CA745B-6FB5-4F6C-BED4-6A7F4050EEE9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55D3F-5C9E-426B-82B4-A4729021AE2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42743F2-C73E-4B3C-A273-3AD4106BF7C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45E05A5-E117-4828-B7FA-D3999002318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897D4BC-65FC-4AED-A32A-317FC9114AB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DB493C-2C90-4528-BE84-7FDE2C07C6CA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4D93C2A-D6CF-49EB-97C6-A8285321B2E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BAB70CD-A7DF-49C1-B06B-A501B2D033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A662F61-72EA-4D3A-AAA5-736E169D2AE0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772320-CF12-4FBE-9660-F6995292AC9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1CDB6C-B749-47A3-BFB1-2403D3BA4F15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98A9B28-5259-4AFE-ADD3-48A4510836D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CDE7535-47BB-4811-B249-E4F1FD7CE57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A048572-A1EC-4A39-9D7B-F4B2A425483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F535C30-58B2-4275-B140-8A15E73B4FE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F379AD8-74A8-482C-AF1C-61C82735AF81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D5DA024-ADE6-4D40-AE95-D081A902206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42005AC-7D01-49FB-819B-2A7FCD90DCE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AE68145-4E54-44A3-8AE6-7DA0EC8E71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D74E35B-F019-46F9-AA98-644CA38EFD03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50FB1D-A231-44E3-8DEE-CACD6E673E59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FDE9-722C-46E8-8D00-BCBE248054F5}">
  <dimension ref="A1:BD671"/>
  <sheetViews>
    <sheetView workbookViewId="0">
      <selection activeCell="A15" sqref="A15"/>
    </sheetView>
  </sheetViews>
  <sheetFormatPr baseColWidth="10" defaultRowHeight="12.75" x14ac:dyDescent="0.2"/>
  <cols>
    <col min="22" max="22" width="27.42578125" customWidth="1"/>
  </cols>
  <sheetData>
    <row r="1" spans="1:56" ht="30" x14ac:dyDescent="0.2">
      <c r="A1" s="127" t="s">
        <v>1030</v>
      </c>
      <c r="B1" s="127" t="s">
        <v>1013</v>
      </c>
      <c r="C1" s="107" t="s">
        <v>1014</v>
      </c>
      <c r="D1" s="127" t="s">
        <v>1015</v>
      </c>
      <c r="E1" s="127" t="s">
        <v>1016</v>
      </c>
      <c r="F1" s="127" t="s">
        <v>1017</v>
      </c>
      <c r="G1" s="127" t="s">
        <v>1018</v>
      </c>
      <c r="H1" s="127" t="s">
        <v>1019</v>
      </c>
      <c r="I1" s="127" t="s">
        <v>1020</v>
      </c>
      <c r="J1" s="107" t="s">
        <v>1021</v>
      </c>
      <c r="K1" s="107" t="s">
        <v>1022</v>
      </c>
      <c r="L1" s="107" t="s">
        <v>1023</v>
      </c>
      <c r="M1" s="107" t="s">
        <v>1024</v>
      </c>
      <c r="N1" s="107" t="s">
        <v>1025</v>
      </c>
      <c r="O1" s="107" t="s">
        <v>1026</v>
      </c>
      <c r="P1" s="107" t="s">
        <v>1027</v>
      </c>
      <c r="Q1" s="107" t="s">
        <v>1028</v>
      </c>
      <c r="R1" s="127" t="s">
        <v>1029</v>
      </c>
      <c r="S1" s="127" t="s">
        <v>1031</v>
      </c>
      <c r="T1" s="128" t="s">
        <v>1032</v>
      </c>
      <c r="U1" s="128" t="s">
        <v>1033</v>
      </c>
      <c r="V1" s="128" t="s">
        <v>1034</v>
      </c>
      <c r="W1" s="128" t="s">
        <v>1035</v>
      </c>
      <c r="X1" s="128" t="s">
        <v>1036</v>
      </c>
      <c r="Y1" s="128" t="s">
        <v>1037</v>
      </c>
      <c r="Z1" s="128" t="s">
        <v>1038</v>
      </c>
      <c r="AA1" s="128" t="s">
        <v>1039</v>
      </c>
      <c r="AB1" s="128" t="s">
        <v>1040</v>
      </c>
      <c r="AC1" s="128" t="s">
        <v>1041</v>
      </c>
      <c r="AD1" s="128" t="s">
        <v>1042</v>
      </c>
      <c r="AE1" s="128" t="s">
        <v>1017</v>
      </c>
      <c r="AF1" s="128" t="s">
        <v>1043</v>
      </c>
      <c r="AG1" s="128" t="s">
        <v>1044</v>
      </c>
      <c r="AH1" s="56"/>
      <c r="AI1" s="56"/>
      <c r="AJ1" s="56"/>
      <c r="AK1" s="56"/>
      <c r="AL1" s="56"/>
      <c r="AM1" s="56"/>
      <c r="AN1" s="56"/>
      <c r="AO1" s="56"/>
      <c r="AP1" s="56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</row>
    <row r="2" spans="1:56" x14ac:dyDescent="0.2">
      <c r="A2" s="56">
        <v>14118625</v>
      </c>
      <c r="B2" s="56">
        <v>175447629</v>
      </c>
      <c r="C2" s="56" t="s">
        <v>1045</v>
      </c>
      <c r="D2" s="56" t="s">
        <v>1046</v>
      </c>
      <c r="E2" s="56" t="s">
        <v>1047</v>
      </c>
      <c r="F2" s="56">
        <v>10</v>
      </c>
      <c r="G2" s="56">
        <v>13294</v>
      </c>
      <c r="H2" s="56" t="s">
        <v>1048</v>
      </c>
      <c r="I2" s="56" t="s">
        <v>1049</v>
      </c>
      <c r="J2" s="129">
        <v>46236</v>
      </c>
      <c r="K2" s="130">
        <v>0.19097222222222221</v>
      </c>
      <c r="L2" s="130">
        <v>0.19513888888888889</v>
      </c>
      <c r="M2" s="56" t="s">
        <v>1050</v>
      </c>
      <c r="N2" s="129">
        <v>46236</v>
      </c>
      <c r="O2" s="130">
        <v>0.26041666666666669</v>
      </c>
      <c r="P2" s="130">
        <v>0.26052083333333331</v>
      </c>
      <c r="Q2" s="56" t="s">
        <v>1050</v>
      </c>
      <c r="R2" s="56" t="s">
        <v>422</v>
      </c>
      <c r="S2" s="56">
        <v>32</v>
      </c>
      <c r="T2" s="131">
        <v>4.1666666666666796E-3</v>
      </c>
      <c r="U2" s="130">
        <v>1.0416666666662744E-4</v>
      </c>
      <c r="V2" s="56" t="s">
        <v>1051</v>
      </c>
      <c r="W2" s="56" t="s">
        <v>1052</v>
      </c>
      <c r="X2" s="56" t="s">
        <v>1053</v>
      </c>
      <c r="Y2" s="56">
        <v>32</v>
      </c>
      <c r="Z2" s="56" t="s">
        <v>1054</v>
      </c>
      <c r="AA2" s="56" t="s">
        <v>1055</v>
      </c>
      <c r="AB2" s="56" t="s">
        <v>1056</v>
      </c>
      <c r="AC2" s="56" t="s">
        <v>1057</v>
      </c>
      <c r="AD2" s="56" t="s">
        <v>1058</v>
      </c>
      <c r="AE2" s="56" t="s">
        <v>1059</v>
      </c>
      <c r="AF2" s="56" t="s">
        <v>1060</v>
      </c>
      <c r="AG2" s="56" t="s">
        <v>1061</v>
      </c>
      <c r="AH2" s="56"/>
      <c r="AI2" s="56"/>
      <c r="AJ2" s="56"/>
      <c r="AK2" s="56"/>
      <c r="AL2" s="56"/>
      <c r="AM2" s="56"/>
      <c r="AN2" s="56"/>
      <c r="AO2" s="56"/>
      <c r="AP2" s="56"/>
      <c r="AQ2" s="131"/>
      <c r="AR2" s="130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</row>
    <row r="3" spans="1:56" x14ac:dyDescent="0.2">
      <c r="A3" s="56">
        <v>14122992</v>
      </c>
      <c r="B3" s="56">
        <v>175447907</v>
      </c>
      <c r="C3" s="56" t="s">
        <v>1062</v>
      </c>
      <c r="D3" s="56" t="s">
        <v>1063</v>
      </c>
      <c r="E3" s="56" t="s">
        <v>1047</v>
      </c>
      <c r="F3" s="56">
        <v>39</v>
      </c>
      <c r="G3" s="56">
        <v>15693</v>
      </c>
      <c r="H3" s="56" t="s">
        <v>1048</v>
      </c>
      <c r="I3" s="56" t="s">
        <v>1064</v>
      </c>
      <c r="J3" s="129">
        <v>46236</v>
      </c>
      <c r="K3" s="130">
        <v>0.19097222222222221</v>
      </c>
      <c r="L3" s="130">
        <v>0.22222222222222221</v>
      </c>
      <c r="M3" s="56" t="s">
        <v>1050</v>
      </c>
      <c r="N3" s="129">
        <v>46236</v>
      </c>
      <c r="O3" s="130">
        <v>0.25</v>
      </c>
      <c r="P3" s="130">
        <v>0.25949074074074074</v>
      </c>
      <c r="Q3" s="56" t="s">
        <v>1050</v>
      </c>
      <c r="R3" s="56" t="s">
        <v>465</v>
      </c>
      <c r="S3" s="56">
        <v>32</v>
      </c>
      <c r="T3" s="131">
        <v>3.125E-2</v>
      </c>
      <c r="U3" s="130">
        <v>9.490740740740744E-3</v>
      </c>
      <c r="V3" s="56" t="s">
        <v>1051</v>
      </c>
      <c r="W3" s="56" t="s">
        <v>1065</v>
      </c>
      <c r="X3" s="56" t="s">
        <v>1066</v>
      </c>
      <c r="Y3" s="56">
        <v>32</v>
      </c>
      <c r="Z3" s="56" t="s">
        <v>1054</v>
      </c>
      <c r="AA3" s="56" t="s">
        <v>1067</v>
      </c>
      <c r="AB3" s="56" t="s">
        <v>1068</v>
      </c>
      <c r="AC3" s="56" t="s">
        <v>1069</v>
      </c>
      <c r="AD3" s="56" t="s">
        <v>1070</v>
      </c>
      <c r="AE3" s="56" t="s">
        <v>1071</v>
      </c>
      <c r="AF3" s="56" t="s">
        <v>1060</v>
      </c>
      <c r="AG3" s="56" t="s">
        <v>1072</v>
      </c>
      <c r="AH3" s="56"/>
      <c r="AI3" s="56"/>
      <c r="AJ3" s="56"/>
      <c r="AK3" s="56"/>
      <c r="AL3" s="56"/>
      <c r="AM3" s="56"/>
      <c r="AN3" s="56"/>
      <c r="AO3" s="56"/>
      <c r="AP3" s="56"/>
      <c r="AQ3" s="131"/>
      <c r="AR3" s="130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</row>
    <row r="4" spans="1:56" x14ac:dyDescent="0.2">
      <c r="A4" s="56">
        <v>14117400</v>
      </c>
      <c r="B4" s="56">
        <v>175446306</v>
      </c>
      <c r="C4" s="56" t="s">
        <v>1073</v>
      </c>
      <c r="D4" s="56" t="s">
        <v>1074</v>
      </c>
      <c r="E4" s="56" t="s">
        <v>1047</v>
      </c>
      <c r="F4" s="56">
        <v>427</v>
      </c>
      <c r="G4" s="56">
        <v>5474</v>
      </c>
      <c r="H4" s="56" t="s">
        <v>1048</v>
      </c>
      <c r="I4" s="56" t="s">
        <v>1075</v>
      </c>
      <c r="J4" s="129">
        <v>46236</v>
      </c>
      <c r="K4" s="130">
        <v>0.19444444444444445</v>
      </c>
      <c r="L4" s="130">
        <v>0.2013888888888889</v>
      </c>
      <c r="M4" s="56" t="s">
        <v>1050</v>
      </c>
      <c r="N4" s="129">
        <v>46236</v>
      </c>
      <c r="O4" s="130">
        <v>0.2673611111111111</v>
      </c>
      <c r="P4" s="130">
        <v>0.27462962962962961</v>
      </c>
      <c r="Q4" s="56" t="s">
        <v>1050</v>
      </c>
      <c r="R4" s="56" t="s">
        <v>753</v>
      </c>
      <c r="S4" s="56">
        <v>32</v>
      </c>
      <c r="T4" s="131">
        <v>6.9444444444444475E-3</v>
      </c>
      <c r="U4" s="130">
        <v>7.2685185185185075E-3</v>
      </c>
      <c r="V4" s="56" t="s">
        <v>1051</v>
      </c>
      <c r="W4" s="56" t="s">
        <v>1065</v>
      </c>
      <c r="X4" s="56" t="s">
        <v>1066</v>
      </c>
      <c r="Y4" s="56">
        <v>32</v>
      </c>
      <c r="Z4" s="56" t="s">
        <v>1054</v>
      </c>
      <c r="AA4" s="56" t="s">
        <v>1076</v>
      </c>
      <c r="AB4" s="56" t="s">
        <v>1077</v>
      </c>
      <c r="AC4" s="56" t="s">
        <v>1078</v>
      </c>
      <c r="AD4" s="56" t="s">
        <v>1079</v>
      </c>
      <c r="AE4" s="56" t="s">
        <v>1080</v>
      </c>
      <c r="AF4" s="56" t="s">
        <v>1060</v>
      </c>
      <c r="AG4" s="56" t="s">
        <v>1081</v>
      </c>
      <c r="AH4" s="56"/>
      <c r="AI4" s="56"/>
      <c r="AJ4" s="56"/>
      <c r="AK4" s="56"/>
      <c r="AL4" s="56"/>
      <c r="AM4" s="56"/>
      <c r="AN4" s="56"/>
      <c r="AO4" s="56"/>
      <c r="AP4" s="56"/>
      <c r="AQ4" s="131"/>
      <c r="AR4" s="130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</row>
    <row r="5" spans="1:56" x14ac:dyDescent="0.2">
      <c r="A5" s="56">
        <v>14118773</v>
      </c>
      <c r="B5" s="56">
        <v>175446802</v>
      </c>
      <c r="C5" s="56" t="s">
        <v>1082</v>
      </c>
      <c r="D5" s="56" t="s">
        <v>1083</v>
      </c>
      <c r="E5" s="56" t="s">
        <v>1047</v>
      </c>
      <c r="F5" s="56">
        <v>17</v>
      </c>
      <c r="G5" s="56">
        <v>14867</v>
      </c>
      <c r="H5" s="56" t="s">
        <v>1048</v>
      </c>
      <c r="I5" s="56" t="s">
        <v>1064</v>
      </c>
      <c r="J5" s="129">
        <v>46236</v>
      </c>
      <c r="K5" s="130">
        <v>0.19444444444444445</v>
      </c>
      <c r="L5" s="130">
        <v>0.22152777777777777</v>
      </c>
      <c r="M5" s="56" t="s">
        <v>1050</v>
      </c>
      <c r="N5" s="129">
        <v>46236</v>
      </c>
      <c r="O5" s="130">
        <v>0.25</v>
      </c>
      <c r="P5" s="130">
        <v>0.26109953703703703</v>
      </c>
      <c r="Q5" s="56" t="s">
        <v>1050</v>
      </c>
      <c r="R5" s="56" t="s">
        <v>210</v>
      </c>
      <c r="S5" s="56">
        <v>32</v>
      </c>
      <c r="T5" s="131">
        <v>2.708333333333332E-2</v>
      </c>
      <c r="U5" s="130">
        <v>1.1099537037037033E-2</v>
      </c>
      <c r="V5" s="56" t="s">
        <v>1051</v>
      </c>
      <c r="W5" s="56" t="s">
        <v>1065</v>
      </c>
      <c r="X5" s="56" t="s">
        <v>1066</v>
      </c>
      <c r="Y5" s="56">
        <v>32</v>
      </c>
      <c r="Z5" s="56" t="s">
        <v>1054</v>
      </c>
      <c r="AA5" s="56" t="s">
        <v>1084</v>
      </c>
      <c r="AB5" s="56" t="s">
        <v>1068</v>
      </c>
      <c r="AC5" s="56" t="s">
        <v>1069</v>
      </c>
      <c r="AD5" s="56" t="s">
        <v>1085</v>
      </c>
      <c r="AE5" s="56" t="s">
        <v>1086</v>
      </c>
      <c r="AF5" s="56" t="s">
        <v>1060</v>
      </c>
      <c r="AG5" s="56" t="s">
        <v>1087</v>
      </c>
      <c r="AH5" s="56"/>
      <c r="AI5" s="56"/>
      <c r="AJ5" s="56"/>
      <c r="AK5" s="56"/>
      <c r="AL5" s="56"/>
      <c r="AM5" s="56"/>
      <c r="AN5" s="56"/>
      <c r="AO5" s="56"/>
      <c r="AP5" s="56"/>
      <c r="AQ5" s="131"/>
      <c r="AR5" s="130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</row>
    <row r="6" spans="1:56" x14ac:dyDescent="0.2">
      <c r="A6" s="56">
        <v>14123920</v>
      </c>
      <c r="B6" s="56">
        <v>175449768</v>
      </c>
      <c r="C6" s="56" t="s">
        <v>1088</v>
      </c>
      <c r="D6" s="56" t="s">
        <v>1089</v>
      </c>
      <c r="E6" s="56" t="s">
        <v>1047</v>
      </c>
      <c r="F6" s="56">
        <v>27</v>
      </c>
      <c r="G6" s="56">
        <v>4432</v>
      </c>
      <c r="H6" s="56" t="s">
        <v>1048</v>
      </c>
      <c r="I6" s="56" t="s">
        <v>1090</v>
      </c>
      <c r="J6" s="129">
        <v>46236</v>
      </c>
      <c r="K6" s="130">
        <v>0.19444444444444445</v>
      </c>
      <c r="L6" s="130">
        <v>0.2013888888888889</v>
      </c>
      <c r="M6" s="56" t="s">
        <v>1050</v>
      </c>
      <c r="N6" s="129">
        <v>46236</v>
      </c>
      <c r="O6" s="130">
        <v>0.2673611111111111</v>
      </c>
      <c r="P6" s="130">
        <v>0.25394675925925925</v>
      </c>
      <c r="Q6" s="56" t="s">
        <v>1050</v>
      </c>
      <c r="R6" s="56" t="s">
        <v>993</v>
      </c>
      <c r="S6" s="56">
        <v>32</v>
      </c>
      <c r="T6" s="131">
        <v>6.9444444444444475E-3</v>
      </c>
      <c r="U6" s="130">
        <v>-1.3414351851851858E-2</v>
      </c>
      <c r="V6" s="56" t="s">
        <v>1051</v>
      </c>
      <c r="W6" s="56" t="s">
        <v>1052</v>
      </c>
      <c r="X6" s="56" t="s">
        <v>1053</v>
      </c>
      <c r="Y6" s="56">
        <v>32</v>
      </c>
      <c r="Z6" s="56" t="s">
        <v>1054</v>
      </c>
      <c r="AA6" s="56" t="s">
        <v>1091</v>
      </c>
      <c r="AB6" s="56" t="s">
        <v>1092</v>
      </c>
      <c r="AC6" s="56" t="s">
        <v>1078</v>
      </c>
      <c r="AD6" s="56" t="s">
        <v>1093</v>
      </c>
      <c r="AE6" s="56" t="s">
        <v>1094</v>
      </c>
      <c r="AF6" s="56" t="s">
        <v>1060</v>
      </c>
      <c r="AG6" s="56" t="s">
        <v>1095</v>
      </c>
      <c r="AH6" s="56"/>
      <c r="AI6" s="56"/>
      <c r="AJ6" s="56"/>
      <c r="AK6" s="56"/>
      <c r="AL6" s="56"/>
      <c r="AM6" s="56"/>
      <c r="AN6" s="56"/>
      <c r="AO6" s="56"/>
      <c r="AP6" s="56"/>
      <c r="AQ6" s="131"/>
      <c r="AR6" s="130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</row>
    <row r="7" spans="1:56" x14ac:dyDescent="0.2">
      <c r="A7" s="56">
        <v>14113803</v>
      </c>
      <c r="B7" s="56">
        <v>175449820</v>
      </c>
      <c r="C7" s="56" t="s">
        <v>1096</v>
      </c>
      <c r="D7" s="56" t="s">
        <v>1097</v>
      </c>
      <c r="E7" s="56" t="s">
        <v>1047</v>
      </c>
      <c r="F7" s="56">
        <v>53</v>
      </c>
      <c r="G7" s="56">
        <v>4340</v>
      </c>
      <c r="H7" s="56" t="s">
        <v>1048</v>
      </c>
      <c r="I7" s="56" t="s">
        <v>1090</v>
      </c>
      <c r="J7" s="129">
        <v>46236</v>
      </c>
      <c r="K7" s="130">
        <v>0.19791666666666666</v>
      </c>
      <c r="L7" s="130">
        <v>0.20347222222222222</v>
      </c>
      <c r="M7" s="56" t="s">
        <v>1050</v>
      </c>
      <c r="N7" s="129">
        <v>46236</v>
      </c>
      <c r="O7" s="130">
        <v>0.2673611111111111</v>
      </c>
      <c r="P7" s="130">
        <v>0.24703703703703703</v>
      </c>
      <c r="Q7" s="56" t="s">
        <v>1050</v>
      </c>
      <c r="R7" s="56" t="s">
        <v>296</v>
      </c>
      <c r="S7" s="56">
        <v>32</v>
      </c>
      <c r="T7" s="131">
        <v>5.5555555555555636E-3</v>
      </c>
      <c r="U7" s="130">
        <v>-2.0324074074074078E-2</v>
      </c>
      <c r="V7" s="56" t="s">
        <v>1051</v>
      </c>
      <c r="W7" s="56" t="s">
        <v>1052</v>
      </c>
      <c r="X7" s="56" t="s">
        <v>1053</v>
      </c>
      <c r="Y7" s="56">
        <v>32</v>
      </c>
      <c r="Z7" s="56" t="s">
        <v>1054</v>
      </c>
      <c r="AA7" s="56" t="s">
        <v>1098</v>
      </c>
      <c r="AB7" s="56" t="s">
        <v>1092</v>
      </c>
      <c r="AC7" s="56" t="s">
        <v>1078</v>
      </c>
      <c r="AD7" s="56" t="s">
        <v>1099</v>
      </c>
      <c r="AE7" s="56" t="s">
        <v>1100</v>
      </c>
      <c r="AF7" s="56" t="s">
        <v>1060</v>
      </c>
      <c r="AG7" s="56" t="s">
        <v>1101</v>
      </c>
      <c r="AH7" s="56"/>
      <c r="AI7" s="56"/>
      <c r="AJ7" s="56"/>
      <c r="AK7" s="56"/>
      <c r="AL7" s="56"/>
      <c r="AM7" s="56"/>
      <c r="AN7" s="56"/>
      <c r="AO7" s="56"/>
      <c r="AP7" s="56"/>
      <c r="AQ7" s="131"/>
      <c r="AR7" s="130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</row>
    <row r="8" spans="1:56" x14ac:dyDescent="0.2">
      <c r="A8" s="56">
        <v>14119324</v>
      </c>
      <c r="B8" s="56">
        <v>175446004</v>
      </c>
      <c r="C8" s="56" t="s">
        <v>1102</v>
      </c>
      <c r="D8" s="56" t="s">
        <v>1103</v>
      </c>
      <c r="E8" s="56" t="s">
        <v>1047</v>
      </c>
      <c r="F8" s="56">
        <v>129</v>
      </c>
      <c r="G8" s="56">
        <v>7915</v>
      </c>
      <c r="H8" s="56" t="s">
        <v>1048</v>
      </c>
      <c r="I8" s="56" t="s">
        <v>1104</v>
      </c>
      <c r="J8" s="129">
        <v>46236</v>
      </c>
      <c r="K8" s="130">
        <v>0.20208333333333334</v>
      </c>
      <c r="L8" s="130">
        <v>0.2076388888888889</v>
      </c>
      <c r="M8" s="56" t="s">
        <v>1050</v>
      </c>
      <c r="N8" s="129">
        <v>46236</v>
      </c>
      <c r="O8" s="130">
        <v>0.2673611111111111</v>
      </c>
      <c r="P8" s="130">
        <v>0.24672453703703703</v>
      </c>
      <c r="Q8" s="56" t="s">
        <v>1050</v>
      </c>
      <c r="R8" s="56" t="s">
        <v>241</v>
      </c>
      <c r="S8" s="56">
        <v>32</v>
      </c>
      <c r="T8" s="131">
        <v>5.5555555555555636E-3</v>
      </c>
      <c r="U8" s="130">
        <v>-2.0636574074074071E-2</v>
      </c>
      <c r="V8" s="56" t="s">
        <v>1051</v>
      </c>
      <c r="W8" s="56" t="s">
        <v>1052</v>
      </c>
      <c r="X8" s="56" t="s">
        <v>1053</v>
      </c>
      <c r="Y8" s="56">
        <v>32</v>
      </c>
      <c r="Z8" s="56" t="s">
        <v>1054</v>
      </c>
      <c r="AA8" s="56" t="s">
        <v>1105</v>
      </c>
      <c r="AB8" s="56" t="s">
        <v>1106</v>
      </c>
      <c r="AC8" s="56" t="s">
        <v>1078</v>
      </c>
      <c r="AD8" s="56" t="s">
        <v>1107</v>
      </c>
      <c r="AE8" s="56" t="s">
        <v>1108</v>
      </c>
      <c r="AF8" s="56" t="s">
        <v>1060</v>
      </c>
      <c r="AG8" s="56" t="s">
        <v>1109</v>
      </c>
      <c r="AH8" s="56"/>
      <c r="AI8" s="56"/>
      <c r="AJ8" s="56"/>
      <c r="AK8" s="56"/>
      <c r="AL8" s="56"/>
      <c r="AM8" s="56"/>
      <c r="AN8" s="56"/>
      <c r="AO8" s="56"/>
      <c r="AP8" s="56"/>
      <c r="AQ8" s="131"/>
      <c r="AR8" s="130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</row>
    <row r="9" spans="1:56" x14ac:dyDescent="0.2">
      <c r="A9" s="56">
        <v>14123473</v>
      </c>
      <c r="B9" s="56">
        <v>175449752</v>
      </c>
      <c r="C9" s="56" t="s">
        <v>1110</v>
      </c>
      <c r="D9" s="56" t="s">
        <v>1111</v>
      </c>
      <c r="E9" s="56" t="s">
        <v>1047</v>
      </c>
      <c r="F9" s="56">
        <v>19</v>
      </c>
      <c r="G9" s="56">
        <v>6906</v>
      </c>
      <c r="H9" s="56" t="s">
        <v>1048</v>
      </c>
      <c r="I9" s="56" t="s">
        <v>1090</v>
      </c>
      <c r="J9" s="129">
        <v>46236</v>
      </c>
      <c r="K9" s="130">
        <v>0.2048611111111111</v>
      </c>
      <c r="L9" s="130">
        <v>0.20972222222222223</v>
      </c>
      <c r="M9" s="56" t="s">
        <v>1050</v>
      </c>
      <c r="N9" s="129">
        <v>46236</v>
      </c>
      <c r="O9" s="130">
        <v>0.2673611111111111</v>
      </c>
      <c r="P9" s="130">
        <v>0.24726851851851853</v>
      </c>
      <c r="Q9" s="56" t="s">
        <v>1050</v>
      </c>
      <c r="R9" s="56" t="s">
        <v>514</v>
      </c>
      <c r="S9" s="56">
        <v>32</v>
      </c>
      <c r="T9" s="131">
        <v>4.8611111111111216E-3</v>
      </c>
      <c r="U9" s="130">
        <v>-2.0092592592592579E-2</v>
      </c>
      <c r="V9" s="56" t="s">
        <v>1051</v>
      </c>
      <c r="W9" s="56" t="s">
        <v>1052</v>
      </c>
      <c r="X9" s="56" t="s">
        <v>1053</v>
      </c>
      <c r="Y9" s="56">
        <v>32</v>
      </c>
      <c r="Z9" s="56" t="s">
        <v>1054</v>
      </c>
      <c r="AA9" s="56" t="s">
        <v>1112</v>
      </c>
      <c r="AB9" s="56" t="s">
        <v>1092</v>
      </c>
      <c r="AC9" s="56" t="s">
        <v>1078</v>
      </c>
      <c r="AD9" s="56" t="s">
        <v>1113</v>
      </c>
      <c r="AE9" s="56" t="s">
        <v>1114</v>
      </c>
      <c r="AF9" s="56" t="s">
        <v>1060</v>
      </c>
      <c r="AG9" s="56" t="s">
        <v>1115</v>
      </c>
      <c r="AH9" s="56"/>
      <c r="AI9" s="56"/>
      <c r="AJ9" s="56"/>
      <c r="AK9" s="56"/>
      <c r="AL9" s="56"/>
      <c r="AM9" s="56"/>
      <c r="AN9" s="56"/>
      <c r="AO9" s="56"/>
      <c r="AP9" s="56"/>
      <c r="AQ9" s="131"/>
      <c r="AR9" s="130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</row>
    <row r="10" spans="1:56" x14ac:dyDescent="0.2">
      <c r="A10" s="56">
        <v>14103106</v>
      </c>
      <c r="B10" s="56">
        <v>175444891</v>
      </c>
      <c r="C10" s="56" t="s">
        <v>1116</v>
      </c>
      <c r="D10" s="56" t="s">
        <v>1117</v>
      </c>
      <c r="E10" s="56" t="s">
        <v>1047</v>
      </c>
      <c r="F10" s="56">
        <v>28</v>
      </c>
      <c r="G10" s="56">
        <v>16733</v>
      </c>
      <c r="H10" s="56" t="s">
        <v>1048</v>
      </c>
      <c r="I10" s="56" t="s">
        <v>1118</v>
      </c>
      <c r="J10" s="129">
        <v>46236</v>
      </c>
      <c r="K10" s="130">
        <v>0.20833333333333334</v>
      </c>
      <c r="L10" s="130">
        <v>0.21180555555555555</v>
      </c>
      <c r="M10" s="56" t="s">
        <v>1050</v>
      </c>
      <c r="N10" s="129">
        <v>46236</v>
      </c>
      <c r="O10" s="130">
        <v>0.2673611111111111</v>
      </c>
      <c r="P10" s="130">
        <v>0.2547800925925926</v>
      </c>
      <c r="Q10" s="56" t="s">
        <v>1050</v>
      </c>
      <c r="R10" s="56" t="s">
        <v>34</v>
      </c>
      <c r="S10" s="56">
        <v>32</v>
      </c>
      <c r="T10" s="131">
        <v>3.4722222222222099E-3</v>
      </c>
      <c r="U10" s="130">
        <v>-1.2581018518518505E-2</v>
      </c>
      <c r="V10" s="56" t="s">
        <v>1051</v>
      </c>
      <c r="W10" s="56" t="s">
        <v>1052</v>
      </c>
      <c r="X10" s="56" t="s">
        <v>1053</v>
      </c>
      <c r="Y10" s="56">
        <v>32</v>
      </c>
      <c r="Z10" s="56" t="s">
        <v>1054</v>
      </c>
      <c r="AA10" s="56" t="s">
        <v>1119</v>
      </c>
      <c r="AB10" s="56" t="s">
        <v>1120</v>
      </c>
      <c r="AC10" s="56" t="s">
        <v>1078</v>
      </c>
      <c r="AD10" s="56" t="s">
        <v>1121</v>
      </c>
      <c r="AE10" s="56" t="s">
        <v>1122</v>
      </c>
      <c r="AF10" s="56" t="s">
        <v>1060</v>
      </c>
      <c r="AG10" s="56" t="s">
        <v>1123</v>
      </c>
      <c r="AH10" s="56"/>
      <c r="AI10" s="56"/>
      <c r="AJ10" s="56"/>
      <c r="AK10" s="56"/>
      <c r="AL10" s="56"/>
      <c r="AM10" s="56"/>
      <c r="AN10" s="56"/>
      <c r="AO10" s="56"/>
      <c r="AP10" s="56"/>
      <c r="AQ10" s="131"/>
      <c r="AR10" s="130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</row>
    <row r="11" spans="1:56" x14ac:dyDescent="0.2">
      <c r="A11" s="56">
        <v>14123004</v>
      </c>
      <c r="B11" s="56">
        <v>175449804</v>
      </c>
      <c r="C11" s="56" t="s">
        <v>1124</v>
      </c>
      <c r="D11" s="56" t="s">
        <v>1125</v>
      </c>
      <c r="E11" s="56" t="s">
        <v>1047</v>
      </c>
      <c r="F11" s="56">
        <v>45</v>
      </c>
      <c r="G11" s="56">
        <v>4875</v>
      </c>
      <c r="H11" s="56" t="s">
        <v>1048</v>
      </c>
      <c r="I11" s="56" t="s">
        <v>1090</v>
      </c>
      <c r="J11" s="129">
        <v>46236</v>
      </c>
      <c r="K11" s="130">
        <v>0.20833333333333334</v>
      </c>
      <c r="L11" s="130">
        <v>0.21249999999999999</v>
      </c>
      <c r="M11" s="56" t="s">
        <v>1050</v>
      </c>
      <c r="N11" s="129">
        <v>46236</v>
      </c>
      <c r="O11" s="130">
        <v>0.2673611111111111</v>
      </c>
      <c r="P11" s="130">
        <v>0.25284722222222222</v>
      </c>
      <c r="Q11" s="56" t="s">
        <v>1050</v>
      </c>
      <c r="R11" s="56" t="s">
        <v>468</v>
      </c>
      <c r="S11" s="56">
        <v>32</v>
      </c>
      <c r="T11" s="131">
        <v>4.1666666666666519E-3</v>
      </c>
      <c r="U11" s="130">
        <v>-1.4513888888888882E-2</v>
      </c>
      <c r="V11" s="56" t="s">
        <v>1051</v>
      </c>
      <c r="W11" s="56" t="s">
        <v>1052</v>
      </c>
      <c r="X11" s="56" t="s">
        <v>1053</v>
      </c>
      <c r="Y11" s="56">
        <v>32</v>
      </c>
      <c r="Z11" s="56" t="s">
        <v>1054</v>
      </c>
      <c r="AA11" s="56" t="s">
        <v>1126</v>
      </c>
      <c r="AB11" s="56" t="s">
        <v>1092</v>
      </c>
      <c r="AC11" s="56" t="s">
        <v>1078</v>
      </c>
      <c r="AD11" s="56" t="s">
        <v>1127</v>
      </c>
      <c r="AE11" s="56" t="s">
        <v>1128</v>
      </c>
      <c r="AF11" s="56" t="s">
        <v>1060</v>
      </c>
      <c r="AG11" s="56" t="s">
        <v>1129</v>
      </c>
      <c r="AH11" s="56"/>
      <c r="AI11" s="56"/>
      <c r="AJ11" s="56"/>
      <c r="AK11" s="56"/>
      <c r="AL11" s="56"/>
      <c r="AM11" s="56"/>
      <c r="AN11" s="56"/>
      <c r="AO11" s="56"/>
      <c r="AP11" s="56"/>
      <c r="AQ11" s="131"/>
      <c r="AR11" s="130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</row>
    <row r="12" spans="1:56" x14ac:dyDescent="0.2">
      <c r="A12" s="56">
        <v>14116431</v>
      </c>
      <c r="B12" s="56">
        <v>175444864</v>
      </c>
      <c r="C12" s="56" t="s">
        <v>1130</v>
      </c>
      <c r="D12" s="56" t="s">
        <v>1131</v>
      </c>
      <c r="E12" s="56" t="s">
        <v>1047</v>
      </c>
      <c r="F12" s="56">
        <v>15</v>
      </c>
      <c r="G12" s="56">
        <v>16734</v>
      </c>
      <c r="H12" s="56" t="s">
        <v>1048</v>
      </c>
      <c r="I12" s="56" t="s">
        <v>1118</v>
      </c>
      <c r="J12" s="129">
        <v>46236</v>
      </c>
      <c r="K12" s="130">
        <v>0.21180555555555555</v>
      </c>
      <c r="L12" s="130">
        <v>0.21597222222222223</v>
      </c>
      <c r="M12" s="56" t="s">
        <v>1050</v>
      </c>
      <c r="N12" s="129">
        <v>46236</v>
      </c>
      <c r="O12" s="130">
        <v>0.2673611111111111</v>
      </c>
      <c r="P12" s="130">
        <v>0.25327546296296294</v>
      </c>
      <c r="Q12" s="56" t="s">
        <v>1050</v>
      </c>
      <c r="R12" s="56" t="s">
        <v>1132</v>
      </c>
      <c r="S12" s="56">
        <v>32</v>
      </c>
      <c r="T12" s="131">
        <v>4.1666666666666796E-3</v>
      </c>
      <c r="U12" s="130">
        <v>-1.4085648148148167E-2</v>
      </c>
      <c r="V12" s="56" t="s">
        <v>1051</v>
      </c>
      <c r="W12" s="56" t="s">
        <v>1052</v>
      </c>
      <c r="X12" s="56" t="s">
        <v>1053</v>
      </c>
      <c r="Y12" s="56">
        <v>32</v>
      </c>
      <c r="Z12" s="56" t="s">
        <v>1054</v>
      </c>
      <c r="AA12" s="56" t="s">
        <v>1133</v>
      </c>
      <c r="AB12" s="56" t="s">
        <v>1120</v>
      </c>
      <c r="AC12" s="56" t="s">
        <v>1078</v>
      </c>
      <c r="AD12" s="56" t="s">
        <v>1134</v>
      </c>
      <c r="AE12" s="56" t="s">
        <v>1135</v>
      </c>
      <c r="AF12" s="56" t="s">
        <v>1060</v>
      </c>
      <c r="AG12" s="56" t="s">
        <v>1136</v>
      </c>
      <c r="AH12" s="56"/>
      <c r="AI12" s="56"/>
      <c r="AJ12" s="56"/>
      <c r="AK12" s="56"/>
      <c r="AL12" s="56"/>
      <c r="AM12" s="56"/>
      <c r="AN12" s="56"/>
      <c r="AO12" s="56"/>
      <c r="AP12" s="56"/>
      <c r="AQ12" s="131"/>
      <c r="AR12" s="130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</row>
    <row r="13" spans="1:56" x14ac:dyDescent="0.2">
      <c r="A13" s="56">
        <v>14120807</v>
      </c>
      <c r="B13" s="56">
        <v>175449756</v>
      </c>
      <c r="C13" s="56" t="s">
        <v>1137</v>
      </c>
      <c r="D13" s="56" t="s">
        <v>1138</v>
      </c>
      <c r="E13" s="56" t="s">
        <v>1047</v>
      </c>
      <c r="F13" s="56">
        <v>21</v>
      </c>
      <c r="G13" s="56">
        <v>4163</v>
      </c>
      <c r="H13" s="56" t="s">
        <v>1048</v>
      </c>
      <c r="I13" s="56" t="s">
        <v>1090</v>
      </c>
      <c r="J13" s="129">
        <v>46236</v>
      </c>
      <c r="K13" s="130">
        <v>0.21180555555555555</v>
      </c>
      <c r="L13" s="130">
        <v>0.21875</v>
      </c>
      <c r="M13" s="56" t="s">
        <v>1050</v>
      </c>
      <c r="N13" s="129">
        <v>46236</v>
      </c>
      <c r="O13" s="130">
        <v>0.2673611111111111</v>
      </c>
      <c r="P13" s="130">
        <v>0.24600694444444443</v>
      </c>
      <c r="Q13" s="56" t="s">
        <v>1050</v>
      </c>
      <c r="R13" s="56" t="s">
        <v>1139</v>
      </c>
      <c r="S13" s="56">
        <v>32</v>
      </c>
      <c r="T13" s="131">
        <v>6.9444444444444475E-3</v>
      </c>
      <c r="U13" s="130">
        <v>-2.1354166666666674E-2</v>
      </c>
      <c r="V13" s="56" t="s">
        <v>1051</v>
      </c>
      <c r="W13" s="56" t="s">
        <v>1052</v>
      </c>
      <c r="X13" s="56" t="s">
        <v>1053</v>
      </c>
      <c r="Y13" s="56">
        <v>32</v>
      </c>
      <c r="Z13" s="56" t="s">
        <v>1054</v>
      </c>
      <c r="AA13" s="56" t="s">
        <v>1140</v>
      </c>
      <c r="AB13" s="56" t="s">
        <v>1092</v>
      </c>
      <c r="AC13" s="56" t="s">
        <v>1078</v>
      </c>
      <c r="AD13" s="56" t="s">
        <v>1141</v>
      </c>
      <c r="AE13" s="56" t="s">
        <v>1142</v>
      </c>
      <c r="AF13" s="56" t="s">
        <v>1060</v>
      </c>
      <c r="AG13" s="56" t="s">
        <v>1143</v>
      </c>
      <c r="AH13" s="56"/>
      <c r="AI13" s="56"/>
      <c r="AJ13" s="56"/>
      <c r="AK13" s="56"/>
      <c r="AL13" s="56"/>
      <c r="AM13" s="56"/>
      <c r="AN13" s="56"/>
      <c r="AO13" s="56"/>
      <c r="AP13" s="56"/>
      <c r="AQ13" s="131"/>
      <c r="AR13" s="130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</row>
    <row r="14" spans="1:56" x14ac:dyDescent="0.2">
      <c r="A14" s="56">
        <v>14119057</v>
      </c>
      <c r="B14" s="56">
        <v>175489411</v>
      </c>
      <c r="C14" s="56" t="s">
        <v>1144</v>
      </c>
      <c r="D14" s="56" t="s">
        <v>1145</v>
      </c>
      <c r="E14" s="56" t="s">
        <v>1047</v>
      </c>
      <c r="F14" s="56">
        <v>91</v>
      </c>
      <c r="G14" s="56">
        <v>6352</v>
      </c>
      <c r="H14" s="56" t="s">
        <v>1048</v>
      </c>
      <c r="I14" s="56" t="s">
        <v>1118</v>
      </c>
      <c r="J14" s="129">
        <v>46236</v>
      </c>
      <c r="K14" s="130">
        <v>0.21180555555555555</v>
      </c>
      <c r="L14" s="130">
        <v>0.23541666666666666</v>
      </c>
      <c r="M14" s="56" t="s">
        <v>1050</v>
      </c>
      <c r="N14" s="129">
        <v>46236</v>
      </c>
      <c r="O14" s="130">
        <v>0.2673611111111111</v>
      </c>
      <c r="P14" s="130">
        <v>0.2658449074074074</v>
      </c>
      <c r="Q14" s="56" t="s">
        <v>1050</v>
      </c>
      <c r="R14" s="56" t="s">
        <v>229</v>
      </c>
      <c r="S14" s="56">
        <v>32</v>
      </c>
      <c r="T14" s="131">
        <v>2.361111111111111E-2</v>
      </c>
      <c r="U14" s="130">
        <v>-1.5162037037037002E-3</v>
      </c>
      <c r="V14" s="56" t="s">
        <v>1051</v>
      </c>
      <c r="W14" s="56" t="s">
        <v>1052</v>
      </c>
      <c r="X14" s="56" t="s">
        <v>1053</v>
      </c>
      <c r="Y14" s="56">
        <v>32</v>
      </c>
      <c r="Z14" s="56" t="s">
        <v>1054</v>
      </c>
      <c r="AA14" s="56" t="s">
        <v>1146</v>
      </c>
      <c r="AB14" s="56" t="s">
        <v>1120</v>
      </c>
      <c r="AC14" s="56" t="s">
        <v>1078</v>
      </c>
      <c r="AD14" s="56" t="s">
        <v>1147</v>
      </c>
      <c r="AE14" s="56" t="s">
        <v>1148</v>
      </c>
      <c r="AF14" s="56" t="s">
        <v>1060</v>
      </c>
      <c r="AG14" s="56" t="s">
        <v>1149</v>
      </c>
      <c r="AH14" s="56"/>
      <c r="AI14" s="56"/>
      <c r="AJ14" s="56"/>
      <c r="AK14" s="56"/>
      <c r="AL14" s="56"/>
      <c r="AM14" s="56"/>
      <c r="AN14" s="56"/>
      <c r="AO14" s="56"/>
      <c r="AP14" s="56"/>
      <c r="AQ14" s="131"/>
      <c r="AR14" s="130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</row>
    <row r="15" spans="1:56" x14ac:dyDescent="0.2">
      <c r="A15" s="56">
        <v>14119958</v>
      </c>
      <c r="B15" s="56">
        <v>175446796</v>
      </c>
      <c r="C15" s="56" t="s">
        <v>1150</v>
      </c>
      <c r="D15" s="56" t="s">
        <v>1151</v>
      </c>
      <c r="E15" s="56" t="s">
        <v>1047</v>
      </c>
      <c r="F15" s="56">
        <v>8</v>
      </c>
      <c r="G15" s="56">
        <v>11827</v>
      </c>
      <c r="H15" s="56" t="s">
        <v>1048</v>
      </c>
      <c r="I15" s="56" t="s">
        <v>1064</v>
      </c>
      <c r="J15" s="129">
        <v>46236</v>
      </c>
      <c r="K15" s="130">
        <v>0.21527777777777779</v>
      </c>
      <c r="L15" s="130">
        <v>0.22500000000000001</v>
      </c>
      <c r="M15" s="56" t="s">
        <v>1050</v>
      </c>
      <c r="N15" s="129">
        <v>46236</v>
      </c>
      <c r="O15" s="130">
        <v>0.25</v>
      </c>
      <c r="P15" s="130">
        <v>0.24861111111111112</v>
      </c>
      <c r="Q15" s="56" t="s">
        <v>1050</v>
      </c>
      <c r="R15" s="56" t="s">
        <v>270</v>
      </c>
      <c r="S15" s="56">
        <v>32</v>
      </c>
      <c r="T15" s="131">
        <v>9.7222222222222154E-3</v>
      </c>
      <c r="U15" s="130">
        <v>-1.388888888888884E-3</v>
      </c>
      <c r="V15" s="56" t="s">
        <v>1051</v>
      </c>
      <c r="W15" s="56" t="s">
        <v>1052</v>
      </c>
      <c r="X15" s="56" t="s">
        <v>1053</v>
      </c>
      <c r="Y15" s="56">
        <v>32</v>
      </c>
      <c r="Z15" s="56" t="s">
        <v>1054</v>
      </c>
      <c r="AA15" s="56" t="s">
        <v>1152</v>
      </c>
      <c r="AB15" s="56" t="s">
        <v>1068</v>
      </c>
      <c r="AC15" s="56" t="s">
        <v>1069</v>
      </c>
      <c r="AD15" s="56" t="s">
        <v>1153</v>
      </c>
      <c r="AE15" s="56" t="s">
        <v>1154</v>
      </c>
      <c r="AF15" s="56" t="s">
        <v>1060</v>
      </c>
      <c r="AG15" s="56" t="s">
        <v>1155</v>
      </c>
      <c r="AH15" s="56"/>
      <c r="AI15" s="56"/>
      <c r="AJ15" s="56"/>
      <c r="AK15" s="56"/>
      <c r="AL15" s="56"/>
      <c r="AM15" s="56"/>
      <c r="AN15" s="56"/>
      <c r="AO15" s="56"/>
      <c r="AP15" s="56"/>
      <c r="AQ15" s="131"/>
      <c r="AR15" s="130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</row>
    <row r="16" spans="1:56" x14ac:dyDescent="0.2">
      <c r="A16" s="56">
        <v>14104839</v>
      </c>
      <c r="B16" s="56">
        <v>175448384</v>
      </c>
      <c r="C16" s="56" t="s">
        <v>1156</v>
      </c>
      <c r="D16" s="56" t="s">
        <v>1157</v>
      </c>
      <c r="E16" s="56" t="s">
        <v>1047</v>
      </c>
      <c r="F16" s="56">
        <v>59</v>
      </c>
      <c r="G16" s="56">
        <v>10364</v>
      </c>
      <c r="H16" s="56" t="s">
        <v>1048</v>
      </c>
      <c r="I16" s="56" t="s">
        <v>1158</v>
      </c>
      <c r="J16" s="129">
        <v>46236</v>
      </c>
      <c r="K16" s="130">
        <v>0.22222222222222221</v>
      </c>
      <c r="L16" s="130">
        <v>0.22569444444444445</v>
      </c>
      <c r="M16" s="56" t="s">
        <v>1050</v>
      </c>
      <c r="N16" s="129">
        <v>46236</v>
      </c>
      <c r="O16" s="130">
        <v>0.26041666666666669</v>
      </c>
      <c r="P16" s="130">
        <v>0.2532638888888889</v>
      </c>
      <c r="Q16" s="56" t="s">
        <v>1050</v>
      </c>
      <c r="R16" s="56" t="s">
        <v>224</v>
      </c>
      <c r="S16" s="56">
        <v>32</v>
      </c>
      <c r="T16" s="131">
        <v>3.4722222222222376E-3</v>
      </c>
      <c r="U16" s="130">
        <v>-7.1527777777777857E-3</v>
      </c>
      <c r="V16" s="56" t="s">
        <v>1051</v>
      </c>
      <c r="W16" s="56" t="s">
        <v>1052</v>
      </c>
      <c r="X16" s="56" t="s">
        <v>1053</v>
      </c>
      <c r="Y16" s="56">
        <v>32</v>
      </c>
      <c r="Z16" s="56" t="s">
        <v>1054</v>
      </c>
      <c r="AA16" s="56" t="s">
        <v>1159</v>
      </c>
      <c r="AB16" s="56" t="s">
        <v>1160</v>
      </c>
      <c r="AC16" s="56" t="s">
        <v>1069</v>
      </c>
      <c r="AD16" s="56" t="s">
        <v>1161</v>
      </c>
      <c r="AE16" s="56" t="s">
        <v>1162</v>
      </c>
      <c r="AF16" s="56" t="s">
        <v>1060</v>
      </c>
      <c r="AG16" s="56" t="s">
        <v>1163</v>
      </c>
      <c r="AH16" s="56"/>
      <c r="AI16" s="56"/>
      <c r="AJ16" s="56"/>
      <c r="AK16" s="56"/>
      <c r="AL16" s="56"/>
      <c r="AM16" s="56"/>
      <c r="AN16" s="56"/>
      <c r="AO16" s="56"/>
      <c r="AP16" s="56"/>
      <c r="AQ16" s="131"/>
      <c r="AR16" s="130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</row>
    <row r="17" spans="1:56" x14ac:dyDescent="0.2">
      <c r="A17" s="56">
        <v>14119076</v>
      </c>
      <c r="B17" s="56">
        <v>175450169</v>
      </c>
      <c r="C17" s="56" t="s">
        <v>1164</v>
      </c>
      <c r="D17" s="56" t="s">
        <v>1165</v>
      </c>
      <c r="E17" s="56" t="s">
        <v>1047</v>
      </c>
      <c r="F17" s="56">
        <v>93</v>
      </c>
      <c r="G17" s="56">
        <v>6881</v>
      </c>
      <c r="H17" s="56" t="s">
        <v>1048</v>
      </c>
      <c r="I17" s="56" t="s">
        <v>1090</v>
      </c>
      <c r="J17" s="129">
        <v>46236</v>
      </c>
      <c r="K17" s="130">
        <v>0.22222222222222221</v>
      </c>
      <c r="L17" s="130">
        <v>0.22569444444444445</v>
      </c>
      <c r="M17" s="56" t="s">
        <v>1050</v>
      </c>
      <c r="N17" s="129">
        <v>46236</v>
      </c>
      <c r="O17" s="130">
        <v>0.2673611111111111</v>
      </c>
      <c r="P17" s="130">
        <v>0.25329861111111113</v>
      </c>
      <c r="Q17" s="56" t="s">
        <v>1050</v>
      </c>
      <c r="R17" s="56" t="s">
        <v>230</v>
      </c>
      <c r="S17" s="56">
        <v>32</v>
      </c>
      <c r="T17" s="131">
        <v>3.4722222222222376E-3</v>
      </c>
      <c r="U17" s="130">
        <v>-1.4062499999999978E-2</v>
      </c>
      <c r="V17" s="56" t="s">
        <v>1051</v>
      </c>
      <c r="W17" s="56" t="s">
        <v>1052</v>
      </c>
      <c r="X17" s="56" t="s">
        <v>1053</v>
      </c>
      <c r="Y17" s="56">
        <v>32</v>
      </c>
      <c r="Z17" s="56" t="s">
        <v>1054</v>
      </c>
      <c r="AA17" s="56" t="s">
        <v>1166</v>
      </c>
      <c r="AB17" s="56" t="s">
        <v>1092</v>
      </c>
      <c r="AC17" s="56" t="s">
        <v>1078</v>
      </c>
      <c r="AD17" s="56" t="s">
        <v>1167</v>
      </c>
      <c r="AE17" s="56" t="s">
        <v>1168</v>
      </c>
      <c r="AF17" s="56" t="s">
        <v>1060</v>
      </c>
      <c r="AG17" s="56" t="s">
        <v>1169</v>
      </c>
      <c r="AH17" s="56"/>
      <c r="AI17" s="56"/>
      <c r="AJ17" s="56"/>
      <c r="AK17" s="56"/>
      <c r="AL17" s="56"/>
      <c r="AM17" s="56"/>
      <c r="AN17" s="56"/>
      <c r="AO17" s="56"/>
      <c r="AP17" s="56"/>
      <c r="AQ17" s="131"/>
      <c r="AR17" s="130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</row>
    <row r="18" spans="1:56" x14ac:dyDescent="0.2">
      <c r="A18" s="56">
        <v>14121238</v>
      </c>
      <c r="B18" s="56">
        <v>175449480</v>
      </c>
      <c r="C18" s="56" t="s">
        <v>1170</v>
      </c>
      <c r="D18" s="56" t="s">
        <v>1171</v>
      </c>
      <c r="E18" s="56" t="s">
        <v>1047</v>
      </c>
      <c r="F18" s="56">
        <v>98</v>
      </c>
      <c r="G18" s="56">
        <v>15337</v>
      </c>
      <c r="H18" s="56" t="s">
        <v>1048</v>
      </c>
      <c r="I18" s="56" t="s">
        <v>1172</v>
      </c>
      <c r="J18" s="129">
        <v>46236</v>
      </c>
      <c r="K18" s="130">
        <v>0.22916666666666666</v>
      </c>
      <c r="L18" s="130">
        <v>0.24027777777777778</v>
      </c>
      <c r="M18" s="56" t="s">
        <v>1050</v>
      </c>
      <c r="N18" s="129">
        <v>46236</v>
      </c>
      <c r="O18" s="130">
        <v>0.28125</v>
      </c>
      <c r="P18" s="130">
        <v>0.26863425925925927</v>
      </c>
      <c r="Q18" s="56" t="s">
        <v>1050</v>
      </c>
      <c r="R18" s="56" t="s">
        <v>322</v>
      </c>
      <c r="S18" s="56">
        <v>32</v>
      </c>
      <c r="T18" s="131">
        <v>1.1111111111111127E-2</v>
      </c>
      <c r="U18" s="130">
        <v>-1.2615740740740733E-2</v>
      </c>
      <c r="V18" s="56" t="s">
        <v>1051</v>
      </c>
      <c r="W18" s="56" t="s">
        <v>1052</v>
      </c>
      <c r="X18" s="56" t="s">
        <v>1053</v>
      </c>
      <c r="Y18" s="56">
        <v>32</v>
      </c>
      <c r="Z18" s="56" t="s">
        <v>1054</v>
      </c>
      <c r="AA18" s="56" t="s">
        <v>1173</v>
      </c>
      <c r="AB18" s="56" t="s">
        <v>1174</v>
      </c>
      <c r="AC18" s="56" t="s">
        <v>1057</v>
      </c>
      <c r="AD18" s="56" t="s">
        <v>1175</v>
      </c>
      <c r="AE18" s="56" t="s">
        <v>1176</v>
      </c>
      <c r="AF18" s="56" t="s">
        <v>1060</v>
      </c>
      <c r="AG18" s="56" t="s">
        <v>1177</v>
      </c>
      <c r="AH18" s="56"/>
      <c r="AI18" s="56"/>
      <c r="AJ18" s="56"/>
      <c r="AK18" s="56"/>
      <c r="AL18" s="56"/>
      <c r="AM18" s="56"/>
      <c r="AN18" s="56"/>
      <c r="AO18" s="56"/>
      <c r="AP18" s="56"/>
      <c r="AQ18" s="131"/>
      <c r="AR18" s="130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</row>
    <row r="19" spans="1:56" x14ac:dyDescent="0.2">
      <c r="A19" s="56">
        <v>14122617</v>
      </c>
      <c r="B19" s="56">
        <v>175449784</v>
      </c>
      <c r="C19" s="56" t="s">
        <v>1178</v>
      </c>
      <c r="D19" s="56" t="s">
        <v>1179</v>
      </c>
      <c r="E19" s="56" t="s">
        <v>1047</v>
      </c>
      <c r="F19" s="56">
        <v>35</v>
      </c>
      <c r="G19" s="56">
        <v>6655</v>
      </c>
      <c r="H19" s="56" t="s">
        <v>1048</v>
      </c>
      <c r="I19" s="56" t="s">
        <v>1090</v>
      </c>
      <c r="J19" s="129">
        <v>46236</v>
      </c>
      <c r="K19" s="130">
        <v>0.2326388888888889</v>
      </c>
      <c r="L19" s="130">
        <v>0.24305555555555555</v>
      </c>
      <c r="M19" s="56" t="s">
        <v>1050</v>
      </c>
      <c r="N19" s="129">
        <v>46236</v>
      </c>
      <c r="O19" s="130">
        <v>0.2673611111111111</v>
      </c>
      <c r="P19" s="130">
        <v>0.25976851851851851</v>
      </c>
      <c r="Q19" s="56" t="s">
        <v>1050</v>
      </c>
      <c r="R19" s="56" t="s">
        <v>429</v>
      </c>
      <c r="S19" s="56">
        <v>32</v>
      </c>
      <c r="T19" s="131">
        <v>1.0416666666666657E-2</v>
      </c>
      <c r="U19" s="130">
        <v>-7.5925925925925952E-3</v>
      </c>
      <c r="V19" s="56" t="s">
        <v>1051</v>
      </c>
      <c r="W19" s="56" t="s">
        <v>1052</v>
      </c>
      <c r="X19" s="56" t="s">
        <v>1053</v>
      </c>
      <c r="Y19" s="56">
        <v>32</v>
      </c>
      <c r="Z19" s="56" t="s">
        <v>1054</v>
      </c>
      <c r="AA19" s="56" t="s">
        <v>1180</v>
      </c>
      <c r="AB19" s="56" t="s">
        <v>1092</v>
      </c>
      <c r="AC19" s="56" t="s">
        <v>1078</v>
      </c>
      <c r="AD19" s="56" t="s">
        <v>1181</v>
      </c>
      <c r="AE19" s="56" t="s">
        <v>1182</v>
      </c>
      <c r="AF19" s="56" t="s">
        <v>1060</v>
      </c>
      <c r="AG19" s="56" t="s">
        <v>1183</v>
      </c>
      <c r="AH19" s="56"/>
      <c r="AI19" s="56"/>
      <c r="AJ19" s="56"/>
      <c r="AK19" s="56"/>
      <c r="AL19" s="56"/>
      <c r="AM19" s="56"/>
      <c r="AN19" s="56"/>
      <c r="AO19" s="56"/>
      <c r="AP19" s="56"/>
      <c r="AQ19" s="131"/>
      <c r="AR19" s="130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</row>
    <row r="20" spans="1:56" x14ac:dyDescent="0.2">
      <c r="A20" s="56">
        <v>14101881</v>
      </c>
      <c r="B20" s="56">
        <v>175447870</v>
      </c>
      <c r="C20" s="56" t="s">
        <v>1184</v>
      </c>
      <c r="D20" s="56" t="s">
        <v>1185</v>
      </c>
      <c r="E20" s="56" t="s">
        <v>1047</v>
      </c>
      <c r="F20" s="56">
        <v>61</v>
      </c>
      <c r="G20" s="56">
        <v>17197</v>
      </c>
      <c r="H20" s="56" t="s">
        <v>1048</v>
      </c>
      <c r="I20" s="56" t="s">
        <v>1172</v>
      </c>
      <c r="J20" s="129">
        <v>46236</v>
      </c>
      <c r="K20" s="130">
        <v>0.2388888888888889</v>
      </c>
      <c r="L20" s="130">
        <v>0.24513888888888888</v>
      </c>
      <c r="M20" s="56" t="s">
        <v>1050</v>
      </c>
      <c r="N20" s="129">
        <v>46236</v>
      </c>
      <c r="O20" s="130">
        <v>0.28125</v>
      </c>
      <c r="P20" s="130">
        <v>0.27818287037037037</v>
      </c>
      <c r="Q20" s="56" t="s">
        <v>1050</v>
      </c>
      <c r="R20" s="56" t="s">
        <v>26</v>
      </c>
      <c r="S20" s="56">
        <v>32</v>
      </c>
      <c r="T20" s="131">
        <v>6.2499999999999778E-3</v>
      </c>
      <c r="U20" s="130">
        <v>-3.067129629629628E-3</v>
      </c>
      <c r="V20" s="56" t="s">
        <v>1051</v>
      </c>
      <c r="W20" s="56" t="s">
        <v>1052</v>
      </c>
      <c r="X20" s="56" t="s">
        <v>1053</v>
      </c>
      <c r="Y20" s="56">
        <v>32</v>
      </c>
      <c r="Z20" s="56" t="s">
        <v>1054</v>
      </c>
      <c r="AA20" s="56" t="s">
        <v>1186</v>
      </c>
      <c r="AB20" s="56" t="s">
        <v>1174</v>
      </c>
      <c r="AC20" s="56" t="s">
        <v>1057</v>
      </c>
      <c r="AD20" s="56" t="s">
        <v>1187</v>
      </c>
      <c r="AE20" s="56" t="s">
        <v>1188</v>
      </c>
      <c r="AF20" s="56" t="s">
        <v>1060</v>
      </c>
      <c r="AG20" s="56" t="s">
        <v>1189</v>
      </c>
      <c r="AH20" s="56"/>
      <c r="AI20" s="56"/>
      <c r="AJ20" s="56"/>
      <c r="AK20" s="56"/>
      <c r="AL20" s="56"/>
      <c r="AM20" s="56"/>
      <c r="AN20" s="56"/>
      <c r="AO20" s="56"/>
      <c r="AP20" s="56"/>
      <c r="AQ20" s="131"/>
      <c r="AR20" s="130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</row>
    <row r="21" spans="1:56" x14ac:dyDescent="0.2">
      <c r="A21" s="56">
        <v>14122904</v>
      </c>
      <c r="B21" s="56">
        <v>175443911</v>
      </c>
      <c r="C21" s="56" t="s">
        <v>1190</v>
      </c>
      <c r="D21" s="56" t="s">
        <v>1191</v>
      </c>
      <c r="E21" s="56" t="s">
        <v>1047</v>
      </c>
      <c r="F21" s="56">
        <v>49</v>
      </c>
      <c r="G21" s="56">
        <v>4487</v>
      </c>
      <c r="H21" s="56" t="s">
        <v>1048</v>
      </c>
      <c r="I21" s="56" t="s">
        <v>1192</v>
      </c>
      <c r="J21" s="129">
        <v>46236</v>
      </c>
      <c r="K21" s="130">
        <v>0.23958333333333334</v>
      </c>
      <c r="L21" s="130">
        <v>0.24652777777777779</v>
      </c>
      <c r="M21" s="56" t="s">
        <v>1050</v>
      </c>
      <c r="N21" s="129">
        <v>46236</v>
      </c>
      <c r="O21" s="130">
        <v>0.27083333333333331</v>
      </c>
      <c r="P21" s="130">
        <v>0.26416666666666666</v>
      </c>
      <c r="Q21" s="56" t="s">
        <v>1050</v>
      </c>
      <c r="R21" s="56" t="s">
        <v>457</v>
      </c>
      <c r="S21" s="56">
        <v>32</v>
      </c>
      <c r="T21" s="131">
        <v>6.9444444444444475E-3</v>
      </c>
      <c r="U21" s="130">
        <v>-6.6666666666666541E-3</v>
      </c>
      <c r="V21" s="56" t="s">
        <v>1051</v>
      </c>
      <c r="W21" s="56" t="s">
        <v>1052</v>
      </c>
      <c r="X21" s="56" t="s">
        <v>1053</v>
      </c>
      <c r="Y21" s="56">
        <v>32</v>
      </c>
      <c r="Z21" s="56" t="s">
        <v>1054</v>
      </c>
      <c r="AA21" s="56" t="s">
        <v>1193</v>
      </c>
      <c r="AB21" s="56" t="s">
        <v>1194</v>
      </c>
      <c r="AC21" s="56" t="s">
        <v>1057</v>
      </c>
      <c r="AD21" s="56" t="s">
        <v>1195</v>
      </c>
      <c r="AE21" s="56" t="s">
        <v>1196</v>
      </c>
      <c r="AF21" s="56" t="s">
        <v>1060</v>
      </c>
      <c r="AG21" s="56" t="s">
        <v>1197</v>
      </c>
      <c r="AH21" s="56"/>
      <c r="AI21" s="56"/>
      <c r="AJ21" s="56"/>
      <c r="AK21" s="56"/>
      <c r="AL21" s="56"/>
      <c r="AM21" s="56"/>
      <c r="AN21" s="56"/>
      <c r="AO21" s="56"/>
      <c r="AP21" s="56"/>
      <c r="AQ21" s="131"/>
      <c r="AR21" s="130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</row>
    <row r="22" spans="1:56" x14ac:dyDescent="0.2">
      <c r="A22" s="56"/>
      <c r="B22" s="56">
        <v>175444825</v>
      </c>
      <c r="C22" s="56" t="s">
        <v>1198</v>
      </c>
      <c r="D22" s="56" t="s">
        <v>1199</v>
      </c>
      <c r="E22" s="56" t="s">
        <v>1047</v>
      </c>
      <c r="F22" s="56">
        <v>3</v>
      </c>
      <c r="G22" s="56">
        <v>4392</v>
      </c>
      <c r="H22" s="56" t="s">
        <v>1048</v>
      </c>
      <c r="I22" s="56" t="s">
        <v>1200</v>
      </c>
      <c r="J22" s="129">
        <v>46236</v>
      </c>
      <c r="K22" s="130">
        <v>0.24513888888888888</v>
      </c>
      <c r="L22" s="130">
        <v>0.25486111111111109</v>
      </c>
      <c r="M22" s="56" t="s">
        <v>1050</v>
      </c>
      <c r="N22" s="129">
        <v>46236</v>
      </c>
      <c r="O22" s="130">
        <v>0.29166666666666669</v>
      </c>
      <c r="P22" s="130">
        <v>0.28525462962962961</v>
      </c>
      <c r="Q22" s="56" t="s">
        <v>1050</v>
      </c>
      <c r="R22" s="56" t="s">
        <v>1201</v>
      </c>
      <c r="S22" s="56">
        <v>32</v>
      </c>
      <c r="T22" s="131">
        <v>9.7222222222222154E-3</v>
      </c>
      <c r="U22" s="130">
        <v>-6.4120370370370772E-3</v>
      </c>
      <c r="V22" s="56" t="s">
        <v>1051</v>
      </c>
      <c r="W22" s="56" t="s">
        <v>1052</v>
      </c>
      <c r="X22" s="56" t="s">
        <v>1053</v>
      </c>
      <c r="Y22" s="56">
        <v>32</v>
      </c>
      <c r="Z22" s="56" t="s">
        <v>1054</v>
      </c>
      <c r="AA22" s="56" t="s">
        <v>1202</v>
      </c>
      <c r="AB22" s="56" t="s">
        <v>1203</v>
      </c>
      <c r="AC22" s="56" t="s">
        <v>1057</v>
      </c>
      <c r="AD22" s="56" t="s">
        <v>1204</v>
      </c>
      <c r="AE22" s="56" t="s">
        <v>1205</v>
      </c>
      <c r="AF22" s="56" t="s">
        <v>1060</v>
      </c>
      <c r="AG22" s="56" t="s">
        <v>1206</v>
      </c>
      <c r="AH22" s="56"/>
      <c r="AI22" s="56"/>
      <c r="AJ22" s="56"/>
      <c r="AK22" s="56"/>
      <c r="AL22" s="56"/>
      <c r="AM22" s="56"/>
      <c r="AN22" s="56"/>
      <c r="AO22" s="56"/>
      <c r="AP22" s="56"/>
      <c r="AQ22" s="131"/>
      <c r="AR22" s="130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</row>
    <row r="23" spans="1:56" x14ac:dyDescent="0.2">
      <c r="A23" s="56">
        <v>14120196</v>
      </c>
      <c r="B23" s="56">
        <v>175449506</v>
      </c>
      <c r="C23" s="56" t="s">
        <v>1207</v>
      </c>
      <c r="D23" s="56" t="s">
        <v>1208</v>
      </c>
      <c r="E23" s="56" t="s">
        <v>1047</v>
      </c>
      <c r="F23" s="56">
        <v>102</v>
      </c>
      <c r="G23" s="56">
        <v>14680</v>
      </c>
      <c r="H23" s="56" t="s">
        <v>1048</v>
      </c>
      <c r="I23" s="56" t="s">
        <v>1172</v>
      </c>
      <c r="J23" s="129">
        <v>46236</v>
      </c>
      <c r="K23" s="130">
        <v>0.24652777777777779</v>
      </c>
      <c r="L23" s="130">
        <v>0.25416666666666665</v>
      </c>
      <c r="M23" s="56" t="s">
        <v>1050</v>
      </c>
      <c r="N23" s="129">
        <v>46236</v>
      </c>
      <c r="O23" s="130">
        <v>0.28125</v>
      </c>
      <c r="P23" s="130">
        <v>0.27806712962962965</v>
      </c>
      <c r="Q23" s="56" t="s">
        <v>1050</v>
      </c>
      <c r="R23" s="56" t="s">
        <v>279</v>
      </c>
      <c r="S23" s="56">
        <v>32</v>
      </c>
      <c r="T23" s="131">
        <v>7.6388888888888618E-3</v>
      </c>
      <c r="U23" s="130">
        <v>-3.1828703703703498E-3</v>
      </c>
      <c r="V23" s="56" t="s">
        <v>1051</v>
      </c>
      <c r="W23" s="56" t="s">
        <v>1052</v>
      </c>
      <c r="X23" s="56" t="s">
        <v>1053</v>
      </c>
      <c r="Y23" s="56">
        <v>32</v>
      </c>
      <c r="Z23" s="56" t="s">
        <v>1054</v>
      </c>
      <c r="AA23" s="56" t="s">
        <v>1209</v>
      </c>
      <c r="AB23" s="56" t="s">
        <v>1210</v>
      </c>
      <c r="AC23" s="56" t="s">
        <v>1057</v>
      </c>
      <c r="AD23" s="56" t="s">
        <v>1211</v>
      </c>
      <c r="AE23" s="56" t="s">
        <v>1212</v>
      </c>
      <c r="AF23" s="56" t="s">
        <v>1060</v>
      </c>
      <c r="AG23" s="56" t="s">
        <v>1213</v>
      </c>
      <c r="AH23" s="56"/>
      <c r="AI23" s="56"/>
      <c r="AJ23" s="56"/>
      <c r="AK23" s="56"/>
      <c r="AL23" s="56"/>
      <c r="AM23" s="56"/>
      <c r="AN23" s="56"/>
      <c r="AO23" s="56"/>
      <c r="AP23" s="56"/>
      <c r="AQ23" s="131"/>
      <c r="AR23" s="130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</row>
    <row r="24" spans="1:56" x14ac:dyDescent="0.2">
      <c r="A24" s="56">
        <v>14123471</v>
      </c>
      <c r="B24" s="56">
        <v>175450024</v>
      </c>
      <c r="C24" s="56" t="s">
        <v>1214</v>
      </c>
      <c r="D24" s="56" t="s">
        <v>1215</v>
      </c>
      <c r="E24" s="56" t="s">
        <v>1047</v>
      </c>
      <c r="F24" s="56">
        <v>129</v>
      </c>
      <c r="G24" s="56">
        <v>5674</v>
      </c>
      <c r="H24" s="56" t="s">
        <v>1048</v>
      </c>
      <c r="I24" s="56" t="s">
        <v>1172</v>
      </c>
      <c r="J24" s="129">
        <v>46236</v>
      </c>
      <c r="K24" s="130">
        <v>0.24722222222222223</v>
      </c>
      <c r="L24" s="130">
        <v>0.25069444444444444</v>
      </c>
      <c r="M24" s="56" t="s">
        <v>1050</v>
      </c>
      <c r="N24" s="129">
        <v>46236</v>
      </c>
      <c r="O24" s="130">
        <v>0.28125</v>
      </c>
      <c r="P24" s="130">
        <v>0.27291666666666664</v>
      </c>
      <c r="Q24" s="56" t="s">
        <v>1050</v>
      </c>
      <c r="R24" s="56" t="s">
        <v>513</v>
      </c>
      <c r="S24" s="56">
        <v>32</v>
      </c>
      <c r="T24" s="131">
        <v>3.4722222222222099E-3</v>
      </c>
      <c r="U24" s="130">
        <v>-8.3333333333333592E-3</v>
      </c>
      <c r="V24" s="56" t="s">
        <v>1051</v>
      </c>
      <c r="W24" s="56" t="s">
        <v>1052</v>
      </c>
      <c r="X24" s="56" t="s">
        <v>1053</v>
      </c>
      <c r="Y24" s="56">
        <v>32</v>
      </c>
      <c r="Z24" s="56" t="s">
        <v>1054</v>
      </c>
      <c r="AA24" s="56" t="s">
        <v>1216</v>
      </c>
      <c r="AB24" s="56" t="s">
        <v>1174</v>
      </c>
      <c r="AC24" s="56" t="s">
        <v>1057</v>
      </c>
      <c r="AD24" s="56" t="s">
        <v>1217</v>
      </c>
      <c r="AE24" s="56" t="s">
        <v>1218</v>
      </c>
      <c r="AF24" s="56" t="s">
        <v>1060</v>
      </c>
      <c r="AG24" s="56" t="s">
        <v>1219</v>
      </c>
      <c r="AH24" s="56"/>
      <c r="AI24" s="56"/>
      <c r="AJ24" s="56"/>
      <c r="AK24" s="56"/>
      <c r="AL24" s="56"/>
      <c r="AM24" s="56"/>
      <c r="AN24" s="56"/>
      <c r="AO24" s="56"/>
      <c r="AP24" s="56"/>
      <c r="AQ24" s="131"/>
      <c r="AR24" s="130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</row>
    <row r="25" spans="1:56" x14ac:dyDescent="0.2">
      <c r="A25" s="56">
        <v>14122136</v>
      </c>
      <c r="B25" s="56">
        <v>175448953</v>
      </c>
      <c r="C25" s="56" t="s">
        <v>1220</v>
      </c>
      <c r="D25" s="56" t="s">
        <v>1221</v>
      </c>
      <c r="E25" s="56" t="s">
        <v>1047</v>
      </c>
      <c r="F25" s="56">
        <v>86</v>
      </c>
      <c r="G25" s="56">
        <v>16740</v>
      </c>
      <c r="H25" s="56" t="s">
        <v>1048</v>
      </c>
      <c r="I25" s="56" t="s">
        <v>1172</v>
      </c>
      <c r="J25" s="129">
        <v>46236</v>
      </c>
      <c r="K25" s="130">
        <v>0.25</v>
      </c>
      <c r="L25" s="130">
        <v>0.25972222222222224</v>
      </c>
      <c r="M25" s="56" t="s">
        <v>1050</v>
      </c>
      <c r="N25" s="129">
        <v>46236</v>
      </c>
      <c r="O25" s="130">
        <v>0.28125</v>
      </c>
      <c r="P25" s="130">
        <v>0.28174768518518517</v>
      </c>
      <c r="Q25" s="56" t="s">
        <v>1050</v>
      </c>
      <c r="R25" s="56" t="s">
        <v>386</v>
      </c>
      <c r="S25" s="56">
        <v>32</v>
      </c>
      <c r="T25" s="131">
        <v>9.7222222222222432E-3</v>
      </c>
      <c r="U25" s="130">
        <v>4.9768518518517046E-4</v>
      </c>
      <c r="V25" s="56" t="s">
        <v>1051</v>
      </c>
      <c r="W25" s="56" t="s">
        <v>1052</v>
      </c>
      <c r="X25" s="56" t="s">
        <v>1053</v>
      </c>
      <c r="Y25" s="56">
        <v>32</v>
      </c>
      <c r="Z25" s="56" t="s">
        <v>1054</v>
      </c>
      <c r="AA25" s="56" t="s">
        <v>1222</v>
      </c>
      <c r="AB25" s="56" t="s">
        <v>1210</v>
      </c>
      <c r="AC25" s="56" t="s">
        <v>1057</v>
      </c>
      <c r="AD25" s="56" t="s">
        <v>1223</v>
      </c>
      <c r="AE25" s="56" t="s">
        <v>1224</v>
      </c>
      <c r="AF25" s="56" t="s">
        <v>1060</v>
      </c>
      <c r="AG25" s="56" t="s">
        <v>1225</v>
      </c>
      <c r="AH25" s="56"/>
      <c r="AI25" s="56"/>
      <c r="AJ25" s="56"/>
      <c r="AK25" s="56"/>
      <c r="AL25" s="56"/>
      <c r="AM25" s="56"/>
      <c r="AN25" s="56"/>
      <c r="AO25" s="56"/>
      <c r="AP25" s="56"/>
      <c r="AQ25" s="131"/>
      <c r="AR25" s="130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</row>
    <row r="26" spans="1:56" x14ac:dyDescent="0.2">
      <c r="A26" s="56">
        <v>14121152</v>
      </c>
      <c r="B26" s="56">
        <v>175447897</v>
      </c>
      <c r="C26" s="56" t="s">
        <v>1226</v>
      </c>
      <c r="D26" s="56" t="s">
        <v>1227</v>
      </c>
      <c r="E26" s="56" t="s">
        <v>1047</v>
      </c>
      <c r="F26" s="56">
        <v>31</v>
      </c>
      <c r="G26" s="56">
        <v>13011</v>
      </c>
      <c r="H26" s="56" t="s">
        <v>1048</v>
      </c>
      <c r="I26" s="56" t="s">
        <v>1200</v>
      </c>
      <c r="J26" s="129">
        <v>46236</v>
      </c>
      <c r="K26" s="130">
        <v>0.2638888888888889</v>
      </c>
      <c r="L26" s="130">
        <v>0.2902777777777778</v>
      </c>
      <c r="M26" s="56" t="s">
        <v>1050</v>
      </c>
      <c r="N26" s="129">
        <v>46236</v>
      </c>
      <c r="O26" s="130">
        <v>0.29166666666666669</v>
      </c>
      <c r="P26" s="130">
        <v>0.31319444444444444</v>
      </c>
      <c r="Q26" s="56" t="s">
        <v>1050</v>
      </c>
      <c r="R26" s="56" t="s">
        <v>315</v>
      </c>
      <c r="S26" s="56">
        <v>32</v>
      </c>
      <c r="T26" s="131">
        <v>2.6388888888888906E-2</v>
      </c>
      <c r="U26" s="130">
        <v>2.1527777777777757E-2</v>
      </c>
      <c r="V26" s="56" t="s">
        <v>1051</v>
      </c>
      <c r="W26" s="56" t="s">
        <v>1065</v>
      </c>
      <c r="X26" s="56" t="s">
        <v>1066</v>
      </c>
      <c r="Y26" s="56">
        <v>32</v>
      </c>
      <c r="Z26" s="56" t="s">
        <v>1054</v>
      </c>
      <c r="AA26" s="56" t="s">
        <v>1228</v>
      </c>
      <c r="AB26" s="56" t="s">
        <v>1203</v>
      </c>
      <c r="AC26" s="56" t="s">
        <v>1057</v>
      </c>
      <c r="AD26" s="56" t="s">
        <v>1229</v>
      </c>
      <c r="AE26" s="56" t="s">
        <v>1230</v>
      </c>
      <c r="AF26" s="56" t="s">
        <v>1060</v>
      </c>
      <c r="AG26" s="56" t="s">
        <v>1231</v>
      </c>
      <c r="AH26" s="56"/>
      <c r="AI26" s="56"/>
      <c r="AJ26" s="56"/>
      <c r="AK26" s="56"/>
      <c r="AL26" s="56"/>
      <c r="AM26" s="56"/>
      <c r="AN26" s="56"/>
      <c r="AO26" s="56"/>
      <c r="AP26" s="56"/>
      <c r="AQ26" s="131"/>
      <c r="AR26" s="130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</row>
    <row r="27" spans="1:56" x14ac:dyDescent="0.2">
      <c r="A27" s="56">
        <v>14119018</v>
      </c>
      <c r="B27" s="56">
        <v>175441266</v>
      </c>
      <c r="C27" s="56" t="s">
        <v>1232</v>
      </c>
      <c r="D27" s="56" t="s">
        <v>1233</v>
      </c>
      <c r="E27" s="56" t="s">
        <v>1047</v>
      </c>
      <c r="F27" s="56">
        <v>1</v>
      </c>
      <c r="G27" s="56">
        <v>10363</v>
      </c>
      <c r="H27" s="56" t="s">
        <v>1048</v>
      </c>
      <c r="I27" s="56" t="s">
        <v>1192</v>
      </c>
      <c r="J27" s="129">
        <v>46236</v>
      </c>
      <c r="K27" s="130">
        <v>0.52083333333333337</v>
      </c>
      <c r="L27" s="130">
        <v>0.52708333333333335</v>
      </c>
      <c r="M27" s="56" t="s">
        <v>1050</v>
      </c>
      <c r="N27" s="129">
        <v>46236</v>
      </c>
      <c r="O27" s="130">
        <v>0.60416666666666663</v>
      </c>
      <c r="P27" s="130">
        <v>0.57659722222222221</v>
      </c>
      <c r="Q27" s="56" t="s">
        <v>1050</v>
      </c>
      <c r="R27" s="56" t="s">
        <v>228</v>
      </c>
      <c r="S27" s="56">
        <v>32</v>
      </c>
      <c r="T27" s="131">
        <v>6.2499999999999778E-3</v>
      </c>
      <c r="U27" s="130">
        <v>-2.7569444444444424E-2</v>
      </c>
      <c r="V27" s="56" t="s">
        <v>1051</v>
      </c>
      <c r="W27" s="56" t="s">
        <v>1052</v>
      </c>
      <c r="X27" s="56" t="s">
        <v>1053</v>
      </c>
      <c r="Y27" s="56">
        <v>32</v>
      </c>
      <c r="Z27" s="56" t="s">
        <v>1054</v>
      </c>
      <c r="AA27" s="56" t="s">
        <v>1234</v>
      </c>
      <c r="AB27" s="56" t="s">
        <v>1194</v>
      </c>
      <c r="AC27" s="56" t="s">
        <v>1057</v>
      </c>
      <c r="AD27" s="56" t="s">
        <v>1235</v>
      </c>
      <c r="AE27" s="56" t="s">
        <v>1236</v>
      </c>
      <c r="AF27" s="56" t="s">
        <v>1237</v>
      </c>
      <c r="AG27" s="56" t="s">
        <v>1238</v>
      </c>
      <c r="AH27" s="56"/>
      <c r="AI27" s="56"/>
      <c r="AJ27" s="56"/>
      <c r="AK27" s="56"/>
      <c r="AL27" s="56"/>
      <c r="AM27" s="56"/>
      <c r="AN27" s="56"/>
      <c r="AO27" s="56"/>
      <c r="AP27" s="56"/>
      <c r="AQ27" s="131"/>
      <c r="AR27" s="130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</row>
    <row r="28" spans="1:56" x14ac:dyDescent="0.2">
      <c r="A28" s="56">
        <v>14118773</v>
      </c>
      <c r="B28" s="56">
        <v>175446803</v>
      </c>
      <c r="C28" s="56" t="s">
        <v>1239</v>
      </c>
      <c r="D28" s="56" t="s">
        <v>1083</v>
      </c>
      <c r="E28" s="56" t="s">
        <v>1047</v>
      </c>
      <c r="F28" s="56">
        <v>17</v>
      </c>
      <c r="G28" s="56">
        <v>14867</v>
      </c>
      <c r="H28" s="56" t="s">
        <v>1048</v>
      </c>
      <c r="I28" s="56" t="s">
        <v>1064</v>
      </c>
      <c r="J28" s="129">
        <v>46236</v>
      </c>
      <c r="K28" s="130">
        <v>0.52083333333333337</v>
      </c>
      <c r="L28" s="130">
        <v>0.53472222222222221</v>
      </c>
      <c r="M28" s="56" t="s">
        <v>1050</v>
      </c>
      <c r="N28" s="129">
        <v>46236</v>
      </c>
      <c r="O28" s="130">
        <v>0.60416666666666663</v>
      </c>
      <c r="P28" s="130">
        <v>0.5859375</v>
      </c>
      <c r="Q28" s="56" t="s">
        <v>1050</v>
      </c>
      <c r="R28" s="56" t="s">
        <v>210</v>
      </c>
      <c r="S28" s="56">
        <v>32</v>
      </c>
      <c r="T28" s="131">
        <v>1.388888888888884E-2</v>
      </c>
      <c r="U28" s="130">
        <v>-1.822916666666663E-2</v>
      </c>
      <c r="V28" s="56" t="s">
        <v>1051</v>
      </c>
      <c r="W28" s="56" t="s">
        <v>1052</v>
      </c>
      <c r="X28" s="56" t="s">
        <v>1053</v>
      </c>
      <c r="Y28" s="56">
        <v>32</v>
      </c>
      <c r="Z28" s="56" t="s">
        <v>1054</v>
      </c>
      <c r="AA28" s="56" t="s">
        <v>1084</v>
      </c>
      <c r="AB28" s="56" t="s">
        <v>1068</v>
      </c>
      <c r="AC28" s="56" t="s">
        <v>1069</v>
      </c>
      <c r="AD28" s="56" t="s">
        <v>1085</v>
      </c>
      <c r="AE28" s="56" t="s">
        <v>1086</v>
      </c>
      <c r="AF28" s="56" t="s">
        <v>1237</v>
      </c>
      <c r="AG28" s="56" t="s">
        <v>1240</v>
      </c>
      <c r="AH28" s="56"/>
      <c r="AI28" s="56"/>
      <c r="AJ28" s="56"/>
      <c r="AK28" s="56"/>
      <c r="AL28" s="56"/>
      <c r="AM28" s="56"/>
      <c r="AN28" s="56"/>
      <c r="AO28" s="56"/>
      <c r="AP28" s="56"/>
      <c r="AQ28" s="131"/>
      <c r="AR28" s="130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</row>
    <row r="29" spans="1:56" x14ac:dyDescent="0.2">
      <c r="A29" s="56">
        <v>14108222</v>
      </c>
      <c r="B29" s="56">
        <v>175444883</v>
      </c>
      <c r="C29" s="56" t="s">
        <v>1241</v>
      </c>
      <c r="D29" s="56" t="s">
        <v>1242</v>
      </c>
      <c r="E29" s="56" t="s">
        <v>1047</v>
      </c>
      <c r="F29" s="56">
        <v>25</v>
      </c>
      <c r="G29" s="56">
        <v>13844</v>
      </c>
      <c r="H29" s="56" t="s">
        <v>1048</v>
      </c>
      <c r="I29" s="56" t="s">
        <v>1118</v>
      </c>
      <c r="J29" s="129">
        <v>46236</v>
      </c>
      <c r="K29" s="130">
        <v>0.53125</v>
      </c>
      <c r="L29" s="130">
        <v>0.53749999999999998</v>
      </c>
      <c r="M29" s="56" t="s">
        <v>1050</v>
      </c>
      <c r="N29" s="129">
        <v>46236</v>
      </c>
      <c r="O29" s="130">
        <v>0.60069444444444442</v>
      </c>
      <c r="P29" s="130">
        <v>0.57687500000000003</v>
      </c>
      <c r="Q29" s="56" t="s">
        <v>1050</v>
      </c>
      <c r="R29" s="56" t="s">
        <v>71</v>
      </c>
      <c r="S29" s="56">
        <v>32</v>
      </c>
      <c r="T29" s="131">
        <v>6.2499999999999778E-3</v>
      </c>
      <c r="U29" s="130">
        <v>-2.3819444444444393E-2</v>
      </c>
      <c r="V29" s="56" t="s">
        <v>1051</v>
      </c>
      <c r="W29" s="56" t="s">
        <v>1052</v>
      </c>
      <c r="X29" s="56" t="s">
        <v>1053</v>
      </c>
      <c r="Y29" s="56">
        <v>32</v>
      </c>
      <c r="Z29" s="56" t="s">
        <v>1054</v>
      </c>
      <c r="AA29" s="56" t="s">
        <v>1243</v>
      </c>
      <c r="AB29" s="56" t="s">
        <v>1120</v>
      </c>
      <c r="AC29" s="56" t="s">
        <v>1078</v>
      </c>
      <c r="AD29" s="56" t="s">
        <v>1244</v>
      </c>
      <c r="AE29" s="56" t="s">
        <v>1245</v>
      </c>
      <c r="AF29" s="56" t="s">
        <v>1237</v>
      </c>
      <c r="AG29" s="56" t="s">
        <v>1246</v>
      </c>
      <c r="AH29" s="56"/>
      <c r="AI29" s="56"/>
      <c r="AJ29" s="56"/>
      <c r="AK29" s="56"/>
      <c r="AL29" s="56"/>
      <c r="AM29" s="56"/>
      <c r="AN29" s="56"/>
      <c r="AO29" s="56"/>
      <c r="AP29" s="56"/>
      <c r="AQ29" s="131"/>
      <c r="AR29" s="130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</row>
    <row r="30" spans="1:56" x14ac:dyDescent="0.2">
      <c r="A30" s="56">
        <v>14115536</v>
      </c>
      <c r="B30" s="56">
        <v>175450862</v>
      </c>
      <c r="C30" s="56" t="s">
        <v>1247</v>
      </c>
      <c r="D30" s="56" t="s">
        <v>1248</v>
      </c>
      <c r="E30" s="56" t="s">
        <v>1047</v>
      </c>
      <c r="F30" s="56">
        <v>504</v>
      </c>
      <c r="G30" s="56">
        <v>5719</v>
      </c>
      <c r="H30" s="56" t="s">
        <v>1048</v>
      </c>
      <c r="I30" s="56" t="s">
        <v>1075</v>
      </c>
      <c r="J30" s="129">
        <v>46236</v>
      </c>
      <c r="K30" s="130">
        <v>0.53125</v>
      </c>
      <c r="L30" s="130">
        <v>0.53749999999999998</v>
      </c>
      <c r="M30" s="56" t="s">
        <v>1050</v>
      </c>
      <c r="N30" s="129">
        <v>46236</v>
      </c>
      <c r="O30" s="130">
        <v>0.60069444444444442</v>
      </c>
      <c r="P30" s="130">
        <v>0.5964814814814815</v>
      </c>
      <c r="Q30" s="56" t="s">
        <v>1050</v>
      </c>
      <c r="R30" s="56" t="s">
        <v>144</v>
      </c>
      <c r="S30" s="56">
        <v>32</v>
      </c>
      <c r="T30" s="131">
        <v>6.2499999999999778E-3</v>
      </c>
      <c r="U30" s="130">
        <v>-4.2129629629629184E-3</v>
      </c>
      <c r="V30" s="56" t="s">
        <v>1051</v>
      </c>
      <c r="W30" s="56" t="s">
        <v>1052</v>
      </c>
      <c r="X30" s="56" t="s">
        <v>1053</v>
      </c>
      <c r="Y30" s="56">
        <v>32</v>
      </c>
      <c r="Z30" s="56" t="s">
        <v>1054</v>
      </c>
      <c r="AA30" s="56" t="s">
        <v>1249</v>
      </c>
      <c r="AB30" s="56" t="s">
        <v>1077</v>
      </c>
      <c r="AC30" s="56" t="s">
        <v>1078</v>
      </c>
      <c r="AD30" s="56" t="s">
        <v>1250</v>
      </c>
      <c r="AE30" s="56" t="s">
        <v>1251</v>
      </c>
      <c r="AF30" s="56" t="s">
        <v>1237</v>
      </c>
      <c r="AG30" s="56" t="s">
        <v>1252</v>
      </c>
      <c r="AH30" s="56"/>
      <c r="AI30" s="56"/>
      <c r="AJ30" s="56"/>
      <c r="AK30" s="56"/>
      <c r="AL30" s="56"/>
      <c r="AM30" s="56"/>
      <c r="AN30" s="56"/>
      <c r="AO30" s="56"/>
      <c r="AP30" s="56"/>
      <c r="AQ30" s="131"/>
      <c r="AR30" s="130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</row>
    <row r="31" spans="1:56" x14ac:dyDescent="0.2">
      <c r="A31" s="56">
        <v>14115244</v>
      </c>
      <c r="B31" s="56">
        <v>175447438</v>
      </c>
      <c r="C31" s="56" t="s">
        <v>1253</v>
      </c>
      <c r="D31" s="56" t="s">
        <v>1254</v>
      </c>
      <c r="E31" s="56" t="s">
        <v>1047</v>
      </c>
      <c r="F31" s="56">
        <v>8</v>
      </c>
      <c r="G31" s="56">
        <v>13044</v>
      </c>
      <c r="H31" s="56" t="s">
        <v>1048</v>
      </c>
      <c r="I31" s="56" t="s">
        <v>1255</v>
      </c>
      <c r="J31" s="129">
        <v>46236</v>
      </c>
      <c r="K31" s="130">
        <v>0.53472222222222221</v>
      </c>
      <c r="L31" s="130">
        <v>0.5493055555555556</v>
      </c>
      <c r="M31" s="56" t="s">
        <v>1050</v>
      </c>
      <c r="N31" s="129">
        <v>46236</v>
      </c>
      <c r="O31" s="130">
        <v>0.59027777777777779</v>
      </c>
      <c r="P31" s="130">
        <v>0.57986111111111116</v>
      </c>
      <c r="Q31" s="56" t="s">
        <v>1050</v>
      </c>
      <c r="R31" s="56" t="s">
        <v>141</v>
      </c>
      <c r="S31" s="56">
        <v>32</v>
      </c>
      <c r="T31" s="131">
        <v>1.4583333333333393E-2</v>
      </c>
      <c r="U31" s="130">
        <v>-1.041666666666663E-2</v>
      </c>
      <c r="V31" s="56" t="s">
        <v>1051</v>
      </c>
      <c r="W31" s="56" t="s">
        <v>1052</v>
      </c>
      <c r="X31" s="56" t="s">
        <v>1053</v>
      </c>
      <c r="Y31" s="56">
        <v>32</v>
      </c>
      <c r="Z31" s="56" t="s">
        <v>1054</v>
      </c>
      <c r="AA31" s="56" t="s">
        <v>1256</v>
      </c>
      <c r="AB31" s="56" t="s">
        <v>1257</v>
      </c>
      <c r="AC31" s="56" t="s">
        <v>1069</v>
      </c>
      <c r="AD31" s="56" t="s">
        <v>1258</v>
      </c>
      <c r="AE31" s="56" t="s">
        <v>1259</v>
      </c>
      <c r="AF31" s="56" t="s">
        <v>1237</v>
      </c>
      <c r="AG31" s="56" t="s">
        <v>1260</v>
      </c>
      <c r="AH31" s="56"/>
      <c r="AI31" s="56"/>
      <c r="AJ31" s="56"/>
      <c r="AK31" s="56"/>
      <c r="AL31" s="56"/>
      <c r="AM31" s="56"/>
      <c r="AN31" s="56"/>
      <c r="AO31" s="56"/>
      <c r="AP31" s="56"/>
      <c r="AQ31" s="131"/>
      <c r="AR31" s="130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</row>
    <row r="32" spans="1:56" x14ac:dyDescent="0.2">
      <c r="A32" s="56">
        <v>14103106</v>
      </c>
      <c r="B32" s="56">
        <v>175444892</v>
      </c>
      <c r="C32" s="56" t="s">
        <v>1261</v>
      </c>
      <c r="D32" s="56" t="s">
        <v>1117</v>
      </c>
      <c r="E32" s="56" t="s">
        <v>1047</v>
      </c>
      <c r="F32" s="56">
        <v>28</v>
      </c>
      <c r="G32" s="56">
        <v>16733</v>
      </c>
      <c r="H32" s="56" t="s">
        <v>1048</v>
      </c>
      <c r="I32" s="56" t="s">
        <v>1118</v>
      </c>
      <c r="J32" s="129">
        <v>46236</v>
      </c>
      <c r="K32" s="130">
        <v>0.5395833333333333</v>
      </c>
      <c r="L32" s="130">
        <v>0.54305555555555551</v>
      </c>
      <c r="M32" s="56" t="s">
        <v>1050</v>
      </c>
      <c r="N32" s="129">
        <v>46236</v>
      </c>
      <c r="O32" s="130">
        <v>0.60069444444444442</v>
      </c>
      <c r="P32" s="130">
        <v>0.58434027777777775</v>
      </c>
      <c r="Q32" s="56" t="s">
        <v>1050</v>
      </c>
      <c r="R32" s="56" t="s">
        <v>34</v>
      </c>
      <c r="S32" s="56">
        <v>32</v>
      </c>
      <c r="T32" s="131">
        <v>3.4722222222222099E-3</v>
      </c>
      <c r="U32" s="130">
        <v>-1.635416666666667E-2</v>
      </c>
      <c r="V32" s="56" t="s">
        <v>1051</v>
      </c>
      <c r="W32" s="56" t="s">
        <v>1052</v>
      </c>
      <c r="X32" s="56" t="s">
        <v>1053</v>
      </c>
      <c r="Y32" s="56">
        <v>32</v>
      </c>
      <c r="Z32" s="56" t="s">
        <v>1054</v>
      </c>
      <c r="AA32" s="56" t="s">
        <v>1119</v>
      </c>
      <c r="AB32" s="56" t="s">
        <v>1120</v>
      </c>
      <c r="AC32" s="56" t="s">
        <v>1078</v>
      </c>
      <c r="AD32" s="56" t="s">
        <v>1121</v>
      </c>
      <c r="AE32" s="56" t="s">
        <v>1122</v>
      </c>
      <c r="AF32" s="56" t="s">
        <v>1237</v>
      </c>
      <c r="AG32" s="56" t="s">
        <v>1262</v>
      </c>
      <c r="AH32" s="56"/>
      <c r="AI32" s="56"/>
      <c r="AJ32" s="56"/>
      <c r="AK32" s="56"/>
      <c r="AL32" s="56"/>
      <c r="AM32" s="56"/>
      <c r="AN32" s="56"/>
      <c r="AO32" s="56"/>
      <c r="AP32" s="56"/>
      <c r="AQ32" s="131"/>
      <c r="AR32" s="130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</row>
    <row r="33" spans="1:56" x14ac:dyDescent="0.2">
      <c r="A33" s="56">
        <v>14106438</v>
      </c>
      <c r="B33" s="56">
        <v>175445479</v>
      </c>
      <c r="C33" s="56" t="s">
        <v>1263</v>
      </c>
      <c r="D33" s="56" t="s">
        <v>1264</v>
      </c>
      <c r="E33" s="56" t="s">
        <v>1047</v>
      </c>
      <c r="F33" s="56">
        <v>18</v>
      </c>
      <c r="G33" s="56">
        <v>7005</v>
      </c>
      <c r="H33" s="56" t="s">
        <v>1048</v>
      </c>
      <c r="I33" s="56" t="s">
        <v>1200</v>
      </c>
      <c r="J33" s="129">
        <v>46236</v>
      </c>
      <c r="K33" s="130">
        <v>0.54166666666666663</v>
      </c>
      <c r="L33" s="130">
        <v>0.54861111111111116</v>
      </c>
      <c r="M33" s="56" t="s">
        <v>1050</v>
      </c>
      <c r="N33" s="129">
        <v>46236</v>
      </c>
      <c r="O33" s="130">
        <v>0.58333333333333337</v>
      </c>
      <c r="P33" s="130">
        <v>0.58267361111111116</v>
      </c>
      <c r="Q33" s="56" t="s">
        <v>1050</v>
      </c>
      <c r="R33" s="56" t="s">
        <v>51</v>
      </c>
      <c r="S33" s="56">
        <v>32</v>
      </c>
      <c r="T33" s="131">
        <v>6.9444444444445308E-3</v>
      </c>
      <c r="U33" s="130">
        <v>-6.5972222222221433E-4</v>
      </c>
      <c r="V33" s="56" t="s">
        <v>1051</v>
      </c>
      <c r="W33" s="56" t="s">
        <v>1052</v>
      </c>
      <c r="X33" s="56" t="s">
        <v>1053</v>
      </c>
      <c r="Y33" s="56">
        <v>32</v>
      </c>
      <c r="Z33" s="56" t="s">
        <v>1054</v>
      </c>
      <c r="AA33" s="56" t="s">
        <v>1265</v>
      </c>
      <c r="AB33" s="56" t="s">
        <v>1203</v>
      </c>
      <c r="AC33" s="56" t="s">
        <v>1057</v>
      </c>
      <c r="AD33" s="56" t="s">
        <v>1266</v>
      </c>
      <c r="AE33" s="56" t="s">
        <v>1267</v>
      </c>
      <c r="AF33" s="56" t="s">
        <v>1237</v>
      </c>
      <c r="AG33" s="56" t="s">
        <v>1268</v>
      </c>
      <c r="AH33" s="56"/>
      <c r="AI33" s="56"/>
      <c r="AJ33" s="56"/>
      <c r="AK33" s="56"/>
      <c r="AL33" s="56"/>
      <c r="AM33" s="56"/>
      <c r="AN33" s="56"/>
      <c r="AO33" s="56"/>
      <c r="AP33" s="56"/>
      <c r="AQ33" s="131"/>
      <c r="AR33" s="130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</row>
    <row r="34" spans="1:56" x14ac:dyDescent="0.2">
      <c r="A34" s="56">
        <v>14100731</v>
      </c>
      <c r="B34" s="56">
        <v>175446304</v>
      </c>
      <c r="C34" s="56" t="s">
        <v>1269</v>
      </c>
      <c r="D34" s="56" t="s">
        <v>1270</v>
      </c>
      <c r="E34" s="56" t="s">
        <v>1047</v>
      </c>
      <c r="F34" s="56">
        <v>425</v>
      </c>
      <c r="G34" s="56">
        <v>16743</v>
      </c>
      <c r="H34" s="56" t="s">
        <v>1048</v>
      </c>
      <c r="I34" s="56" t="s">
        <v>1075</v>
      </c>
      <c r="J34" s="129">
        <v>46236</v>
      </c>
      <c r="K34" s="130">
        <v>0.54166666666666663</v>
      </c>
      <c r="L34" s="130">
        <v>0.54791666666666672</v>
      </c>
      <c r="M34" s="56" t="s">
        <v>1050</v>
      </c>
      <c r="N34" s="129">
        <v>46236</v>
      </c>
      <c r="O34" s="130">
        <v>0.60069444444444442</v>
      </c>
      <c r="P34" s="130">
        <v>0.58821759259259254</v>
      </c>
      <c r="Q34" s="56" t="s">
        <v>1050</v>
      </c>
      <c r="R34" s="56" t="s">
        <v>1271</v>
      </c>
      <c r="S34" s="56">
        <v>32</v>
      </c>
      <c r="T34" s="131">
        <v>6.2500000000000888E-3</v>
      </c>
      <c r="U34" s="130">
        <v>-1.2476851851851878E-2</v>
      </c>
      <c r="V34" s="56" t="s">
        <v>1051</v>
      </c>
      <c r="W34" s="56" t="s">
        <v>1052</v>
      </c>
      <c r="X34" s="56" t="s">
        <v>1053</v>
      </c>
      <c r="Y34" s="56">
        <v>32</v>
      </c>
      <c r="Z34" s="56" t="s">
        <v>1054</v>
      </c>
      <c r="AA34" s="56" t="s">
        <v>1272</v>
      </c>
      <c r="AB34" s="56" t="s">
        <v>1077</v>
      </c>
      <c r="AC34" s="56" t="s">
        <v>1078</v>
      </c>
      <c r="AD34" s="56" t="s">
        <v>1273</v>
      </c>
      <c r="AE34" s="56" t="s">
        <v>1274</v>
      </c>
      <c r="AF34" s="56" t="s">
        <v>1237</v>
      </c>
      <c r="AG34" s="56" t="s">
        <v>1275</v>
      </c>
      <c r="AH34" s="56"/>
      <c r="AI34" s="56"/>
      <c r="AJ34" s="56"/>
      <c r="AK34" s="56"/>
      <c r="AL34" s="56"/>
      <c r="AM34" s="56"/>
      <c r="AN34" s="56"/>
      <c r="AO34" s="56"/>
      <c r="AP34" s="56"/>
      <c r="AQ34" s="131"/>
      <c r="AR34" s="130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</row>
    <row r="35" spans="1:56" x14ac:dyDescent="0.2">
      <c r="A35" s="56">
        <v>14123334</v>
      </c>
      <c r="B35" s="56">
        <v>175449596</v>
      </c>
      <c r="C35" s="56" t="s">
        <v>1276</v>
      </c>
      <c r="D35" s="56" t="s">
        <v>1277</v>
      </c>
      <c r="E35" s="56" t="s">
        <v>1047</v>
      </c>
      <c r="F35" s="56">
        <v>79</v>
      </c>
      <c r="G35" s="56">
        <v>13409</v>
      </c>
      <c r="H35" s="56" t="s">
        <v>1048</v>
      </c>
      <c r="I35" s="56" t="s">
        <v>1118</v>
      </c>
      <c r="J35" s="129">
        <v>46236</v>
      </c>
      <c r="K35" s="130">
        <v>0.54166666666666663</v>
      </c>
      <c r="L35" s="130">
        <v>0.54513888888888884</v>
      </c>
      <c r="M35" s="56" t="s">
        <v>1050</v>
      </c>
      <c r="N35" s="129">
        <v>46236</v>
      </c>
      <c r="O35" s="130">
        <v>0.60069444444444442</v>
      </c>
      <c r="P35" s="130">
        <v>0.5829050925925926</v>
      </c>
      <c r="Q35" s="56" t="s">
        <v>1050</v>
      </c>
      <c r="R35" s="56" t="s">
        <v>502</v>
      </c>
      <c r="S35" s="56">
        <v>32</v>
      </c>
      <c r="T35" s="131">
        <v>3.4722222222222099E-3</v>
      </c>
      <c r="U35" s="130">
        <v>-1.778935185185182E-2</v>
      </c>
      <c r="V35" s="56" t="s">
        <v>1051</v>
      </c>
      <c r="W35" s="56" t="s">
        <v>1052</v>
      </c>
      <c r="X35" s="56" t="s">
        <v>1053</v>
      </c>
      <c r="Y35" s="56">
        <v>32</v>
      </c>
      <c r="Z35" s="56" t="s">
        <v>1054</v>
      </c>
      <c r="AA35" s="56" t="s">
        <v>1278</v>
      </c>
      <c r="AB35" s="56" t="s">
        <v>1120</v>
      </c>
      <c r="AC35" s="56" t="s">
        <v>1078</v>
      </c>
      <c r="AD35" s="56" t="s">
        <v>1279</v>
      </c>
      <c r="AE35" s="56" t="s">
        <v>1280</v>
      </c>
      <c r="AF35" s="56" t="s">
        <v>1237</v>
      </c>
      <c r="AG35" s="56" t="s">
        <v>1281</v>
      </c>
      <c r="AH35" s="56"/>
      <c r="AI35" s="56"/>
      <c r="AJ35" s="56"/>
      <c r="AK35" s="56"/>
      <c r="AL35" s="56"/>
      <c r="AM35" s="56"/>
      <c r="AN35" s="56"/>
      <c r="AO35" s="56"/>
      <c r="AP35" s="56"/>
      <c r="AQ35" s="131"/>
      <c r="AR35" s="130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</row>
    <row r="36" spans="1:56" x14ac:dyDescent="0.2">
      <c r="A36" s="56">
        <v>14116431</v>
      </c>
      <c r="B36" s="56">
        <v>175495154</v>
      </c>
      <c r="C36" s="56" t="s">
        <v>1282</v>
      </c>
      <c r="D36" s="56" t="s">
        <v>1145</v>
      </c>
      <c r="E36" s="56" t="s">
        <v>1047</v>
      </c>
      <c r="F36" s="56">
        <v>91</v>
      </c>
      <c r="G36" s="56">
        <v>6352</v>
      </c>
      <c r="H36" s="56" t="s">
        <v>1048</v>
      </c>
      <c r="I36" s="56" t="s">
        <v>1118</v>
      </c>
      <c r="J36" s="129">
        <v>46236</v>
      </c>
      <c r="K36" s="130">
        <v>0.54166666666666663</v>
      </c>
      <c r="L36" s="130">
        <v>0.55000000000000004</v>
      </c>
      <c r="M36" s="56" t="s">
        <v>1050</v>
      </c>
      <c r="N36" s="129">
        <v>46236</v>
      </c>
      <c r="O36" s="130">
        <v>0.60069444444444442</v>
      </c>
      <c r="P36" s="130">
        <v>0.58888888888888891</v>
      </c>
      <c r="Q36" s="56" t="s">
        <v>1050</v>
      </c>
      <c r="R36" s="56" t="s">
        <v>1132</v>
      </c>
      <c r="S36" s="56">
        <v>32</v>
      </c>
      <c r="T36" s="131">
        <v>8.3333333333334147E-3</v>
      </c>
      <c r="U36" s="130">
        <v>-1.1805555555555514E-2</v>
      </c>
      <c r="V36" s="56" t="s">
        <v>1051</v>
      </c>
      <c r="W36" s="56" t="s">
        <v>1052</v>
      </c>
      <c r="X36" s="56" t="s">
        <v>1053</v>
      </c>
      <c r="Y36" s="56">
        <v>32</v>
      </c>
      <c r="Z36" s="56" t="s">
        <v>1054</v>
      </c>
      <c r="AA36" s="56" t="s">
        <v>1146</v>
      </c>
      <c r="AB36" s="56" t="s">
        <v>1120</v>
      </c>
      <c r="AC36" s="56" t="s">
        <v>1078</v>
      </c>
      <c r="AD36" s="56" t="s">
        <v>1147</v>
      </c>
      <c r="AE36" s="56" t="s">
        <v>1148</v>
      </c>
      <c r="AF36" s="56" t="s">
        <v>1237</v>
      </c>
      <c r="AG36" s="56" t="s">
        <v>1283</v>
      </c>
      <c r="AH36" s="56"/>
      <c r="AI36" s="56"/>
      <c r="AJ36" s="56"/>
      <c r="AK36" s="56"/>
      <c r="AL36" s="56"/>
      <c r="AM36" s="56"/>
      <c r="AN36" s="56"/>
      <c r="AO36" s="56"/>
      <c r="AP36" s="56"/>
      <c r="AQ36" s="131"/>
      <c r="AR36" s="130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</row>
    <row r="37" spans="1:56" x14ac:dyDescent="0.2">
      <c r="A37" s="56">
        <v>14100718</v>
      </c>
      <c r="B37" s="56">
        <v>175446027</v>
      </c>
      <c r="C37" s="56" t="s">
        <v>1284</v>
      </c>
      <c r="D37" s="56" t="s">
        <v>1285</v>
      </c>
      <c r="E37" s="56" t="s">
        <v>1047</v>
      </c>
      <c r="F37" s="56">
        <v>140</v>
      </c>
      <c r="G37" s="56">
        <v>6782</v>
      </c>
      <c r="H37" s="56" t="s">
        <v>1048</v>
      </c>
      <c r="I37" s="56" t="s">
        <v>1104</v>
      </c>
      <c r="J37" s="129">
        <v>46236</v>
      </c>
      <c r="K37" s="130">
        <v>0.54513888888888884</v>
      </c>
      <c r="L37" s="130">
        <v>0.66597222222222219</v>
      </c>
      <c r="M37" s="56" t="s">
        <v>1050</v>
      </c>
      <c r="N37" s="129">
        <v>46236</v>
      </c>
      <c r="O37" s="130">
        <v>0.60069444444444442</v>
      </c>
      <c r="P37" s="56"/>
      <c r="Q37" s="56" t="s">
        <v>1286</v>
      </c>
      <c r="R37" s="56" t="s">
        <v>8</v>
      </c>
      <c r="S37" s="56">
        <v>32</v>
      </c>
      <c r="T37" s="131">
        <v>0.12083333333333335</v>
      </c>
      <c r="U37" s="130">
        <v>-0.60069444444444442</v>
      </c>
      <c r="V37" s="56" t="s">
        <v>1051</v>
      </c>
      <c r="W37" s="56" t="s">
        <v>1052</v>
      </c>
      <c r="X37" s="56" t="s">
        <v>1053</v>
      </c>
      <c r="Y37" s="56">
        <v>32</v>
      </c>
      <c r="Z37" s="56" t="s">
        <v>1054</v>
      </c>
      <c r="AA37" s="56" t="s">
        <v>1287</v>
      </c>
      <c r="AB37" s="56" t="s">
        <v>1106</v>
      </c>
      <c r="AC37" s="56" t="s">
        <v>1078</v>
      </c>
      <c r="AD37" s="56" t="s">
        <v>1288</v>
      </c>
      <c r="AE37" s="56" t="s">
        <v>1289</v>
      </c>
      <c r="AF37" s="56" t="s">
        <v>1237</v>
      </c>
      <c r="AG37" s="56" t="s">
        <v>1290</v>
      </c>
      <c r="AH37" s="56"/>
      <c r="AI37" s="56"/>
      <c r="AJ37" s="56"/>
      <c r="AK37" s="56"/>
      <c r="AL37" s="56"/>
      <c r="AM37" s="56"/>
      <c r="AN37" s="56"/>
      <c r="AO37" s="56"/>
      <c r="AP37" s="56"/>
      <c r="AQ37" s="131"/>
      <c r="AR37" s="130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</row>
    <row r="38" spans="1:56" x14ac:dyDescent="0.2">
      <c r="A38" s="56">
        <v>14120925</v>
      </c>
      <c r="B38" s="56">
        <v>175446016</v>
      </c>
      <c r="C38" s="56" t="s">
        <v>1291</v>
      </c>
      <c r="D38" s="56" t="s">
        <v>1292</v>
      </c>
      <c r="E38" s="56" t="s">
        <v>1047</v>
      </c>
      <c r="F38" s="56">
        <v>134</v>
      </c>
      <c r="G38" s="56">
        <v>5530</v>
      </c>
      <c r="H38" s="56" t="s">
        <v>1048</v>
      </c>
      <c r="I38" s="56" t="s">
        <v>1104</v>
      </c>
      <c r="J38" s="129">
        <v>46236</v>
      </c>
      <c r="K38" s="130">
        <v>0.55208333333333337</v>
      </c>
      <c r="L38" s="130">
        <v>0.5625</v>
      </c>
      <c r="M38" s="56" t="s">
        <v>1050</v>
      </c>
      <c r="N38" s="129">
        <v>46236</v>
      </c>
      <c r="O38" s="130">
        <v>0.60069444444444442</v>
      </c>
      <c r="P38" s="130">
        <v>0.60166666666666668</v>
      </c>
      <c r="Q38" s="56" t="s">
        <v>1050</v>
      </c>
      <c r="R38" s="56" t="s">
        <v>304</v>
      </c>
      <c r="S38" s="56">
        <v>32</v>
      </c>
      <c r="T38" s="131">
        <v>1.041666666666663E-2</v>
      </c>
      <c r="U38" s="130">
        <v>9.7222222222226318E-4</v>
      </c>
      <c r="V38" s="56" t="s">
        <v>1051</v>
      </c>
      <c r="W38" s="56" t="s">
        <v>1052</v>
      </c>
      <c r="X38" s="56" t="s">
        <v>1053</v>
      </c>
      <c r="Y38" s="56">
        <v>32</v>
      </c>
      <c r="Z38" s="56" t="s">
        <v>1054</v>
      </c>
      <c r="AA38" s="56" t="s">
        <v>1293</v>
      </c>
      <c r="AB38" s="56" t="s">
        <v>1106</v>
      </c>
      <c r="AC38" s="56" t="s">
        <v>1078</v>
      </c>
      <c r="AD38" s="56" t="s">
        <v>1294</v>
      </c>
      <c r="AE38" s="56" t="s">
        <v>1295</v>
      </c>
      <c r="AF38" s="56" t="s">
        <v>1237</v>
      </c>
      <c r="AG38" s="56" t="s">
        <v>1296</v>
      </c>
      <c r="AH38" s="56"/>
      <c r="AI38" s="56"/>
      <c r="AJ38" s="56"/>
      <c r="AK38" s="56"/>
      <c r="AL38" s="56"/>
      <c r="AM38" s="56"/>
      <c r="AN38" s="56"/>
      <c r="AO38" s="56"/>
      <c r="AP38" s="56"/>
      <c r="AQ38" s="131"/>
      <c r="AR38" s="130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</row>
    <row r="39" spans="1:56" x14ac:dyDescent="0.2">
      <c r="A39" s="56">
        <v>14123312</v>
      </c>
      <c r="B39" s="56">
        <v>175449441</v>
      </c>
      <c r="C39" s="56" t="s">
        <v>1297</v>
      </c>
      <c r="D39" s="56" t="s">
        <v>1298</v>
      </c>
      <c r="E39" s="56" t="s">
        <v>1047</v>
      </c>
      <c r="F39" s="56">
        <v>96</v>
      </c>
      <c r="G39" s="56">
        <v>6901</v>
      </c>
      <c r="H39" s="56" t="s">
        <v>1048</v>
      </c>
      <c r="I39" s="56" t="s">
        <v>1172</v>
      </c>
      <c r="J39" s="129">
        <v>46236</v>
      </c>
      <c r="K39" s="130">
        <v>0.5625</v>
      </c>
      <c r="L39" s="130">
        <v>0.58125000000000004</v>
      </c>
      <c r="M39" s="56" t="s">
        <v>1050</v>
      </c>
      <c r="N39" s="129">
        <v>46236</v>
      </c>
      <c r="O39" s="130">
        <v>0.61458333333333337</v>
      </c>
      <c r="P39" s="130">
        <v>0.5992939814814815</v>
      </c>
      <c r="Q39" s="56" t="s">
        <v>1050</v>
      </c>
      <c r="R39" s="56" t="s">
        <v>496</v>
      </c>
      <c r="S39" s="56">
        <v>32</v>
      </c>
      <c r="T39" s="131">
        <v>1.8750000000000044E-2</v>
      </c>
      <c r="U39" s="130">
        <v>-1.5289351851851873E-2</v>
      </c>
      <c r="V39" s="56" t="s">
        <v>1051</v>
      </c>
      <c r="W39" s="56" t="s">
        <v>1052</v>
      </c>
      <c r="X39" s="56" t="s">
        <v>1053</v>
      </c>
      <c r="Y39" s="56">
        <v>32</v>
      </c>
      <c r="Z39" s="56" t="s">
        <v>1054</v>
      </c>
      <c r="AA39" s="56" t="s">
        <v>1299</v>
      </c>
      <c r="AB39" s="56" t="s">
        <v>1174</v>
      </c>
      <c r="AC39" s="56" t="s">
        <v>1057</v>
      </c>
      <c r="AD39" s="56" t="s">
        <v>1300</v>
      </c>
      <c r="AE39" s="56" t="s">
        <v>1301</v>
      </c>
      <c r="AF39" s="56" t="s">
        <v>1237</v>
      </c>
      <c r="AG39" s="56" t="s">
        <v>1302</v>
      </c>
      <c r="AH39" s="56"/>
      <c r="AI39" s="56"/>
      <c r="AJ39" s="56"/>
      <c r="AK39" s="56"/>
      <c r="AL39" s="56"/>
      <c r="AM39" s="56"/>
      <c r="AN39" s="56"/>
      <c r="AO39" s="56"/>
      <c r="AP39" s="56"/>
      <c r="AQ39" s="131"/>
      <c r="AR39" s="130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</row>
    <row r="40" spans="1:56" x14ac:dyDescent="0.2">
      <c r="A40" s="56">
        <v>14118625</v>
      </c>
      <c r="B40" s="56">
        <v>175447630</v>
      </c>
      <c r="C40" s="56" t="s">
        <v>1303</v>
      </c>
      <c r="D40" s="56" t="s">
        <v>1046</v>
      </c>
      <c r="E40" s="56" t="s">
        <v>1047</v>
      </c>
      <c r="F40" s="56">
        <v>10</v>
      </c>
      <c r="G40" s="56">
        <v>13294</v>
      </c>
      <c r="H40" s="56" t="s">
        <v>1048</v>
      </c>
      <c r="I40" s="56" t="s">
        <v>1049</v>
      </c>
      <c r="J40" s="129">
        <v>46236</v>
      </c>
      <c r="K40" s="130">
        <v>0.66319444444444442</v>
      </c>
      <c r="L40" s="130">
        <v>0.66736111111111107</v>
      </c>
      <c r="M40" s="56" t="s">
        <v>1050</v>
      </c>
      <c r="N40" s="129">
        <v>46236</v>
      </c>
      <c r="O40" s="130">
        <v>0.76041666666666663</v>
      </c>
      <c r="P40" s="130">
        <v>0.73696759259259259</v>
      </c>
      <c r="Q40" s="56" t="s">
        <v>1050</v>
      </c>
      <c r="R40" s="56" t="s">
        <v>422</v>
      </c>
      <c r="S40" s="56">
        <v>32</v>
      </c>
      <c r="T40" s="131">
        <v>4.1666666666666519E-3</v>
      </c>
      <c r="U40" s="130">
        <v>-2.3449074074074039E-2</v>
      </c>
      <c r="V40" s="56" t="s">
        <v>1051</v>
      </c>
      <c r="W40" s="56" t="s">
        <v>1052</v>
      </c>
      <c r="X40" s="56" t="s">
        <v>1053</v>
      </c>
      <c r="Y40" s="56">
        <v>32</v>
      </c>
      <c r="Z40" s="56" t="s">
        <v>1054</v>
      </c>
      <c r="AA40" s="56" t="s">
        <v>1055</v>
      </c>
      <c r="AB40" s="56" t="s">
        <v>1056</v>
      </c>
      <c r="AC40" s="56" t="s">
        <v>1057</v>
      </c>
      <c r="AD40" s="56" t="s">
        <v>1058</v>
      </c>
      <c r="AE40" s="56" t="s">
        <v>1059</v>
      </c>
      <c r="AF40" s="56" t="s">
        <v>1237</v>
      </c>
      <c r="AG40" s="56" t="s">
        <v>1304</v>
      </c>
      <c r="AH40" s="56"/>
      <c r="AI40" s="56"/>
      <c r="AJ40" s="56"/>
      <c r="AK40" s="56"/>
      <c r="AL40" s="56"/>
      <c r="AM40" s="56"/>
      <c r="AN40" s="56"/>
      <c r="AO40" s="56"/>
      <c r="AP40" s="56"/>
      <c r="AQ40" s="131"/>
      <c r="AR40" s="130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</row>
    <row r="41" spans="1:56" x14ac:dyDescent="0.2">
      <c r="A41" s="56">
        <v>14123473</v>
      </c>
      <c r="B41" s="56">
        <v>175449753</v>
      </c>
      <c r="C41" s="56" t="s">
        <v>1305</v>
      </c>
      <c r="D41" s="56" t="s">
        <v>1111</v>
      </c>
      <c r="E41" s="56" t="s">
        <v>1047</v>
      </c>
      <c r="F41" s="56">
        <v>19</v>
      </c>
      <c r="G41" s="56">
        <v>6906</v>
      </c>
      <c r="H41" s="56" t="s">
        <v>1048</v>
      </c>
      <c r="I41" s="56" t="s">
        <v>1090</v>
      </c>
      <c r="J41" s="129">
        <v>46236</v>
      </c>
      <c r="K41" s="130">
        <v>0.68402777777777779</v>
      </c>
      <c r="L41" s="130">
        <v>0.6875</v>
      </c>
      <c r="M41" s="56" t="s">
        <v>1050</v>
      </c>
      <c r="N41" s="129">
        <v>46236</v>
      </c>
      <c r="O41" s="130">
        <v>0.76736111111111116</v>
      </c>
      <c r="P41" s="130">
        <v>0.73140046296296302</v>
      </c>
      <c r="Q41" s="56" t="s">
        <v>1050</v>
      </c>
      <c r="R41" s="56" t="s">
        <v>514</v>
      </c>
      <c r="S41" s="56">
        <v>32</v>
      </c>
      <c r="T41" s="131">
        <v>3.4722222222222099E-3</v>
      </c>
      <c r="U41" s="130">
        <v>-3.5960648148148144E-2</v>
      </c>
      <c r="V41" s="56" t="s">
        <v>1051</v>
      </c>
      <c r="W41" s="56" t="s">
        <v>1052</v>
      </c>
      <c r="X41" s="56" t="s">
        <v>1053</v>
      </c>
      <c r="Y41" s="56">
        <v>32</v>
      </c>
      <c r="Z41" s="56" t="s">
        <v>1054</v>
      </c>
      <c r="AA41" s="56" t="s">
        <v>1112</v>
      </c>
      <c r="AB41" s="56" t="s">
        <v>1092</v>
      </c>
      <c r="AC41" s="56" t="s">
        <v>1078</v>
      </c>
      <c r="AD41" s="56" t="s">
        <v>1113</v>
      </c>
      <c r="AE41" s="56" t="s">
        <v>1114</v>
      </c>
      <c r="AF41" s="56" t="s">
        <v>1237</v>
      </c>
      <c r="AG41" s="56" t="s">
        <v>1306</v>
      </c>
      <c r="AH41" s="56"/>
      <c r="AI41" s="56"/>
      <c r="AJ41" s="56"/>
      <c r="AK41" s="56"/>
      <c r="AL41" s="56"/>
      <c r="AM41" s="56"/>
      <c r="AN41" s="56"/>
      <c r="AO41" s="56"/>
      <c r="AP41" s="56"/>
      <c r="AQ41" s="131"/>
      <c r="AR41" s="130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</row>
    <row r="42" spans="1:56" x14ac:dyDescent="0.2">
      <c r="A42" s="56">
        <v>14123462</v>
      </c>
      <c r="B42" s="56">
        <v>175449797</v>
      </c>
      <c r="C42" s="56" t="s">
        <v>1307</v>
      </c>
      <c r="D42" s="56" t="s">
        <v>1308</v>
      </c>
      <c r="E42" s="56" t="s">
        <v>1047</v>
      </c>
      <c r="F42" s="56">
        <v>41</v>
      </c>
      <c r="G42" s="56">
        <v>4778</v>
      </c>
      <c r="H42" s="56" t="s">
        <v>1048</v>
      </c>
      <c r="I42" s="56" t="s">
        <v>1090</v>
      </c>
      <c r="J42" s="129">
        <v>46236</v>
      </c>
      <c r="K42" s="130">
        <v>0.68402777777777779</v>
      </c>
      <c r="L42" s="130">
        <v>0.6875</v>
      </c>
      <c r="M42" s="56" t="s">
        <v>1050</v>
      </c>
      <c r="N42" s="129">
        <v>46236</v>
      </c>
      <c r="O42" s="130">
        <v>0.76736111111111116</v>
      </c>
      <c r="P42" s="130">
        <v>0.7368055555555556</v>
      </c>
      <c r="Q42" s="56" t="s">
        <v>1050</v>
      </c>
      <c r="R42" s="56" t="s">
        <v>517</v>
      </c>
      <c r="S42" s="56">
        <v>32</v>
      </c>
      <c r="T42" s="131">
        <v>3.4722222222222099E-3</v>
      </c>
      <c r="U42" s="130">
        <v>-3.0555555555555558E-2</v>
      </c>
      <c r="V42" s="56" t="s">
        <v>1051</v>
      </c>
      <c r="W42" s="56" t="s">
        <v>1052</v>
      </c>
      <c r="X42" s="56" t="s">
        <v>1053</v>
      </c>
      <c r="Y42" s="56">
        <v>32</v>
      </c>
      <c r="Z42" s="56" t="s">
        <v>1054</v>
      </c>
      <c r="AA42" s="56" t="s">
        <v>1309</v>
      </c>
      <c r="AB42" s="56" t="s">
        <v>1092</v>
      </c>
      <c r="AC42" s="56" t="s">
        <v>1078</v>
      </c>
      <c r="AD42" s="56" t="s">
        <v>1310</v>
      </c>
      <c r="AE42" s="56" t="s">
        <v>1311</v>
      </c>
      <c r="AF42" s="56" t="s">
        <v>1237</v>
      </c>
      <c r="AG42" s="56" t="s">
        <v>1312</v>
      </c>
      <c r="AH42" s="56"/>
      <c r="AI42" s="56"/>
      <c r="AJ42" s="56"/>
      <c r="AK42" s="56"/>
      <c r="AL42" s="56"/>
      <c r="AM42" s="56"/>
      <c r="AN42" s="56"/>
      <c r="AO42" s="56"/>
      <c r="AP42" s="56"/>
      <c r="AQ42" s="131"/>
      <c r="AR42" s="130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</row>
    <row r="43" spans="1:56" x14ac:dyDescent="0.2">
      <c r="A43" s="56">
        <v>14123004</v>
      </c>
      <c r="B43" s="56">
        <v>175449805</v>
      </c>
      <c r="C43" s="56" t="s">
        <v>1313</v>
      </c>
      <c r="D43" s="56" t="s">
        <v>1125</v>
      </c>
      <c r="E43" s="56" t="s">
        <v>1047</v>
      </c>
      <c r="F43" s="56">
        <v>45</v>
      </c>
      <c r="G43" s="56">
        <v>4875</v>
      </c>
      <c r="H43" s="56" t="s">
        <v>1048</v>
      </c>
      <c r="I43" s="56" t="s">
        <v>1090</v>
      </c>
      <c r="J43" s="129">
        <v>46236</v>
      </c>
      <c r="K43" s="130">
        <v>0.70833333333333337</v>
      </c>
      <c r="L43" s="130">
        <v>0.71250000000000002</v>
      </c>
      <c r="M43" s="56" t="s">
        <v>1050</v>
      </c>
      <c r="N43" s="129">
        <v>46236</v>
      </c>
      <c r="O43" s="130">
        <v>0.76736111111111116</v>
      </c>
      <c r="P43" s="130">
        <v>0.75369212962962961</v>
      </c>
      <c r="Q43" s="56" t="s">
        <v>1050</v>
      </c>
      <c r="R43" s="56" t="s">
        <v>468</v>
      </c>
      <c r="S43" s="56">
        <v>32</v>
      </c>
      <c r="T43" s="131">
        <v>4.1666666666666519E-3</v>
      </c>
      <c r="U43" s="130">
        <v>-1.3668981481481546E-2</v>
      </c>
      <c r="V43" s="56" t="s">
        <v>1051</v>
      </c>
      <c r="W43" s="56" t="s">
        <v>1052</v>
      </c>
      <c r="X43" s="56" t="s">
        <v>1053</v>
      </c>
      <c r="Y43" s="56">
        <v>32</v>
      </c>
      <c r="Z43" s="56" t="s">
        <v>1054</v>
      </c>
      <c r="AA43" s="56" t="s">
        <v>1126</v>
      </c>
      <c r="AB43" s="56" t="s">
        <v>1092</v>
      </c>
      <c r="AC43" s="56" t="s">
        <v>1078</v>
      </c>
      <c r="AD43" s="56" t="s">
        <v>1127</v>
      </c>
      <c r="AE43" s="56" t="s">
        <v>1128</v>
      </c>
      <c r="AF43" s="56" t="s">
        <v>1237</v>
      </c>
      <c r="AG43" s="56" t="s">
        <v>1314</v>
      </c>
      <c r="AH43" s="56"/>
      <c r="AI43" s="56"/>
      <c r="AJ43" s="56"/>
      <c r="AK43" s="56"/>
      <c r="AL43" s="56"/>
      <c r="AM43" s="56"/>
      <c r="AN43" s="56"/>
      <c r="AO43" s="56"/>
      <c r="AP43" s="56"/>
      <c r="AQ43" s="131"/>
      <c r="AR43" s="130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</row>
    <row r="44" spans="1:56" x14ac:dyDescent="0.2">
      <c r="A44" s="56">
        <v>14107217</v>
      </c>
      <c r="B44" s="56">
        <v>175449869</v>
      </c>
      <c r="C44" s="56" t="s">
        <v>1315</v>
      </c>
      <c r="D44" s="56" t="s">
        <v>1316</v>
      </c>
      <c r="E44" s="56" t="s">
        <v>1047</v>
      </c>
      <c r="F44" s="56">
        <v>79</v>
      </c>
      <c r="G44" s="56">
        <v>6885</v>
      </c>
      <c r="H44" s="56" t="s">
        <v>1048</v>
      </c>
      <c r="I44" s="56" t="s">
        <v>1090</v>
      </c>
      <c r="J44" s="129">
        <v>46236</v>
      </c>
      <c r="K44" s="130">
        <v>0.70833333333333337</v>
      </c>
      <c r="L44" s="130">
        <v>0.71180555555555558</v>
      </c>
      <c r="M44" s="56" t="s">
        <v>1050</v>
      </c>
      <c r="N44" s="129">
        <v>46236</v>
      </c>
      <c r="O44" s="130">
        <v>0.76736111111111116</v>
      </c>
      <c r="P44" s="130">
        <v>0.74537037037037035</v>
      </c>
      <c r="Q44" s="56" t="s">
        <v>1050</v>
      </c>
      <c r="R44" s="56" t="s">
        <v>59</v>
      </c>
      <c r="S44" s="56">
        <v>32</v>
      </c>
      <c r="T44" s="131">
        <v>3.4722222222222099E-3</v>
      </c>
      <c r="U44" s="130">
        <v>-2.1990740740740811E-2</v>
      </c>
      <c r="V44" s="56" t="s">
        <v>1051</v>
      </c>
      <c r="W44" s="56" t="s">
        <v>1052</v>
      </c>
      <c r="X44" s="56" t="s">
        <v>1053</v>
      </c>
      <c r="Y44" s="56">
        <v>32</v>
      </c>
      <c r="Z44" s="56" t="s">
        <v>1054</v>
      </c>
      <c r="AA44" s="56" t="s">
        <v>1317</v>
      </c>
      <c r="AB44" s="56" t="s">
        <v>1092</v>
      </c>
      <c r="AC44" s="56" t="s">
        <v>1078</v>
      </c>
      <c r="AD44" s="56" t="s">
        <v>1318</v>
      </c>
      <c r="AE44" s="56" t="s">
        <v>1319</v>
      </c>
      <c r="AF44" s="56" t="s">
        <v>1237</v>
      </c>
      <c r="AG44" s="56" t="s">
        <v>1320</v>
      </c>
      <c r="AH44" s="56"/>
      <c r="AI44" s="56"/>
      <c r="AJ44" s="56"/>
      <c r="AK44" s="56"/>
      <c r="AL44" s="56"/>
      <c r="AM44" s="56"/>
      <c r="AN44" s="56"/>
      <c r="AO44" s="56"/>
      <c r="AP44" s="56"/>
      <c r="AQ44" s="131"/>
      <c r="AR44" s="130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</row>
    <row r="45" spans="1:56" x14ac:dyDescent="0.2">
      <c r="A45" s="56">
        <v>14102875</v>
      </c>
      <c r="B45" s="56">
        <v>175449801</v>
      </c>
      <c r="C45" s="56" t="s">
        <v>1321</v>
      </c>
      <c r="D45" s="56" t="s">
        <v>1322</v>
      </c>
      <c r="E45" s="56" t="s">
        <v>1047</v>
      </c>
      <c r="F45" s="56">
        <v>43</v>
      </c>
      <c r="G45" s="56">
        <v>4431</v>
      </c>
      <c r="H45" s="56" t="s">
        <v>1048</v>
      </c>
      <c r="I45" s="56" t="s">
        <v>1090</v>
      </c>
      <c r="J45" s="129">
        <v>46236</v>
      </c>
      <c r="K45" s="130">
        <v>0.71180555555555558</v>
      </c>
      <c r="L45" s="130">
        <v>0.71597222222222223</v>
      </c>
      <c r="M45" s="56" t="s">
        <v>1050</v>
      </c>
      <c r="N45" s="129">
        <v>46236</v>
      </c>
      <c r="O45" s="130">
        <v>0.76736111111111116</v>
      </c>
      <c r="P45" s="130">
        <v>0.75511574074074073</v>
      </c>
      <c r="Q45" s="56" t="s">
        <v>1050</v>
      </c>
      <c r="R45" s="56" t="s">
        <v>1323</v>
      </c>
      <c r="S45" s="56">
        <v>32</v>
      </c>
      <c r="T45" s="131">
        <v>4.1666666666666519E-3</v>
      </c>
      <c r="U45" s="130">
        <v>-1.2245370370370434E-2</v>
      </c>
      <c r="V45" s="56" t="s">
        <v>1051</v>
      </c>
      <c r="W45" s="56" t="s">
        <v>1052</v>
      </c>
      <c r="X45" s="56" t="s">
        <v>1053</v>
      </c>
      <c r="Y45" s="56">
        <v>32</v>
      </c>
      <c r="Z45" s="56" t="s">
        <v>1054</v>
      </c>
      <c r="AA45" s="56" t="s">
        <v>1324</v>
      </c>
      <c r="AB45" s="56" t="s">
        <v>1092</v>
      </c>
      <c r="AC45" s="56" t="s">
        <v>1078</v>
      </c>
      <c r="AD45" s="56" t="s">
        <v>1325</v>
      </c>
      <c r="AE45" s="56" t="s">
        <v>1326</v>
      </c>
      <c r="AF45" s="56" t="s">
        <v>1237</v>
      </c>
      <c r="AG45" s="56" t="s">
        <v>1327</v>
      </c>
      <c r="AH45" s="56"/>
      <c r="AI45" s="56"/>
      <c r="AJ45" s="56"/>
      <c r="AK45" s="56"/>
      <c r="AL45" s="56"/>
      <c r="AM45" s="56"/>
      <c r="AN45" s="56"/>
      <c r="AO45" s="56"/>
      <c r="AP45" s="56"/>
      <c r="AQ45" s="131"/>
      <c r="AR45" s="130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</row>
    <row r="46" spans="1:56" x14ac:dyDescent="0.2">
      <c r="A46" s="56">
        <v>14122113</v>
      </c>
      <c r="B46" s="56">
        <v>175450174</v>
      </c>
      <c r="C46" s="56" t="s">
        <v>1328</v>
      </c>
      <c r="D46" s="56" t="s">
        <v>1329</v>
      </c>
      <c r="E46" s="56" t="s">
        <v>1047</v>
      </c>
      <c r="F46" s="56">
        <v>95</v>
      </c>
      <c r="G46" s="56">
        <v>4534</v>
      </c>
      <c r="H46" s="56" t="s">
        <v>1048</v>
      </c>
      <c r="I46" s="56" t="s">
        <v>1090</v>
      </c>
      <c r="J46" s="129">
        <v>46236</v>
      </c>
      <c r="K46" s="130">
        <v>0.72222222222222221</v>
      </c>
      <c r="L46" s="130">
        <v>0.72847222222222219</v>
      </c>
      <c r="M46" s="56" t="s">
        <v>1050</v>
      </c>
      <c r="N46" s="129">
        <v>46236</v>
      </c>
      <c r="O46" s="130">
        <v>0.76736111111111116</v>
      </c>
      <c r="P46" s="130">
        <v>0.74930555555555556</v>
      </c>
      <c r="Q46" s="56" t="s">
        <v>1050</v>
      </c>
      <c r="R46" s="56" t="s">
        <v>1330</v>
      </c>
      <c r="S46" s="56">
        <v>32</v>
      </c>
      <c r="T46" s="131">
        <v>6.2499999999999778E-3</v>
      </c>
      <c r="U46" s="130">
        <v>-1.8055555555555602E-2</v>
      </c>
      <c r="V46" s="56" t="s">
        <v>1051</v>
      </c>
      <c r="W46" s="56" t="s">
        <v>1052</v>
      </c>
      <c r="X46" s="56" t="s">
        <v>1053</v>
      </c>
      <c r="Y46" s="56">
        <v>32</v>
      </c>
      <c r="Z46" s="56" t="s">
        <v>1054</v>
      </c>
      <c r="AA46" s="56" t="s">
        <v>1331</v>
      </c>
      <c r="AB46" s="56" t="s">
        <v>1092</v>
      </c>
      <c r="AC46" s="56" t="s">
        <v>1078</v>
      </c>
      <c r="AD46" s="56" t="s">
        <v>1332</v>
      </c>
      <c r="AE46" s="56" t="s">
        <v>1333</v>
      </c>
      <c r="AF46" s="56" t="s">
        <v>1237</v>
      </c>
      <c r="AG46" s="56" t="s">
        <v>1334</v>
      </c>
      <c r="AH46" s="56"/>
      <c r="AI46" s="56"/>
      <c r="AJ46" s="56"/>
      <c r="AK46" s="56"/>
      <c r="AL46" s="56"/>
      <c r="AM46" s="56"/>
      <c r="AN46" s="56"/>
      <c r="AO46" s="56"/>
      <c r="AP46" s="56"/>
      <c r="AQ46" s="131"/>
      <c r="AR46" s="130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</row>
    <row r="47" spans="1:56" x14ac:dyDescent="0.2">
      <c r="A47" s="56">
        <v>14100718</v>
      </c>
      <c r="B47" s="56">
        <v>175446028</v>
      </c>
      <c r="C47" s="56" t="s">
        <v>1335</v>
      </c>
      <c r="D47" s="56" t="s">
        <v>1285</v>
      </c>
      <c r="E47" s="56" t="s">
        <v>1047</v>
      </c>
      <c r="F47" s="56">
        <v>140</v>
      </c>
      <c r="G47" s="56">
        <v>6782</v>
      </c>
      <c r="H47" s="56" t="s">
        <v>1048</v>
      </c>
      <c r="I47" s="56" t="s">
        <v>1104</v>
      </c>
      <c r="J47" s="129">
        <v>46236</v>
      </c>
      <c r="K47" s="130">
        <v>0.86111111111111116</v>
      </c>
      <c r="L47" s="130">
        <v>0.86458333333333337</v>
      </c>
      <c r="M47" s="56" t="s">
        <v>1050</v>
      </c>
      <c r="N47" s="129">
        <v>46236</v>
      </c>
      <c r="O47" s="130">
        <v>0.93402777777777779</v>
      </c>
      <c r="P47" s="130">
        <v>0.92083333333333328</v>
      </c>
      <c r="Q47" s="56" t="s">
        <v>1050</v>
      </c>
      <c r="R47" s="56" t="s">
        <v>8</v>
      </c>
      <c r="S47" s="56">
        <v>32</v>
      </c>
      <c r="T47" s="131">
        <v>3.4722222222222099E-3</v>
      </c>
      <c r="U47" s="130">
        <v>-1.3194444444444509E-2</v>
      </c>
      <c r="V47" s="56" t="s">
        <v>1051</v>
      </c>
      <c r="W47" s="56" t="s">
        <v>1052</v>
      </c>
      <c r="X47" s="56" t="s">
        <v>1053</v>
      </c>
      <c r="Y47" s="56">
        <v>32</v>
      </c>
      <c r="Z47" s="56" t="s">
        <v>1054</v>
      </c>
      <c r="AA47" s="56" t="s">
        <v>1287</v>
      </c>
      <c r="AB47" s="56" t="s">
        <v>1106</v>
      </c>
      <c r="AC47" s="56" t="s">
        <v>1078</v>
      </c>
      <c r="AD47" s="56" t="s">
        <v>1288</v>
      </c>
      <c r="AE47" s="56" t="s">
        <v>1289</v>
      </c>
      <c r="AF47" s="56" t="s">
        <v>1336</v>
      </c>
      <c r="AG47" s="56" t="s">
        <v>1337</v>
      </c>
      <c r="AH47" s="56"/>
      <c r="AI47" s="56"/>
      <c r="AJ47" s="56"/>
      <c r="AK47" s="56"/>
      <c r="AL47" s="56"/>
      <c r="AM47" s="56"/>
      <c r="AN47" s="56"/>
      <c r="AO47" s="56"/>
      <c r="AP47" s="56"/>
      <c r="AQ47" s="131"/>
      <c r="AR47" s="130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</row>
    <row r="48" spans="1:56" x14ac:dyDescent="0.2">
      <c r="A48" s="56">
        <v>14103183</v>
      </c>
      <c r="B48" s="56">
        <v>175443414</v>
      </c>
      <c r="C48" s="56" t="s">
        <v>1338</v>
      </c>
      <c r="D48" s="56" t="s">
        <v>1339</v>
      </c>
      <c r="E48" s="56" t="s">
        <v>1047</v>
      </c>
      <c r="F48" s="56">
        <v>1</v>
      </c>
      <c r="G48" s="56">
        <v>15313</v>
      </c>
      <c r="H48" s="56" t="s">
        <v>1048</v>
      </c>
      <c r="I48" s="56" t="s">
        <v>1340</v>
      </c>
      <c r="J48" s="129">
        <v>46236</v>
      </c>
      <c r="K48" s="130">
        <v>0.86805555555555558</v>
      </c>
      <c r="L48" s="130">
        <v>0.87152777777777779</v>
      </c>
      <c r="M48" s="56" t="s">
        <v>1050</v>
      </c>
      <c r="N48" s="129">
        <v>46236</v>
      </c>
      <c r="O48" s="130">
        <v>0.88888888888888884</v>
      </c>
      <c r="P48" s="130">
        <v>0.88263888888888886</v>
      </c>
      <c r="Q48" s="56" t="s">
        <v>1050</v>
      </c>
      <c r="R48" s="56" t="s">
        <v>35</v>
      </c>
      <c r="S48" s="56">
        <v>32</v>
      </c>
      <c r="T48" s="131">
        <v>3.4722222222222099E-3</v>
      </c>
      <c r="U48" s="130">
        <v>-6.2499999999999778E-3</v>
      </c>
      <c r="V48" s="56" t="s">
        <v>1051</v>
      </c>
      <c r="W48" s="56" t="s">
        <v>1052</v>
      </c>
      <c r="X48" s="56" t="s">
        <v>1053</v>
      </c>
      <c r="Y48" s="56">
        <v>32</v>
      </c>
      <c r="Z48" s="56" t="s">
        <v>1054</v>
      </c>
      <c r="AA48" s="56" t="s">
        <v>1341</v>
      </c>
      <c r="AB48" s="56" t="s">
        <v>1342</v>
      </c>
      <c r="AC48" s="56" t="s">
        <v>1069</v>
      </c>
      <c r="AD48" s="56" t="s">
        <v>1343</v>
      </c>
      <c r="AE48" s="56" t="s">
        <v>1344</v>
      </c>
      <c r="AF48" s="56" t="s">
        <v>1336</v>
      </c>
      <c r="AG48" s="56" t="s">
        <v>1345</v>
      </c>
      <c r="AH48" s="56"/>
      <c r="AI48" s="56"/>
      <c r="AJ48" s="56"/>
      <c r="AK48" s="56"/>
      <c r="AL48" s="56"/>
      <c r="AM48" s="56"/>
      <c r="AN48" s="56"/>
      <c r="AO48" s="56"/>
      <c r="AP48" s="56"/>
      <c r="AQ48" s="131"/>
      <c r="AR48" s="130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</row>
    <row r="49" spans="1:56" x14ac:dyDescent="0.2">
      <c r="A49" s="56">
        <v>14122320</v>
      </c>
      <c r="B49" s="56">
        <v>175444950</v>
      </c>
      <c r="C49" s="56" t="s">
        <v>1346</v>
      </c>
      <c r="D49" s="56" t="s">
        <v>1347</v>
      </c>
      <c r="E49" s="56" t="s">
        <v>1047</v>
      </c>
      <c r="F49" s="56">
        <v>42</v>
      </c>
      <c r="G49" s="56">
        <v>6983</v>
      </c>
      <c r="H49" s="56" t="s">
        <v>1048</v>
      </c>
      <c r="I49" s="56" t="s">
        <v>1118</v>
      </c>
      <c r="J49" s="129">
        <v>46236</v>
      </c>
      <c r="K49" s="130">
        <v>0.86805555555555558</v>
      </c>
      <c r="L49" s="130">
        <v>0.9868055555555556</v>
      </c>
      <c r="M49" s="56" t="s">
        <v>1050</v>
      </c>
      <c r="N49" s="129">
        <v>46236</v>
      </c>
      <c r="O49" s="130">
        <v>0.93402777777777779</v>
      </c>
      <c r="P49" s="56"/>
      <c r="Q49" s="56" t="s">
        <v>1286</v>
      </c>
      <c r="R49" s="56" t="s">
        <v>405</v>
      </c>
      <c r="S49" s="56">
        <v>32</v>
      </c>
      <c r="T49" s="131">
        <v>0.11875000000000002</v>
      </c>
      <c r="U49" s="130">
        <v>-0.93402777777777779</v>
      </c>
      <c r="V49" s="56" t="s">
        <v>1051</v>
      </c>
      <c r="W49" s="56" t="s">
        <v>1052</v>
      </c>
      <c r="X49" s="56" t="s">
        <v>1053</v>
      </c>
      <c r="Y49" s="56">
        <v>32</v>
      </c>
      <c r="Z49" s="56" t="s">
        <v>1054</v>
      </c>
      <c r="AA49" s="56" t="s">
        <v>1348</v>
      </c>
      <c r="AB49" s="56" t="s">
        <v>1120</v>
      </c>
      <c r="AC49" s="56" t="s">
        <v>1078</v>
      </c>
      <c r="AD49" s="56" t="s">
        <v>1349</v>
      </c>
      <c r="AE49" s="56" t="s">
        <v>1350</v>
      </c>
      <c r="AF49" s="56" t="s">
        <v>1336</v>
      </c>
      <c r="AG49" s="56" t="s">
        <v>1351</v>
      </c>
      <c r="AH49" s="56"/>
      <c r="AI49" s="56"/>
      <c r="AJ49" s="56"/>
      <c r="AK49" s="56"/>
      <c r="AL49" s="56"/>
      <c r="AM49" s="56"/>
      <c r="AN49" s="56"/>
      <c r="AO49" s="56"/>
      <c r="AP49" s="56"/>
      <c r="AQ49" s="131"/>
      <c r="AR49" s="130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</row>
    <row r="50" spans="1:56" x14ac:dyDescent="0.2">
      <c r="A50" s="56">
        <v>14103106</v>
      </c>
      <c r="B50" s="56">
        <v>175444893</v>
      </c>
      <c r="C50" s="56" t="s">
        <v>1352</v>
      </c>
      <c r="D50" s="56" t="s">
        <v>1117</v>
      </c>
      <c r="E50" s="56" t="s">
        <v>1047</v>
      </c>
      <c r="F50" s="56">
        <v>28</v>
      </c>
      <c r="G50" s="56">
        <v>16733</v>
      </c>
      <c r="H50" s="56" t="s">
        <v>1048</v>
      </c>
      <c r="I50" s="56" t="s">
        <v>1118</v>
      </c>
      <c r="J50" s="129">
        <v>46236</v>
      </c>
      <c r="K50" s="130">
        <v>0.87152777777777779</v>
      </c>
      <c r="L50" s="130">
        <v>0.875</v>
      </c>
      <c r="M50" s="56" t="s">
        <v>1050</v>
      </c>
      <c r="N50" s="129">
        <v>46236</v>
      </c>
      <c r="O50" s="130">
        <v>0.93402777777777779</v>
      </c>
      <c r="P50" s="130">
        <v>0.92291666666666672</v>
      </c>
      <c r="Q50" s="56" t="s">
        <v>1050</v>
      </c>
      <c r="R50" s="56" t="s">
        <v>34</v>
      </c>
      <c r="S50" s="56">
        <v>32</v>
      </c>
      <c r="T50" s="131">
        <v>3.4722222222222099E-3</v>
      </c>
      <c r="U50" s="130">
        <v>-1.1111111111111072E-2</v>
      </c>
      <c r="V50" s="56" t="s">
        <v>1051</v>
      </c>
      <c r="W50" s="56" t="s">
        <v>1052</v>
      </c>
      <c r="X50" s="56" t="s">
        <v>1053</v>
      </c>
      <c r="Y50" s="56">
        <v>32</v>
      </c>
      <c r="Z50" s="56" t="s">
        <v>1054</v>
      </c>
      <c r="AA50" s="56" t="s">
        <v>1119</v>
      </c>
      <c r="AB50" s="56" t="s">
        <v>1120</v>
      </c>
      <c r="AC50" s="56" t="s">
        <v>1078</v>
      </c>
      <c r="AD50" s="56" t="s">
        <v>1121</v>
      </c>
      <c r="AE50" s="56" t="s">
        <v>1122</v>
      </c>
      <c r="AF50" s="56" t="s">
        <v>1336</v>
      </c>
      <c r="AG50" s="56" t="s">
        <v>1353</v>
      </c>
      <c r="AH50" s="56"/>
      <c r="AI50" s="56"/>
      <c r="AJ50" s="56"/>
      <c r="AK50" s="56"/>
      <c r="AL50" s="56"/>
      <c r="AM50" s="56"/>
      <c r="AN50" s="56"/>
      <c r="AO50" s="56"/>
      <c r="AP50" s="56"/>
      <c r="AQ50" s="131"/>
      <c r="AR50" s="130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</row>
    <row r="51" spans="1:56" x14ac:dyDescent="0.2">
      <c r="A51" s="56">
        <v>14119057</v>
      </c>
      <c r="B51" s="56">
        <v>175495155</v>
      </c>
      <c r="C51" s="56" t="s">
        <v>1354</v>
      </c>
      <c r="D51" s="56" t="s">
        <v>1145</v>
      </c>
      <c r="E51" s="56" t="s">
        <v>1047</v>
      </c>
      <c r="F51" s="56">
        <v>91</v>
      </c>
      <c r="G51" s="56">
        <v>6352</v>
      </c>
      <c r="H51" s="56" t="s">
        <v>1048</v>
      </c>
      <c r="I51" s="56" t="s">
        <v>1118</v>
      </c>
      <c r="J51" s="129">
        <v>46236</v>
      </c>
      <c r="K51" s="130">
        <v>0.87847222222222221</v>
      </c>
      <c r="L51" s="130">
        <v>0.90138888888888891</v>
      </c>
      <c r="M51" s="56" t="s">
        <v>1050</v>
      </c>
      <c r="N51" s="129">
        <v>46236</v>
      </c>
      <c r="O51" s="130">
        <v>0.93402777777777779</v>
      </c>
      <c r="P51" s="130">
        <v>0.93541666666666667</v>
      </c>
      <c r="Q51" s="56" t="s">
        <v>1050</v>
      </c>
      <c r="R51" s="56" t="s">
        <v>229</v>
      </c>
      <c r="S51" s="56">
        <v>32</v>
      </c>
      <c r="T51" s="131">
        <v>2.2916666666666696E-2</v>
      </c>
      <c r="U51" s="130">
        <v>1.388888888888884E-3</v>
      </c>
      <c r="V51" s="56" t="s">
        <v>1051</v>
      </c>
      <c r="W51" s="56" t="s">
        <v>1052</v>
      </c>
      <c r="X51" s="56" t="s">
        <v>1053</v>
      </c>
      <c r="Y51" s="56">
        <v>32</v>
      </c>
      <c r="Z51" s="56" t="s">
        <v>1054</v>
      </c>
      <c r="AA51" s="56" t="s">
        <v>1146</v>
      </c>
      <c r="AB51" s="56" t="s">
        <v>1120</v>
      </c>
      <c r="AC51" s="56" t="s">
        <v>1078</v>
      </c>
      <c r="AD51" s="56" t="s">
        <v>1147</v>
      </c>
      <c r="AE51" s="56" t="s">
        <v>1148</v>
      </c>
      <c r="AF51" s="56" t="s">
        <v>1336</v>
      </c>
      <c r="AG51" s="56" t="s">
        <v>1355</v>
      </c>
      <c r="AH51" s="56"/>
      <c r="AI51" s="56"/>
      <c r="AJ51" s="56"/>
      <c r="AK51" s="56"/>
      <c r="AL51" s="56"/>
      <c r="AM51" s="56"/>
      <c r="AN51" s="56"/>
      <c r="AO51" s="56"/>
      <c r="AP51" s="56"/>
      <c r="AQ51" s="131"/>
      <c r="AR51" s="130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</row>
    <row r="52" spans="1:56" x14ac:dyDescent="0.2">
      <c r="A52" s="56">
        <v>14113320</v>
      </c>
      <c r="B52" s="56">
        <v>175446337</v>
      </c>
      <c r="C52" s="56" t="s">
        <v>1356</v>
      </c>
      <c r="D52" s="56" t="s">
        <v>1357</v>
      </c>
      <c r="E52" s="56" t="s">
        <v>1047</v>
      </c>
      <c r="F52" s="56">
        <v>32</v>
      </c>
      <c r="G52" s="56">
        <v>5439</v>
      </c>
      <c r="H52" s="56" t="s">
        <v>1048</v>
      </c>
      <c r="I52" s="56" t="s">
        <v>1358</v>
      </c>
      <c r="J52" s="129">
        <v>46236</v>
      </c>
      <c r="K52" s="130">
        <v>0.88541666666666663</v>
      </c>
      <c r="L52" s="130">
        <v>0.96597222222222223</v>
      </c>
      <c r="M52" s="56" t="s">
        <v>1050</v>
      </c>
      <c r="N52" s="129">
        <v>46236</v>
      </c>
      <c r="O52" s="130">
        <v>0.93055555555555558</v>
      </c>
      <c r="P52" s="130">
        <v>1.4583333333333334E-2</v>
      </c>
      <c r="Q52" s="56" t="s">
        <v>1359</v>
      </c>
      <c r="R52" s="56" t="s">
        <v>127</v>
      </c>
      <c r="S52" s="56">
        <v>32</v>
      </c>
      <c r="T52" s="131">
        <v>8.0555555555555602E-2</v>
      </c>
      <c r="U52" s="130">
        <v>-0.9159722222222223</v>
      </c>
      <c r="V52" s="56" t="s">
        <v>1051</v>
      </c>
      <c r="W52" s="56" t="s">
        <v>1052</v>
      </c>
      <c r="X52" s="56" t="s">
        <v>1053</v>
      </c>
      <c r="Y52" s="56">
        <v>32</v>
      </c>
      <c r="Z52" s="56" t="s">
        <v>1054</v>
      </c>
      <c r="AA52" s="56" t="s">
        <v>1360</v>
      </c>
      <c r="AB52" s="56" t="s">
        <v>1361</v>
      </c>
      <c r="AC52" s="56" t="s">
        <v>1069</v>
      </c>
      <c r="AD52" s="56" t="s">
        <v>1362</v>
      </c>
      <c r="AE52" s="56" t="s">
        <v>1363</v>
      </c>
      <c r="AF52" s="56" t="s">
        <v>1336</v>
      </c>
      <c r="AG52" s="56" t="s">
        <v>1364</v>
      </c>
      <c r="AH52" s="56"/>
      <c r="AI52" s="56"/>
      <c r="AJ52" s="56"/>
      <c r="AK52" s="56"/>
      <c r="AL52" s="56"/>
      <c r="AM52" s="56"/>
      <c r="AN52" s="56"/>
      <c r="AO52" s="56"/>
      <c r="AP52" s="56"/>
      <c r="AQ52" s="131"/>
      <c r="AR52" s="130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</row>
    <row r="53" spans="1:56" x14ac:dyDescent="0.2">
      <c r="A53" s="56">
        <v>14117509</v>
      </c>
      <c r="B53" s="56">
        <v>175446007</v>
      </c>
      <c r="C53" s="56" t="s">
        <v>1365</v>
      </c>
      <c r="D53" s="56" t="s">
        <v>1366</v>
      </c>
      <c r="E53" s="56" t="s">
        <v>1047</v>
      </c>
      <c r="F53" s="56">
        <v>130</v>
      </c>
      <c r="G53" s="56">
        <v>13375</v>
      </c>
      <c r="H53" s="56" t="s">
        <v>1048</v>
      </c>
      <c r="I53" s="56" t="s">
        <v>1104</v>
      </c>
      <c r="J53" s="129">
        <v>46236</v>
      </c>
      <c r="K53" s="130">
        <v>0.88888888888888884</v>
      </c>
      <c r="L53" s="130">
        <v>0.90972222222222221</v>
      </c>
      <c r="M53" s="56" t="s">
        <v>1050</v>
      </c>
      <c r="N53" s="129">
        <v>46236</v>
      </c>
      <c r="O53" s="130">
        <v>0.93402777777777779</v>
      </c>
      <c r="P53" s="130">
        <v>0</v>
      </c>
      <c r="Q53" s="56" t="s">
        <v>1367</v>
      </c>
      <c r="R53" s="56" t="s">
        <v>235</v>
      </c>
      <c r="S53" s="56">
        <v>32</v>
      </c>
      <c r="T53" s="131">
        <v>2.083333333333337E-2</v>
      </c>
      <c r="U53" s="130">
        <v>-0.93402777777777779</v>
      </c>
      <c r="V53" s="56" t="s">
        <v>1051</v>
      </c>
      <c r="W53" s="56" t="s">
        <v>1052</v>
      </c>
      <c r="X53" s="56" t="s">
        <v>1053</v>
      </c>
      <c r="Y53" s="56">
        <v>32</v>
      </c>
      <c r="Z53" s="56" t="s">
        <v>1054</v>
      </c>
      <c r="AA53" s="56" t="s">
        <v>1368</v>
      </c>
      <c r="AB53" s="56" t="s">
        <v>1106</v>
      </c>
      <c r="AC53" s="56" t="s">
        <v>1078</v>
      </c>
      <c r="AD53" s="56" t="s">
        <v>1369</v>
      </c>
      <c r="AE53" s="56" t="s">
        <v>1370</v>
      </c>
      <c r="AF53" s="56" t="s">
        <v>1336</v>
      </c>
      <c r="AG53" s="56" t="s">
        <v>1371</v>
      </c>
      <c r="AH53" s="56"/>
      <c r="AI53" s="56"/>
      <c r="AJ53" s="56"/>
      <c r="AK53" s="56"/>
      <c r="AL53" s="56"/>
      <c r="AM53" s="56"/>
      <c r="AN53" s="56"/>
      <c r="AO53" s="56"/>
      <c r="AP53" s="56"/>
      <c r="AQ53" s="131"/>
      <c r="AR53" s="130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</row>
    <row r="54" spans="1:56" x14ac:dyDescent="0.2">
      <c r="A54" s="56">
        <v>14113320</v>
      </c>
      <c r="B54" s="56">
        <v>175446354</v>
      </c>
      <c r="C54" s="56" t="s">
        <v>1372</v>
      </c>
      <c r="D54" s="56" t="s">
        <v>1373</v>
      </c>
      <c r="E54" s="56" t="s">
        <v>1047</v>
      </c>
      <c r="F54" s="56">
        <v>40</v>
      </c>
      <c r="G54" s="56">
        <v>5439</v>
      </c>
      <c r="H54" s="56" t="s">
        <v>1048</v>
      </c>
      <c r="I54" s="56" t="s">
        <v>1358</v>
      </c>
      <c r="J54" s="129">
        <v>46236</v>
      </c>
      <c r="K54" s="130">
        <v>0.89583333333333337</v>
      </c>
      <c r="L54" s="130">
        <v>0.90347222222222223</v>
      </c>
      <c r="M54" s="56" t="s">
        <v>1050</v>
      </c>
      <c r="N54" s="129">
        <v>46236</v>
      </c>
      <c r="O54" s="130">
        <v>0.93055555555555558</v>
      </c>
      <c r="P54" s="130">
        <v>0.92569444444444449</v>
      </c>
      <c r="Q54" s="56" t="s">
        <v>1050</v>
      </c>
      <c r="R54" s="56" t="s">
        <v>127</v>
      </c>
      <c r="S54" s="56">
        <v>32</v>
      </c>
      <c r="T54" s="131">
        <v>7.6388888888888618E-3</v>
      </c>
      <c r="U54" s="130">
        <v>-4.8611111111110938E-3</v>
      </c>
      <c r="V54" s="56" t="s">
        <v>1051</v>
      </c>
      <c r="W54" s="56" t="s">
        <v>1052</v>
      </c>
      <c r="X54" s="56" t="s">
        <v>1053</v>
      </c>
      <c r="Y54" s="56">
        <v>32</v>
      </c>
      <c r="Z54" s="56" t="s">
        <v>1054</v>
      </c>
      <c r="AA54" s="56" t="s">
        <v>1374</v>
      </c>
      <c r="AB54" s="56" t="s">
        <v>1361</v>
      </c>
      <c r="AC54" s="56" t="s">
        <v>1069</v>
      </c>
      <c r="AD54" s="56" t="s">
        <v>1375</v>
      </c>
      <c r="AE54" s="56" t="s">
        <v>1376</v>
      </c>
      <c r="AF54" s="56" t="s">
        <v>1336</v>
      </c>
      <c r="AG54" s="56" t="s">
        <v>1377</v>
      </c>
      <c r="AH54" s="56"/>
      <c r="AI54" s="56"/>
      <c r="AJ54" s="56"/>
      <c r="AK54" s="56"/>
      <c r="AL54" s="56"/>
      <c r="AM54" s="56"/>
      <c r="AN54" s="56"/>
      <c r="AO54" s="56"/>
      <c r="AP54" s="56"/>
      <c r="AQ54" s="131"/>
      <c r="AR54" s="130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</row>
    <row r="55" spans="1:56" x14ac:dyDescent="0.2">
      <c r="A55" s="56">
        <v>14116723</v>
      </c>
      <c r="B55" s="56">
        <v>175418432</v>
      </c>
      <c r="C55" s="56" t="s">
        <v>1378</v>
      </c>
      <c r="D55" s="56" t="s">
        <v>1379</v>
      </c>
      <c r="E55" s="56" t="s">
        <v>1047</v>
      </c>
      <c r="F55" s="56">
        <v>38</v>
      </c>
      <c r="G55" s="56">
        <v>15341</v>
      </c>
      <c r="H55" s="56" t="s">
        <v>1048</v>
      </c>
      <c r="I55" s="56" t="s">
        <v>1049</v>
      </c>
      <c r="J55" s="129">
        <v>46235</v>
      </c>
      <c r="K55" s="130">
        <v>0.18055555555555555</v>
      </c>
      <c r="L55" s="130">
        <v>0.18541666666666667</v>
      </c>
      <c r="M55" s="56" t="s">
        <v>1050</v>
      </c>
      <c r="N55" s="129">
        <v>46235</v>
      </c>
      <c r="O55" s="130">
        <v>0.26041666666666669</v>
      </c>
      <c r="P55" s="130">
        <v>0.26427083333333334</v>
      </c>
      <c r="Q55" s="56" t="s">
        <v>1050</v>
      </c>
      <c r="R55" s="56" t="s">
        <v>168</v>
      </c>
      <c r="S55" s="56">
        <v>31</v>
      </c>
      <c r="T55" s="131">
        <v>4.8611111111111216E-3</v>
      </c>
      <c r="U55" s="130">
        <v>3.8541666666666585E-3</v>
      </c>
      <c r="V55" s="56" t="s">
        <v>1051</v>
      </c>
      <c r="W55" s="56" t="s">
        <v>1065</v>
      </c>
      <c r="X55" s="56" t="s">
        <v>1066</v>
      </c>
      <c r="Y55" s="56">
        <v>31</v>
      </c>
      <c r="Z55" s="56" t="s">
        <v>1054</v>
      </c>
      <c r="AA55" s="56" t="s">
        <v>1380</v>
      </c>
      <c r="AB55" s="56" t="s">
        <v>1056</v>
      </c>
      <c r="AC55" s="56" t="s">
        <v>1057</v>
      </c>
      <c r="AD55" s="56" t="s">
        <v>1381</v>
      </c>
      <c r="AE55" s="56" t="s">
        <v>1382</v>
      </c>
      <c r="AF55" s="56" t="s">
        <v>1060</v>
      </c>
      <c r="AG55" s="56" t="s">
        <v>1383</v>
      </c>
      <c r="AH55" s="56"/>
      <c r="AI55" s="56"/>
      <c r="AJ55" s="56"/>
      <c r="AK55" s="56"/>
      <c r="AL55" s="56"/>
      <c r="AM55" s="56"/>
      <c r="AN55" s="56"/>
      <c r="AO55" s="56"/>
      <c r="AP55" s="56"/>
      <c r="AQ55" s="131"/>
      <c r="AR55" s="130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</row>
    <row r="56" spans="1:56" x14ac:dyDescent="0.2">
      <c r="A56" s="56">
        <v>14109748</v>
      </c>
      <c r="B56" s="56">
        <v>175412512</v>
      </c>
      <c r="C56" s="56" t="s">
        <v>1384</v>
      </c>
      <c r="D56" s="56" t="s">
        <v>1385</v>
      </c>
      <c r="E56" s="56" t="s">
        <v>1047</v>
      </c>
      <c r="F56" s="56">
        <v>1</v>
      </c>
      <c r="G56" s="56">
        <v>16725</v>
      </c>
      <c r="H56" s="56" t="s">
        <v>1048</v>
      </c>
      <c r="I56" s="56" t="s">
        <v>1386</v>
      </c>
      <c r="J56" s="129">
        <v>46235</v>
      </c>
      <c r="K56" s="130">
        <v>0.19444444444444445</v>
      </c>
      <c r="L56" s="130">
        <v>0.19930555555555557</v>
      </c>
      <c r="M56" s="56" t="s">
        <v>1050</v>
      </c>
      <c r="N56" s="129">
        <v>46235</v>
      </c>
      <c r="O56" s="130">
        <v>0.24305555555555555</v>
      </c>
      <c r="P56" s="130">
        <v>0.2401388888888889</v>
      </c>
      <c r="Q56" s="56" t="s">
        <v>1050</v>
      </c>
      <c r="R56" s="56" t="s">
        <v>94</v>
      </c>
      <c r="S56" s="56">
        <v>31</v>
      </c>
      <c r="T56" s="131">
        <v>4.8611111111111216E-3</v>
      </c>
      <c r="U56" s="130">
        <v>-2.9166666666666508E-3</v>
      </c>
      <c r="V56" s="56" t="s">
        <v>1051</v>
      </c>
      <c r="W56" s="56" t="s">
        <v>1052</v>
      </c>
      <c r="X56" s="56" t="s">
        <v>1053</v>
      </c>
      <c r="Y56" s="56">
        <v>31</v>
      </c>
      <c r="Z56" s="56" t="s">
        <v>1054</v>
      </c>
      <c r="AA56" s="56" t="s">
        <v>1387</v>
      </c>
      <c r="AB56" s="56" t="s">
        <v>1257</v>
      </c>
      <c r="AC56" s="56" t="s">
        <v>1069</v>
      </c>
      <c r="AD56" s="56" t="s">
        <v>1388</v>
      </c>
      <c r="AE56" s="56" t="s">
        <v>1389</v>
      </c>
      <c r="AF56" s="56" t="s">
        <v>1060</v>
      </c>
      <c r="AG56" s="56" t="s">
        <v>1390</v>
      </c>
      <c r="AH56" s="56"/>
      <c r="AI56" s="56"/>
      <c r="AJ56" s="56"/>
      <c r="AK56" s="56"/>
      <c r="AL56" s="56"/>
      <c r="AM56" s="56"/>
      <c r="AN56" s="56"/>
      <c r="AO56" s="56"/>
      <c r="AP56" s="56"/>
      <c r="AQ56" s="131"/>
      <c r="AR56" s="130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</row>
    <row r="57" spans="1:56" x14ac:dyDescent="0.2">
      <c r="A57" s="56">
        <v>14113198</v>
      </c>
      <c r="B57" s="56">
        <v>175415948</v>
      </c>
      <c r="C57" s="56" t="s">
        <v>1391</v>
      </c>
      <c r="D57" s="56" t="s">
        <v>1392</v>
      </c>
      <c r="E57" s="56" t="s">
        <v>1047</v>
      </c>
      <c r="F57" s="56">
        <v>7</v>
      </c>
      <c r="G57" s="56">
        <v>15765</v>
      </c>
      <c r="H57" s="56" t="s">
        <v>1048</v>
      </c>
      <c r="I57" s="56" t="s">
        <v>1064</v>
      </c>
      <c r="J57" s="129">
        <v>46235</v>
      </c>
      <c r="K57" s="130">
        <v>0.19444444444444445</v>
      </c>
      <c r="L57" s="130">
        <v>0.1986111111111111</v>
      </c>
      <c r="M57" s="56" t="s">
        <v>1050</v>
      </c>
      <c r="N57" s="129">
        <v>46235</v>
      </c>
      <c r="O57" s="130">
        <v>0.25</v>
      </c>
      <c r="P57" s="130">
        <v>0.23832175925925925</v>
      </c>
      <c r="Q57" s="56" t="s">
        <v>1050</v>
      </c>
      <c r="R57" s="56" t="s">
        <v>1393</v>
      </c>
      <c r="S57" s="56">
        <v>31</v>
      </c>
      <c r="T57" s="131">
        <v>4.1666666666666519E-3</v>
      </c>
      <c r="U57" s="130">
        <v>-1.1678240740740753E-2</v>
      </c>
      <c r="V57" s="56" t="s">
        <v>1051</v>
      </c>
      <c r="W57" s="56" t="s">
        <v>1052</v>
      </c>
      <c r="X57" s="56" t="s">
        <v>1053</v>
      </c>
      <c r="Y57" s="56">
        <v>31</v>
      </c>
      <c r="Z57" s="56" t="s">
        <v>1054</v>
      </c>
      <c r="AA57" s="56" t="s">
        <v>1394</v>
      </c>
      <c r="AB57" s="56" t="s">
        <v>1068</v>
      </c>
      <c r="AC57" s="56" t="s">
        <v>1069</v>
      </c>
      <c r="AD57" s="56" t="s">
        <v>1395</v>
      </c>
      <c r="AE57" s="56" t="s">
        <v>1396</v>
      </c>
      <c r="AF57" s="56" t="s">
        <v>1060</v>
      </c>
      <c r="AG57" s="56" t="s">
        <v>1397</v>
      </c>
      <c r="AH57" s="56"/>
      <c r="AI57" s="56"/>
      <c r="AJ57" s="56"/>
      <c r="AK57" s="56"/>
      <c r="AL57" s="56"/>
      <c r="AM57" s="56"/>
      <c r="AN57" s="56"/>
      <c r="AO57" s="56"/>
      <c r="AP57" s="56"/>
      <c r="AQ57" s="131"/>
      <c r="AR57" s="130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</row>
    <row r="58" spans="1:56" x14ac:dyDescent="0.2">
      <c r="A58" s="56">
        <v>14109802</v>
      </c>
      <c r="B58" s="56">
        <v>175412515</v>
      </c>
      <c r="C58" s="56" t="s">
        <v>1398</v>
      </c>
      <c r="D58" s="56" t="s">
        <v>1399</v>
      </c>
      <c r="E58" s="56" t="s">
        <v>1047</v>
      </c>
      <c r="F58" s="56">
        <v>2</v>
      </c>
      <c r="G58" s="56">
        <v>11820</v>
      </c>
      <c r="H58" s="56" t="s">
        <v>1048</v>
      </c>
      <c r="I58" s="56" t="s">
        <v>1386</v>
      </c>
      <c r="J58" s="129">
        <v>46235</v>
      </c>
      <c r="K58" s="130">
        <v>0.19791666666666666</v>
      </c>
      <c r="L58" s="130">
        <v>0.20833333333333334</v>
      </c>
      <c r="M58" s="56" t="s">
        <v>1050</v>
      </c>
      <c r="N58" s="129">
        <v>46235</v>
      </c>
      <c r="O58" s="130">
        <v>0.23958333333333334</v>
      </c>
      <c r="P58" s="130">
        <v>0.24219907407407407</v>
      </c>
      <c r="Q58" s="56" t="s">
        <v>1050</v>
      </c>
      <c r="R58" s="56" t="s">
        <v>1400</v>
      </c>
      <c r="S58" s="56">
        <v>31</v>
      </c>
      <c r="T58" s="131">
        <v>1.0416666666666685E-2</v>
      </c>
      <c r="U58" s="130">
        <v>2.615740740740724E-3</v>
      </c>
      <c r="V58" s="56" t="s">
        <v>1051</v>
      </c>
      <c r="W58" s="56" t="s">
        <v>1052</v>
      </c>
      <c r="X58" s="56" t="s">
        <v>1053</v>
      </c>
      <c r="Y58" s="56">
        <v>31</v>
      </c>
      <c r="Z58" s="56" t="s">
        <v>1054</v>
      </c>
      <c r="AA58" s="56" t="s">
        <v>1401</v>
      </c>
      <c r="AB58" s="56" t="s">
        <v>1257</v>
      </c>
      <c r="AC58" s="56" t="s">
        <v>1069</v>
      </c>
      <c r="AD58" s="56" t="s">
        <v>1402</v>
      </c>
      <c r="AE58" s="56" t="s">
        <v>1403</v>
      </c>
      <c r="AF58" s="56" t="s">
        <v>1060</v>
      </c>
      <c r="AG58" s="56" t="s">
        <v>1404</v>
      </c>
      <c r="AH58" s="56"/>
      <c r="AI58" s="56"/>
      <c r="AJ58" s="56"/>
      <c r="AK58" s="56"/>
      <c r="AL58" s="56"/>
      <c r="AM58" s="56"/>
      <c r="AN58" s="56"/>
      <c r="AO58" s="56"/>
      <c r="AP58" s="56"/>
      <c r="AQ58" s="131"/>
      <c r="AR58" s="130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</row>
    <row r="59" spans="1:56" x14ac:dyDescent="0.2">
      <c r="A59" s="56">
        <v>14122871</v>
      </c>
      <c r="B59" s="56">
        <v>175406929</v>
      </c>
      <c r="C59" s="56" t="s">
        <v>1405</v>
      </c>
      <c r="D59" s="56" t="s">
        <v>1406</v>
      </c>
      <c r="E59" s="56" t="s">
        <v>1047</v>
      </c>
      <c r="F59" s="56">
        <v>1</v>
      </c>
      <c r="G59" s="56">
        <v>6384</v>
      </c>
      <c r="H59" s="56" t="s">
        <v>1048</v>
      </c>
      <c r="I59" s="56" t="s">
        <v>1407</v>
      </c>
      <c r="J59" s="129">
        <v>46235</v>
      </c>
      <c r="K59" s="130">
        <v>0.2013888888888889</v>
      </c>
      <c r="L59" s="130">
        <v>0.2048611111111111</v>
      </c>
      <c r="M59" s="56" t="s">
        <v>1050</v>
      </c>
      <c r="N59" s="129">
        <v>46235</v>
      </c>
      <c r="O59" s="130">
        <v>0.24652777777777779</v>
      </c>
      <c r="P59" s="130">
        <v>0.24134259259259258</v>
      </c>
      <c r="Q59" s="56" t="s">
        <v>1050</v>
      </c>
      <c r="R59" s="56" t="s">
        <v>453</v>
      </c>
      <c r="S59" s="56">
        <v>31</v>
      </c>
      <c r="T59" s="131">
        <v>3.4722222222222099E-3</v>
      </c>
      <c r="U59" s="130">
        <v>-5.1851851851852093E-3</v>
      </c>
      <c r="V59" s="56" t="s">
        <v>1051</v>
      </c>
      <c r="W59" s="56" t="s">
        <v>1052</v>
      </c>
      <c r="X59" s="56" t="s">
        <v>1053</v>
      </c>
      <c r="Y59" s="56">
        <v>31</v>
      </c>
      <c r="Z59" s="56" t="s">
        <v>1054</v>
      </c>
      <c r="AA59" s="56" t="s">
        <v>1408</v>
      </c>
      <c r="AB59" s="56" t="s">
        <v>1257</v>
      </c>
      <c r="AC59" s="56" t="s">
        <v>1069</v>
      </c>
      <c r="AD59" s="56" t="s">
        <v>1409</v>
      </c>
      <c r="AE59" s="56" t="s">
        <v>1410</v>
      </c>
      <c r="AF59" s="56" t="s">
        <v>1060</v>
      </c>
      <c r="AG59" s="56" t="s">
        <v>1411</v>
      </c>
      <c r="AH59" s="56"/>
      <c r="AI59" s="56"/>
      <c r="AJ59" s="56"/>
      <c r="AK59" s="56"/>
      <c r="AL59" s="56"/>
      <c r="AM59" s="56"/>
      <c r="AN59" s="56"/>
      <c r="AO59" s="56"/>
      <c r="AP59" s="56"/>
      <c r="AQ59" s="131"/>
      <c r="AR59" s="130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</row>
    <row r="60" spans="1:56" x14ac:dyDescent="0.2">
      <c r="A60" s="56"/>
      <c r="B60" s="56">
        <v>175413076</v>
      </c>
      <c r="C60" s="56" t="s">
        <v>1412</v>
      </c>
      <c r="D60" s="56" t="s">
        <v>1413</v>
      </c>
      <c r="E60" s="56" t="s">
        <v>1047</v>
      </c>
      <c r="F60" s="56">
        <v>101</v>
      </c>
      <c r="G60" s="56">
        <v>10747</v>
      </c>
      <c r="H60" s="56" t="s">
        <v>1048</v>
      </c>
      <c r="I60" s="56" t="s">
        <v>1104</v>
      </c>
      <c r="J60" s="129">
        <v>46235</v>
      </c>
      <c r="K60" s="130">
        <v>0.2013888888888889</v>
      </c>
      <c r="L60" s="130">
        <v>0.20902777777777778</v>
      </c>
      <c r="M60" s="56" t="s">
        <v>1050</v>
      </c>
      <c r="N60" s="129">
        <v>46235</v>
      </c>
      <c r="O60" s="130">
        <v>0.2673611111111111</v>
      </c>
      <c r="P60" s="130">
        <v>0.24214120370370371</v>
      </c>
      <c r="Q60" s="56" t="s">
        <v>1050</v>
      </c>
      <c r="R60" s="56" t="s">
        <v>1414</v>
      </c>
      <c r="S60" s="56">
        <v>31</v>
      </c>
      <c r="T60" s="131">
        <v>7.6388888888888895E-3</v>
      </c>
      <c r="U60" s="130">
        <v>-2.5219907407407399E-2</v>
      </c>
      <c r="V60" s="56" t="s">
        <v>1051</v>
      </c>
      <c r="W60" s="56" t="s">
        <v>1052</v>
      </c>
      <c r="X60" s="56" t="s">
        <v>1053</v>
      </c>
      <c r="Y60" s="56">
        <v>31</v>
      </c>
      <c r="Z60" s="56" t="s">
        <v>1054</v>
      </c>
      <c r="AA60" s="56" t="s">
        <v>1415</v>
      </c>
      <c r="AB60" s="56" t="s">
        <v>1106</v>
      </c>
      <c r="AC60" s="56" t="s">
        <v>1078</v>
      </c>
      <c r="AD60" s="56" t="s">
        <v>1416</v>
      </c>
      <c r="AE60" s="56" t="s">
        <v>1417</v>
      </c>
      <c r="AF60" s="56" t="s">
        <v>1060</v>
      </c>
      <c r="AG60" s="56" t="s">
        <v>1418</v>
      </c>
      <c r="AH60" s="56"/>
      <c r="AI60" s="56"/>
      <c r="AJ60" s="56"/>
      <c r="AK60" s="56"/>
      <c r="AL60" s="56"/>
      <c r="AM60" s="56"/>
      <c r="AN60" s="56"/>
      <c r="AO60" s="56"/>
      <c r="AP60" s="56"/>
      <c r="AQ60" s="131"/>
      <c r="AR60" s="130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</row>
    <row r="61" spans="1:56" x14ac:dyDescent="0.2">
      <c r="A61" s="56">
        <v>14107081</v>
      </c>
      <c r="B61" s="56">
        <v>175422935</v>
      </c>
      <c r="C61" s="56" t="s">
        <v>1419</v>
      </c>
      <c r="D61" s="56" t="s">
        <v>1420</v>
      </c>
      <c r="E61" s="56" t="s">
        <v>1047</v>
      </c>
      <c r="F61" s="56">
        <v>503</v>
      </c>
      <c r="G61" s="56">
        <v>16738</v>
      </c>
      <c r="H61" s="56" t="s">
        <v>1048</v>
      </c>
      <c r="I61" s="56" t="s">
        <v>1075</v>
      </c>
      <c r="J61" s="129">
        <v>46235</v>
      </c>
      <c r="K61" s="130">
        <v>0.2013888888888889</v>
      </c>
      <c r="L61" s="130">
        <v>0.21458333333333332</v>
      </c>
      <c r="M61" s="56" t="s">
        <v>1050</v>
      </c>
      <c r="N61" s="129">
        <v>46235</v>
      </c>
      <c r="O61" s="130">
        <v>0.2673611111111111</v>
      </c>
      <c r="P61" s="130">
        <v>0.25278935185185186</v>
      </c>
      <c r="Q61" s="56" t="s">
        <v>1050</v>
      </c>
      <c r="R61" s="56" t="s">
        <v>55</v>
      </c>
      <c r="S61" s="56">
        <v>31</v>
      </c>
      <c r="T61" s="131">
        <v>1.3194444444444425E-2</v>
      </c>
      <c r="U61" s="130">
        <v>-1.4571759259259243E-2</v>
      </c>
      <c r="V61" s="56" t="s">
        <v>1051</v>
      </c>
      <c r="W61" s="56" t="s">
        <v>1052</v>
      </c>
      <c r="X61" s="56" t="s">
        <v>1053</v>
      </c>
      <c r="Y61" s="56">
        <v>31</v>
      </c>
      <c r="Z61" s="56" t="s">
        <v>1054</v>
      </c>
      <c r="AA61" s="56" t="s">
        <v>1421</v>
      </c>
      <c r="AB61" s="56" t="s">
        <v>1077</v>
      </c>
      <c r="AC61" s="56" t="s">
        <v>1078</v>
      </c>
      <c r="AD61" s="56" t="s">
        <v>1422</v>
      </c>
      <c r="AE61" s="56" t="s">
        <v>1423</v>
      </c>
      <c r="AF61" s="56" t="s">
        <v>1060</v>
      </c>
      <c r="AG61" s="56" t="s">
        <v>1424</v>
      </c>
      <c r="AH61" s="56"/>
      <c r="AI61" s="56"/>
      <c r="AJ61" s="56"/>
      <c r="AK61" s="56"/>
      <c r="AL61" s="56"/>
      <c r="AM61" s="56"/>
      <c r="AN61" s="56"/>
      <c r="AO61" s="56"/>
      <c r="AP61" s="56"/>
      <c r="AQ61" s="131"/>
      <c r="AR61" s="130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</row>
    <row r="62" spans="1:56" x14ac:dyDescent="0.2">
      <c r="A62" s="56">
        <v>14103106</v>
      </c>
      <c r="B62" s="56">
        <v>175412850</v>
      </c>
      <c r="C62" s="56" t="s">
        <v>1116</v>
      </c>
      <c r="D62" s="56" t="s">
        <v>1117</v>
      </c>
      <c r="E62" s="56" t="s">
        <v>1047</v>
      </c>
      <c r="F62" s="56">
        <v>28</v>
      </c>
      <c r="G62" s="56">
        <v>16733</v>
      </c>
      <c r="H62" s="56" t="s">
        <v>1048</v>
      </c>
      <c r="I62" s="56" t="s">
        <v>1118</v>
      </c>
      <c r="J62" s="129">
        <v>46235</v>
      </c>
      <c r="K62" s="130">
        <v>0.20833333333333334</v>
      </c>
      <c r="L62" s="130">
        <v>0.21388888888888888</v>
      </c>
      <c r="M62" s="56" t="s">
        <v>1050</v>
      </c>
      <c r="N62" s="129">
        <v>46235</v>
      </c>
      <c r="O62" s="130">
        <v>0.2673611111111111</v>
      </c>
      <c r="P62" s="130">
        <v>0.25665509259259262</v>
      </c>
      <c r="Q62" s="56" t="s">
        <v>1050</v>
      </c>
      <c r="R62" s="56" t="s">
        <v>34</v>
      </c>
      <c r="S62" s="56">
        <v>31</v>
      </c>
      <c r="T62" s="131">
        <v>5.5555555555555358E-3</v>
      </c>
      <c r="U62" s="130">
        <v>-1.070601851851849E-2</v>
      </c>
      <c r="V62" s="56" t="s">
        <v>1051</v>
      </c>
      <c r="W62" s="56" t="s">
        <v>1052</v>
      </c>
      <c r="X62" s="56" t="s">
        <v>1053</v>
      </c>
      <c r="Y62" s="56">
        <v>31</v>
      </c>
      <c r="Z62" s="56" t="s">
        <v>1054</v>
      </c>
      <c r="AA62" s="56" t="s">
        <v>1119</v>
      </c>
      <c r="AB62" s="56" t="s">
        <v>1120</v>
      </c>
      <c r="AC62" s="56" t="s">
        <v>1078</v>
      </c>
      <c r="AD62" s="56" t="s">
        <v>1121</v>
      </c>
      <c r="AE62" s="56" t="s">
        <v>1122</v>
      </c>
      <c r="AF62" s="56" t="s">
        <v>1060</v>
      </c>
      <c r="AG62" s="56" t="s">
        <v>1123</v>
      </c>
      <c r="AH62" s="56"/>
      <c r="AI62" s="56"/>
      <c r="AJ62" s="56"/>
      <c r="AK62" s="56"/>
      <c r="AL62" s="56"/>
      <c r="AM62" s="56"/>
      <c r="AN62" s="56"/>
      <c r="AO62" s="56"/>
      <c r="AP62" s="56"/>
      <c r="AQ62" s="131"/>
      <c r="AR62" s="130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</row>
    <row r="63" spans="1:56" x14ac:dyDescent="0.2">
      <c r="A63" s="56">
        <v>14118186</v>
      </c>
      <c r="B63" s="56">
        <v>175413525</v>
      </c>
      <c r="C63" s="56" t="s">
        <v>1425</v>
      </c>
      <c r="D63" s="56" t="s">
        <v>1426</v>
      </c>
      <c r="E63" s="56" t="s">
        <v>1047</v>
      </c>
      <c r="F63" s="56">
        <v>15</v>
      </c>
      <c r="G63" s="56">
        <v>6660</v>
      </c>
      <c r="H63" s="56" t="s">
        <v>1048</v>
      </c>
      <c r="I63" s="56" t="s">
        <v>1427</v>
      </c>
      <c r="J63" s="129">
        <v>46235</v>
      </c>
      <c r="K63" s="130">
        <v>0.20833333333333334</v>
      </c>
      <c r="L63" s="130">
        <v>0.21249999999999999</v>
      </c>
      <c r="M63" s="56" t="s">
        <v>1050</v>
      </c>
      <c r="N63" s="129">
        <v>46235</v>
      </c>
      <c r="O63" s="130">
        <v>0.27083333333333331</v>
      </c>
      <c r="P63" s="130">
        <v>0.25189814814814815</v>
      </c>
      <c r="Q63" s="56" t="s">
        <v>1050</v>
      </c>
      <c r="R63" s="56" t="s">
        <v>187</v>
      </c>
      <c r="S63" s="56">
        <v>31</v>
      </c>
      <c r="T63" s="131">
        <v>4.1666666666666519E-3</v>
      </c>
      <c r="U63" s="130">
        <v>-1.8935185185185166E-2</v>
      </c>
      <c r="V63" s="56" t="s">
        <v>1051</v>
      </c>
      <c r="W63" s="56" t="s">
        <v>1052</v>
      </c>
      <c r="X63" s="56" t="s">
        <v>1053</v>
      </c>
      <c r="Y63" s="56">
        <v>31</v>
      </c>
      <c r="Z63" s="56" t="s">
        <v>1054</v>
      </c>
      <c r="AA63" s="56" t="s">
        <v>1428</v>
      </c>
      <c r="AB63" s="56" t="s">
        <v>1194</v>
      </c>
      <c r="AC63" s="56" t="s">
        <v>1057</v>
      </c>
      <c r="AD63" s="56" t="s">
        <v>1429</v>
      </c>
      <c r="AE63" s="56" t="s">
        <v>1430</v>
      </c>
      <c r="AF63" s="56" t="s">
        <v>1060</v>
      </c>
      <c r="AG63" s="56" t="s">
        <v>1431</v>
      </c>
      <c r="AH63" s="56"/>
      <c r="AI63" s="56"/>
      <c r="AJ63" s="56"/>
      <c r="AK63" s="56"/>
      <c r="AL63" s="56"/>
      <c r="AM63" s="56"/>
      <c r="AN63" s="56"/>
      <c r="AO63" s="56"/>
      <c r="AP63" s="56"/>
      <c r="AQ63" s="131"/>
      <c r="AR63" s="130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</row>
    <row r="64" spans="1:56" x14ac:dyDescent="0.2">
      <c r="A64" s="56">
        <v>14122873</v>
      </c>
      <c r="B64" s="56">
        <v>175410529</v>
      </c>
      <c r="C64" s="56" t="s">
        <v>1432</v>
      </c>
      <c r="D64" s="56" t="s">
        <v>1433</v>
      </c>
      <c r="E64" s="56" t="s">
        <v>1047</v>
      </c>
      <c r="F64" s="56">
        <v>23</v>
      </c>
      <c r="G64" s="56">
        <v>6984</v>
      </c>
      <c r="H64" s="56" t="s">
        <v>1048</v>
      </c>
      <c r="I64" s="56" t="s">
        <v>1104</v>
      </c>
      <c r="J64" s="129">
        <v>46235</v>
      </c>
      <c r="K64" s="130">
        <v>0.20972222222222223</v>
      </c>
      <c r="L64" s="130">
        <v>0.22291666666666668</v>
      </c>
      <c r="M64" s="56" t="s">
        <v>1050</v>
      </c>
      <c r="N64" s="129">
        <v>46235</v>
      </c>
      <c r="O64" s="130">
        <v>0.2673611111111111</v>
      </c>
      <c r="P64" s="130">
        <v>0.26534722222222223</v>
      </c>
      <c r="Q64" s="56" t="s">
        <v>1050</v>
      </c>
      <c r="R64" s="56" t="s">
        <v>454</v>
      </c>
      <c r="S64" s="56">
        <v>31</v>
      </c>
      <c r="T64" s="131">
        <v>1.3194444444444453E-2</v>
      </c>
      <c r="U64" s="130">
        <v>-2.0138888888888706E-3</v>
      </c>
      <c r="V64" s="56" t="s">
        <v>1051</v>
      </c>
      <c r="W64" s="56" t="s">
        <v>1052</v>
      </c>
      <c r="X64" s="56" t="s">
        <v>1053</v>
      </c>
      <c r="Y64" s="56">
        <v>31</v>
      </c>
      <c r="Z64" s="56" t="s">
        <v>1054</v>
      </c>
      <c r="AA64" s="56" t="s">
        <v>1434</v>
      </c>
      <c r="AB64" s="56" t="s">
        <v>1106</v>
      </c>
      <c r="AC64" s="56" t="s">
        <v>1078</v>
      </c>
      <c r="AD64" s="56" t="s">
        <v>1435</v>
      </c>
      <c r="AE64" s="56" t="s">
        <v>1436</v>
      </c>
      <c r="AF64" s="56" t="s">
        <v>1060</v>
      </c>
      <c r="AG64" s="56" t="s">
        <v>1437</v>
      </c>
      <c r="AH64" s="56"/>
      <c r="AI64" s="56"/>
      <c r="AJ64" s="56"/>
      <c r="AK64" s="56"/>
      <c r="AL64" s="56"/>
      <c r="AM64" s="56"/>
      <c r="AN64" s="56"/>
      <c r="AO64" s="56"/>
      <c r="AP64" s="56"/>
      <c r="AQ64" s="131"/>
      <c r="AR64" s="130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</row>
    <row r="65" spans="1:56" x14ac:dyDescent="0.2">
      <c r="A65" s="56">
        <v>14107967</v>
      </c>
      <c r="B65" s="56">
        <v>175412817</v>
      </c>
      <c r="C65" s="56" t="s">
        <v>1130</v>
      </c>
      <c r="D65" s="56" t="s">
        <v>1131</v>
      </c>
      <c r="E65" s="56" t="s">
        <v>1047</v>
      </c>
      <c r="F65" s="56">
        <v>15</v>
      </c>
      <c r="G65" s="56">
        <v>16734</v>
      </c>
      <c r="H65" s="56" t="s">
        <v>1048</v>
      </c>
      <c r="I65" s="56" t="s">
        <v>1118</v>
      </c>
      <c r="J65" s="129">
        <v>46235</v>
      </c>
      <c r="K65" s="130">
        <v>0.21180555555555555</v>
      </c>
      <c r="L65" s="130">
        <v>0.21736111111111112</v>
      </c>
      <c r="M65" s="56" t="s">
        <v>1050</v>
      </c>
      <c r="N65" s="129">
        <v>46235</v>
      </c>
      <c r="O65" s="130">
        <v>0.2673611111111111</v>
      </c>
      <c r="P65" s="130">
        <v>0.25971064814814815</v>
      </c>
      <c r="Q65" s="56" t="s">
        <v>1050</v>
      </c>
      <c r="R65" s="56" t="s">
        <v>67</v>
      </c>
      <c r="S65" s="56">
        <v>31</v>
      </c>
      <c r="T65" s="131">
        <v>5.5555555555555636E-3</v>
      </c>
      <c r="U65" s="130">
        <v>-7.6504629629629561E-3</v>
      </c>
      <c r="V65" s="56" t="s">
        <v>1051</v>
      </c>
      <c r="W65" s="56" t="s">
        <v>1052</v>
      </c>
      <c r="X65" s="56" t="s">
        <v>1053</v>
      </c>
      <c r="Y65" s="56">
        <v>31</v>
      </c>
      <c r="Z65" s="56" t="s">
        <v>1054</v>
      </c>
      <c r="AA65" s="56" t="s">
        <v>1133</v>
      </c>
      <c r="AB65" s="56" t="s">
        <v>1120</v>
      </c>
      <c r="AC65" s="56" t="s">
        <v>1078</v>
      </c>
      <c r="AD65" s="56" t="s">
        <v>1134</v>
      </c>
      <c r="AE65" s="56" t="s">
        <v>1135</v>
      </c>
      <c r="AF65" s="56" t="s">
        <v>1060</v>
      </c>
      <c r="AG65" s="56" t="s">
        <v>1136</v>
      </c>
      <c r="AH65" s="56"/>
      <c r="AI65" s="56"/>
      <c r="AJ65" s="56"/>
      <c r="AK65" s="56"/>
      <c r="AL65" s="56"/>
      <c r="AM65" s="56"/>
      <c r="AN65" s="56"/>
      <c r="AO65" s="56"/>
      <c r="AP65" s="56"/>
      <c r="AQ65" s="131"/>
      <c r="AR65" s="130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</row>
    <row r="66" spans="1:56" x14ac:dyDescent="0.2">
      <c r="A66" s="56">
        <v>14107393</v>
      </c>
      <c r="B66" s="56">
        <v>175413100</v>
      </c>
      <c r="C66" s="56" t="s">
        <v>1438</v>
      </c>
      <c r="D66" s="56" t="s">
        <v>1439</v>
      </c>
      <c r="E66" s="56" t="s">
        <v>1047</v>
      </c>
      <c r="F66" s="56">
        <v>112</v>
      </c>
      <c r="G66" s="56">
        <v>15996</v>
      </c>
      <c r="H66" s="56" t="s">
        <v>1048</v>
      </c>
      <c r="I66" s="56" t="s">
        <v>1104</v>
      </c>
      <c r="J66" s="129">
        <v>46235</v>
      </c>
      <c r="K66" s="130">
        <v>0.21180555555555555</v>
      </c>
      <c r="L66" s="130">
        <v>0.22083333333333333</v>
      </c>
      <c r="M66" s="56" t="s">
        <v>1050</v>
      </c>
      <c r="N66" s="129">
        <v>46235</v>
      </c>
      <c r="O66" s="130">
        <v>0.2673611111111111</v>
      </c>
      <c r="P66" s="130">
        <v>0.25363425925925925</v>
      </c>
      <c r="Q66" s="56" t="s">
        <v>1050</v>
      </c>
      <c r="R66" s="56" t="s">
        <v>61</v>
      </c>
      <c r="S66" s="56">
        <v>31</v>
      </c>
      <c r="T66" s="131">
        <v>9.0277777777777735E-3</v>
      </c>
      <c r="U66" s="130">
        <v>-1.3726851851851851E-2</v>
      </c>
      <c r="V66" s="56" t="s">
        <v>1051</v>
      </c>
      <c r="W66" s="56" t="s">
        <v>1052</v>
      </c>
      <c r="X66" s="56" t="s">
        <v>1053</v>
      </c>
      <c r="Y66" s="56">
        <v>31</v>
      </c>
      <c r="Z66" s="56" t="s">
        <v>1054</v>
      </c>
      <c r="AA66" s="56" t="s">
        <v>1440</v>
      </c>
      <c r="AB66" s="56" t="s">
        <v>1106</v>
      </c>
      <c r="AC66" s="56" t="s">
        <v>1078</v>
      </c>
      <c r="AD66" s="56" t="s">
        <v>1441</v>
      </c>
      <c r="AE66" s="56" t="s">
        <v>1442</v>
      </c>
      <c r="AF66" s="56" t="s">
        <v>1060</v>
      </c>
      <c r="AG66" s="56" t="s">
        <v>1443</v>
      </c>
      <c r="AH66" s="56"/>
      <c r="AI66" s="56"/>
      <c r="AJ66" s="56"/>
      <c r="AK66" s="56"/>
      <c r="AL66" s="56"/>
      <c r="AM66" s="56"/>
      <c r="AN66" s="56"/>
      <c r="AO66" s="56"/>
      <c r="AP66" s="56"/>
      <c r="AQ66" s="131"/>
      <c r="AR66" s="130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</row>
    <row r="67" spans="1:56" x14ac:dyDescent="0.2">
      <c r="A67" s="56">
        <v>14123080</v>
      </c>
      <c r="B67" s="56">
        <v>175421901</v>
      </c>
      <c r="C67" s="56" t="s">
        <v>1444</v>
      </c>
      <c r="D67" s="56" t="s">
        <v>1445</v>
      </c>
      <c r="E67" s="56" t="s">
        <v>1047</v>
      </c>
      <c r="F67" s="56">
        <v>89</v>
      </c>
      <c r="G67" s="56">
        <v>4411</v>
      </c>
      <c r="H67" s="56" t="s">
        <v>1048</v>
      </c>
      <c r="I67" s="56" t="s">
        <v>1090</v>
      </c>
      <c r="J67" s="129">
        <v>46235</v>
      </c>
      <c r="K67" s="130">
        <v>0.21180555555555555</v>
      </c>
      <c r="L67" s="130">
        <v>0.21805555555555556</v>
      </c>
      <c r="M67" s="56" t="s">
        <v>1050</v>
      </c>
      <c r="N67" s="129">
        <v>46235</v>
      </c>
      <c r="O67" s="130">
        <v>0.2673611111111111</v>
      </c>
      <c r="P67" s="130">
        <v>0.25374999999999998</v>
      </c>
      <c r="Q67" s="56" t="s">
        <v>1050</v>
      </c>
      <c r="R67" s="56" t="s">
        <v>475</v>
      </c>
      <c r="S67" s="56">
        <v>31</v>
      </c>
      <c r="T67" s="131">
        <v>6.2500000000000056E-3</v>
      </c>
      <c r="U67" s="130">
        <v>-1.3611111111111129E-2</v>
      </c>
      <c r="V67" s="56" t="s">
        <v>1051</v>
      </c>
      <c r="W67" s="56" t="s">
        <v>1052</v>
      </c>
      <c r="X67" s="56" t="s">
        <v>1053</v>
      </c>
      <c r="Y67" s="56">
        <v>31</v>
      </c>
      <c r="Z67" s="56" t="s">
        <v>1054</v>
      </c>
      <c r="AA67" s="56" t="s">
        <v>1446</v>
      </c>
      <c r="AB67" s="56" t="s">
        <v>1092</v>
      </c>
      <c r="AC67" s="56" t="s">
        <v>1078</v>
      </c>
      <c r="AD67" s="56" t="s">
        <v>1447</v>
      </c>
      <c r="AE67" s="56" t="s">
        <v>1448</v>
      </c>
      <c r="AF67" s="56" t="s">
        <v>1060</v>
      </c>
      <c r="AG67" s="56" t="s">
        <v>1449</v>
      </c>
      <c r="AH67" s="56"/>
      <c r="AI67" s="56"/>
      <c r="AJ67" s="56"/>
      <c r="AK67" s="56"/>
      <c r="AL67" s="56"/>
      <c r="AM67" s="56"/>
      <c r="AN67" s="56"/>
      <c r="AO67" s="56"/>
      <c r="AP67" s="56"/>
      <c r="AQ67" s="131"/>
      <c r="AR67" s="130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</row>
    <row r="68" spans="1:56" x14ac:dyDescent="0.2">
      <c r="A68" s="56">
        <v>14122673</v>
      </c>
      <c r="B68" s="56">
        <v>175412821</v>
      </c>
      <c r="C68" s="56" t="s">
        <v>1450</v>
      </c>
      <c r="D68" s="56" t="s">
        <v>1451</v>
      </c>
      <c r="E68" s="56" t="s">
        <v>1047</v>
      </c>
      <c r="F68" s="56">
        <v>17</v>
      </c>
      <c r="G68" s="56">
        <v>6352</v>
      </c>
      <c r="H68" s="56" t="s">
        <v>1048</v>
      </c>
      <c r="I68" s="56" t="s">
        <v>1118</v>
      </c>
      <c r="J68" s="129">
        <v>46235</v>
      </c>
      <c r="K68" s="130">
        <v>0.21319444444444444</v>
      </c>
      <c r="L68" s="130">
        <v>0.22083333333333333</v>
      </c>
      <c r="M68" s="56" t="s">
        <v>1050</v>
      </c>
      <c r="N68" s="129">
        <v>46235</v>
      </c>
      <c r="O68" s="130">
        <v>0.2673611111111111</v>
      </c>
      <c r="P68" s="130">
        <v>0.25265046296296295</v>
      </c>
      <c r="Q68" s="56" t="s">
        <v>1050</v>
      </c>
      <c r="R68" s="56" t="s">
        <v>432</v>
      </c>
      <c r="S68" s="56">
        <v>31</v>
      </c>
      <c r="T68" s="131">
        <v>7.6388888888888895E-3</v>
      </c>
      <c r="U68" s="130">
        <v>-1.4710648148148153E-2</v>
      </c>
      <c r="V68" s="56" t="s">
        <v>1051</v>
      </c>
      <c r="W68" s="56" t="s">
        <v>1052</v>
      </c>
      <c r="X68" s="56" t="s">
        <v>1053</v>
      </c>
      <c r="Y68" s="56">
        <v>31</v>
      </c>
      <c r="Z68" s="56" t="s">
        <v>1054</v>
      </c>
      <c r="AA68" s="56" t="s">
        <v>1452</v>
      </c>
      <c r="AB68" s="56" t="s">
        <v>1120</v>
      </c>
      <c r="AC68" s="56" t="s">
        <v>1078</v>
      </c>
      <c r="AD68" s="56" t="s">
        <v>1453</v>
      </c>
      <c r="AE68" s="56" t="s">
        <v>1454</v>
      </c>
      <c r="AF68" s="56" t="s">
        <v>1060</v>
      </c>
      <c r="AG68" s="56" t="s">
        <v>1455</v>
      </c>
      <c r="AH68" s="56"/>
      <c r="AI68" s="56"/>
      <c r="AJ68" s="56"/>
      <c r="AK68" s="56"/>
      <c r="AL68" s="56"/>
      <c r="AM68" s="56"/>
      <c r="AN68" s="56"/>
      <c r="AO68" s="56"/>
      <c r="AP68" s="56"/>
      <c r="AQ68" s="131"/>
      <c r="AR68" s="130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</row>
    <row r="69" spans="1:56" x14ac:dyDescent="0.2">
      <c r="A69" s="56">
        <v>14110339</v>
      </c>
      <c r="B69" s="56">
        <v>175412837</v>
      </c>
      <c r="C69" s="56" t="s">
        <v>1456</v>
      </c>
      <c r="D69" s="56" t="s">
        <v>1457</v>
      </c>
      <c r="E69" s="56" t="s">
        <v>1047</v>
      </c>
      <c r="F69" s="56">
        <v>23</v>
      </c>
      <c r="G69" s="56">
        <v>5437</v>
      </c>
      <c r="H69" s="56" t="s">
        <v>1048</v>
      </c>
      <c r="I69" s="56" t="s">
        <v>1118</v>
      </c>
      <c r="J69" s="129">
        <v>46235</v>
      </c>
      <c r="K69" s="130">
        <v>0.21388888888888888</v>
      </c>
      <c r="L69" s="130">
        <v>0.21944444444444444</v>
      </c>
      <c r="M69" s="56" t="s">
        <v>1050</v>
      </c>
      <c r="N69" s="129">
        <v>46235</v>
      </c>
      <c r="O69" s="130">
        <v>0.2673611111111111</v>
      </c>
      <c r="P69" s="130">
        <v>0.26057870370370373</v>
      </c>
      <c r="Q69" s="56" t="s">
        <v>1050</v>
      </c>
      <c r="R69" s="56" t="s">
        <v>101</v>
      </c>
      <c r="S69" s="56">
        <v>31</v>
      </c>
      <c r="T69" s="131">
        <v>5.5555555555555636E-3</v>
      </c>
      <c r="U69" s="130">
        <v>-6.7824074074073759E-3</v>
      </c>
      <c r="V69" s="56" t="s">
        <v>1051</v>
      </c>
      <c r="W69" s="56" t="s">
        <v>1052</v>
      </c>
      <c r="X69" s="56" t="s">
        <v>1053</v>
      </c>
      <c r="Y69" s="56">
        <v>31</v>
      </c>
      <c r="Z69" s="56" t="s">
        <v>1054</v>
      </c>
      <c r="AA69" s="56" t="s">
        <v>1458</v>
      </c>
      <c r="AB69" s="56" t="s">
        <v>1120</v>
      </c>
      <c r="AC69" s="56" t="s">
        <v>1078</v>
      </c>
      <c r="AD69" s="56" t="s">
        <v>1459</v>
      </c>
      <c r="AE69" s="56" t="s">
        <v>1460</v>
      </c>
      <c r="AF69" s="56" t="s">
        <v>1060</v>
      </c>
      <c r="AG69" s="56" t="s">
        <v>1461</v>
      </c>
      <c r="AH69" s="56"/>
      <c r="AI69" s="56"/>
      <c r="AJ69" s="56"/>
      <c r="AK69" s="56"/>
      <c r="AL69" s="56"/>
      <c r="AM69" s="56"/>
      <c r="AN69" s="56"/>
      <c r="AO69" s="56"/>
      <c r="AP69" s="56"/>
      <c r="AQ69" s="131"/>
      <c r="AR69" s="130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</row>
    <row r="70" spans="1:56" x14ac:dyDescent="0.2">
      <c r="A70" s="56">
        <v>14107167</v>
      </c>
      <c r="B70" s="56">
        <v>175413507</v>
      </c>
      <c r="C70" s="56" t="s">
        <v>1462</v>
      </c>
      <c r="D70" s="56" t="s">
        <v>1463</v>
      </c>
      <c r="E70" s="56" t="s">
        <v>1047</v>
      </c>
      <c r="F70" s="56">
        <v>4</v>
      </c>
      <c r="G70" s="56">
        <v>5922</v>
      </c>
      <c r="H70" s="56" t="s">
        <v>1048</v>
      </c>
      <c r="I70" s="56" t="s">
        <v>1427</v>
      </c>
      <c r="J70" s="129">
        <v>46235</v>
      </c>
      <c r="K70" s="130">
        <v>0.21388888888888888</v>
      </c>
      <c r="L70" s="130">
        <v>0.31736111111111109</v>
      </c>
      <c r="M70" s="56" t="s">
        <v>1050</v>
      </c>
      <c r="N70" s="129">
        <v>46235</v>
      </c>
      <c r="O70" s="130">
        <v>0.27083333333333331</v>
      </c>
      <c r="P70" s="56"/>
      <c r="Q70" s="56" t="s">
        <v>1286</v>
      </c>
      <c r="R70" s="56" t="s">
        <v>56</v>
      </c>
      <c r="S70" s="56">
        <v>31</v>
      </c>
      <c r="T70" s="131">
        <v>0.10347222222222222</v>
      </c>
      <c r="U70" s="130">
        <v>-0.27083333333333331</v>
      </c>
      <c r="V70" s="56" t="s">
        <v>1051</v>
      </c>
      <c r="W70" s="56" t="s">
        <v>1052</v>
      </c>
      <c r="X70" s="56" t="s">
        <v>1053</v>
      </c>
      <c r="Y70" s="56">
        <v>31</v>
      </c>
      <c r="Z70" s="56" t="s">
        <v>1054</v>
      </c>
      <c r="AA70" s="56" t="s">
        <v>1464</v>
      </c>
      <c r="AB70" s="56" t="s">
        <v>1194</v>
      </c>
      <c r="AC70" s="56" t="s">
        <v>1057</v>
      </c>
      <c r="AD70" s="56" t="s">
        <v>1465</v>
      </c>
      <c r="AE70" s="56" t="s">
        <v>1466</v>
      </c>
      <c r="AF70" s="56" t="s">
        <v>1060</v>
      </c>
      <c r="AG70" s="56" t="s">
        <v>1467</v>
      </c>
      <c r="AH70" s="56"/>
      <c r="AI70" s="56"/>
      <c r="AJ70" s="56"/>
      <c r="AK70" s="56"/>
      <c r="AL70" s="56"/>
      <c r="AM70" s="56"/>
      <c r="AN70" s="56"/>
      <c r="AO70" s="56"/>
      <c r="AP70" s="56"/>
      <c r="AQ70" s="131"/>
      <c r="AR70" s="130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</row>
    <row r="71" spans="1:56" x14ac:dyDescent="0.2">
      <c r="A71" s="56">
        <v>14108222</v>
      </c>
      <c r="B71" s="56">
        <v>175412841</v>
      </c>
      <c r="C71" s="56" t="s">
        <v>1468</v>
      </c>
      <c r="D71" s="56" t="s">
        <v>1242</v>
      </c>
      <c r="E71" s="56" t="s">
        <v>1047</v>
      </c>
      <c r="F71" s="56">
        <v>25</v>
      </c>
      <c r="G71" s="56">
        <v>13844</v>
      </c>
      <c r="H71" s="56" t="s">
        <v>1048</v>
      </c>
      <c r="I71" s="56" t="s">
        <v>1118</v>
      </c>
      <c r="J71" s="129">
        <v>46235</v>
      </c>
      <c r="K71" s="130">
        <v>0.21527777777777779</v>
      </c>
      <c r="L71" s="130">
        <v>0.22013888888888888</v>
      </c>
      <c r="M71" s="56" t="s">
        <v>1050</v>
      </c>
      <c r="N71" s="129">
        <v>46235</v>
      </c>
      <c r="O71" s="130">
        <v>0.2673611111111111</v>
      </c>
      <c r="P71" s="130">
        <v>0.25747685185185187</v>
      </c>
      <c r="Q71" s="56" t="s">
        <v>1050</v>
      </c>
      <c r="R71" s="56" t="s">
        <v>71</v>
      </c>
      <c r="S71" s="56">
        <v>31</v>
      </c>
      <c r="T71" s="131">
        <v>4.8611111111110938E-3</v>
      </c>
      <c r="U71" s="130">
        <v>-9.8842592592592315E-3</v>
      </c>
      <c r="V71" s="56" t="s">
        <v>1051</v>
      </c>
      <c r="W71" s="56" t="s">
        <v>1052</v>
      </c>
      <c r="X71" s="56" t="s">
        <v>1053</v>
      </c>
      <c r="Y71" s="56">
        <v>31</v>
      </c>
      <c r="Z71" s="56" t="s">
        <v>1054</v>
      </c>
      <c r="AA71" s="56" t="s">
        <v>1243</v>
      </c>
      <c r="AB71" s="56" t="s">
        <v>1120</v>
      </c>
      <c r="AC71" s="56" t="s">
        <v>1078</v>
      </c>
      <c r="AD71" s="56" t="s">
        <v>1244</v>
      </c>
      <c r="AE71" s="56" t="s">
        <v>1245</v>
      </c>
      <c r="AF71" s="56" t="s">
        <v>1060</v>
      </c>
      <c r="AG71" s="56" t="s">
        <v>1469</v>
      </c>
      <c r="AH71" s="56"/>
      <c r="AI71" s="56"/>
      <c r="AJ71" s="56"/>
      <c r="AK71" s="56"/>
      <c r="AL71" s="56"/>
      <c r="AM71" s="56"/>
      <c r="AN71" s="56"/>
      <c r="AO71" s="56"/>
      <c r="AP71" s="56"/>
      <c r="AQ71" s="131"/>
      <c r="AR71" s="130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</row>
    <row r="72" spans="1:56" x14ac:dyDescent="0.2">
      <c r="A72" s="56">
        <v>14123012</v>
      </c>
      <c r="B72" s="56">
        <v>175421884</v>
      </c>
      <c r="C72" s="56" t="s">
        <v>1470</v>
      </c>
      <c r="D72" s="56" t="s">
        <v>1471</v>
      </c>
      <c r="E72" s="56" t="s">
        <v>1047</v>
      </c>
      <c r="F72" s="56">
        <v>133</v>
      </c>
      <c r="G72" s="56">
        <v>11944</v>
      </c>
      <c r="H72" s="56" t="s">
        <v>1048</v>
      </c>
      <c r="I72" s="56" t="s">
        <v>1172</v>
      </c>
      <c r="J72" s="129">
        <v>46235</v>
      </c>
      <c r="K72" s="130">
        <v>0.21527777777777779</v>
      </c>
      <c r="L72" s="130">
        <v>0.22083333333333333</v>
      </c>
      <c r="M72" s="56" t="s">
        <v>1050</v>
      </c>
      <c r="N72" s="129">
        <v>46235</v>
      </c>
      <c r="O72" s="130">
        <v>0.28125</v>
      </c>
      <c r="P72" s="130">
        <v>0.27672453703703703</v>
      </c>
      <c r="Q72" s="56" t="s">
        <v>1050</v>
      </c>
      <c r="R72" s="56" t="s">
        <v>471</v>
      </c>
      <c r="S72" s="56">
        <v>31</v>
      </c>
      <c r="T72" s="131">
        <v>5.5555555555555358E-3</v>
      </c>
      <c r="U72" s="130">
        <v>-4.5254629629629672E-3</v>
      </c>
      <c r="V72" s="56" t="s">
        <v>1051</v>
      </c>
      <c r="W72" s="56" t="s">
        <v>1052</v>
      </c>
      <c r="X72" s="56" t="s">
        <v>1053</v>
      </c>
      <c r="Y72" s="56">
        <v>31</v>
      </c>
      <c r="Z72" s="56" t="s">
        <v>1054</v>
      </c>
      <c r="AA72" s="56" t="s">
        <v>1472</v>
      </c>
      <c r="AB72" s="56" t="s">
        <v>1210</v>
      </c>
      <c r="AC72" s="56" t="s">
        <v>1057</v>
      </c>
      <c r="AD72" s="56" t="s">
        <v>1473</v>
      </c>
      <c r="AE72" s="56" t="s">
        <v>1474</v>
      </c>
      <c r="AF72" s="56" t="s">
        <v>1060</v>
      </c>
      <c r="AG72" s="56" t="s">
        <v>1475</v>
      </c>
      <c r="AH72" s="56"/>
      <c r="AI72" s="56"/>
      <c r="AJ72" s="56"/>
      <c r="AK72" s="56"/>
      <c r="AL72" s="56"/>
      <c r="AM72" s="56"/>
      <c r="AN72" s="56"/>
      <c r="AO72" s="56"/>
      <c r="AP72" s="56"/>
      <c r="AQ72" s="131"/>
      <c r="AR72" s="130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</row>
    <row r="73" spans="1:56" x14ac:dyDescent="0.2">
      <c r="A73" s="56">
        <v>14122329</v>
      </c>
      <c r="B73" s="56">
        <v>175412958</v>
      </c>
      <c r="C73" s="56" t="s">
        <v>1476</v>
      </c>
      <c r="D73" s="56" t="s">
        <v>1477</v>
      </c>
      <c r="E73" s="56" t="s">
        <v>1047</v>
      </c>
      <c r="F73" s="56">
        <v>40</v>
      </c>
      <c r="G73" s="56">
        <v>5425</v>
      </c>
      <c r="H73" s="56" t="s">
        <v>1048</v>
      </c>
      <c r="I73" s="56" t="s">
        <v>1118</v>
      </c>
      <c r="J73" s="129">
        <v>46235</v>
      </c>
      <c r="K73" s="130">
        <v>0.21736111111111112</v>
      </c>
      <c r="L73" s="130">
        <v>0.22777777777777777</v>
      </c>
      <c r="M73" s="56" t="s">
        <v>1050</v>
      </c>
      <c r="N73" s="129">
        <v>46235</v>
      </c>
      <c r="O73" s="130">
        <v>0.2673611111111111</v>
      </c>
      <c r="P73" s="130">
        <v>0.26234953703703706</v>
      </c>
      <c r="Q73" s="56" t="s">
        <v>1050</v>
      </c>
      <c r="R73" s="56" t="s">
        <v>406</v>
      </c>
      <c r="S73" s="56">
        <v>31</v>
      </c>
      <c r="T73" s="131">
        <v>1.0416666666666657E-2</v>
      </c>
      <c r="U73" s="130">
        <v>-5.0115740740740433E-3</v>
      </c>
      <c r="V73" s="56" t="s">
        <v>1051</v>
      </c>
      <c r="W73" s="56" t="s">
        <v>1052</v>
      </c>
      <c r="X73" s="56" t="s">
        <v>1053</v>
      </c>
      <c r="Y73" s="56">
        <v>31</v>
      </c>
      <c r="Z73" s="56" t="s">
        <v>1054</v>
      </c>
      <c r="AA73" s="56" t="s">
        <v>1478</v>
      </c>
      <c r="AB73" s="56" t="s">
        <v>1120</v>
      </c>
      <c r="AC73" s="56" t="s">
        <v>1078</v>
      </c>
      <c r="AD73" s="56" t="s">
        <v>1479</v>
      </c>
      <c r="AE73" s="56" t="s">
        <v>1480</v>
      </c>
      <c r="AF73" s="56" t="s">
        <v>1060</v>
      </c>
      <c r="AG73" s="56" t="s">
        <v>1481</v>
      </c>
      <c r="AH73" s="56"/>
      <c r="AI73" s="56"/>
      <c r="AJ73" s="56"/>
      <c r="AK73" s="56"/>
      <c r="AL73" s="56"/>
      <c r="AM73" s="56"/>
      <c r="AN73" s="56"/>
      <c r="AO73" s="56"/>
      <c r="AP73" s="56"/>
      <c r="AQ73" s="131"/>
      <c r="AR73" s="130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</row>
    <row r="74" spans="1:56" x14ac:dyDescent="0.2">
      <c r="A74" s="56">
        <v>14118579</v>
      </c>
      <c r="B74" s="56">
        <v>175414186</v>
      </c>
      <c r="C74" s="56" t="s">
        <v>1482</v>
      </c>
      <c r="D74" s="56" t="s">
        <v>1483</v>
      </c>
      <c r="E74" s="56" t="s">
        <v>1047</v>
      </c>
      <c r="F74" s="56">
        <v>12</v>
      </c>
      <c r="G74" s="56">
        <v>15334</v>
      </c>
      <c r="H74" s="56" t="s">
        <v>1048</v>
      </c>
      <c r="I74" s="56" t="s">
        <v>1484</v>
      </c>
      <c r="J74" s="129">
        <v>46235</v>
      </c>
      <c r="K74" s="130">
        <v>0.21875</v>
      </c>
      <c r="L74" s="130">
        <v>0.22361111111111112</v>
      </c>
      <c r="M74" s="56" t="s">
        <v>1050</v>
      </c>
      <c r="N74" s="129">
        <v>46235</v>
      </c>
      <c r="O74" s="130">
        <v>0.26041666666666669</v>
      </c>
      <c r="P74" s="130">
        <v>0.25490740740740742</v>
      </c>
      <c r="Q74" s="56" t="s">
        <v>1050</v>
      </c>
      <c r="R74" s="56" t="s">
        <v>464</v>
      </c>
      <c r="S74" s="56">
        <v>31</v>
      </c>
      <c r="T74" s="131">
        <v>4.8611111111111216E-3</v>
      </c>
      <c r="U74" s="130">
        <v>-5.5092592592592693E-3</v>
      </c>
      <c r="V74" s="56" t="s">
        <v>1051</v>
      </c>
      <c r="W74" s="56" t="s">
        <v>1052</v>
      </c>
      <c r="X74" s="56" t="s">
        <v>1053</v>
      </c>
      <c r="Y74" s="56">
        <v>31</v>
      </c>
      <c r="Z74" s="56" t="s">
        <v>1054</v>
      </c>
      <c r="AA74" s="56" t="s">
        <v>1485</v>
      </c>
      <c r="AB74" s="56" t="s">
        <v>1068</v>
      </c>
      <c r="AC74" s="56" t="s">
        <v>1069</v>
      </c>
      <c r="AD74" s="56" t="s">
        <v>1486</v>
      </c>
      <c r="AE74" s="56" t="s">
        <v>1487</v>
      </c>
      <c r="AF74" s="56" t="s">
        <v>1060</v>
      </c>
      <c r="AG74" s="56" t="s">
        <v>1488</v>
      </c>
      <c r="AH74" s="56"/>
      <c r="AI74" s="56"/>
      <c r="AJ74" s="56"/>
      <c r="AK74" s="56"/>
      <c r="AL74" s="56"/>
      <c r="AM74" s="56"/>
      <c r="AN74" s="56"/>
      <c r="AO74" s="56"/>
      <c r="AP74" s="56"/>
      <c r="AQ74" s="131"/>
      <c r="AR74" s="130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</row>
    <row r="75" spans="1:56" x14ac:dyDescent="0.2">
      <c r="A75" s="56">
        <v>14123254</v>
      </c>
      <c r="B75" s="56">
        <v>175419431</v>
      </c>
      <c r="C75" s="56" t="s">
        <v>1489</v>
      </c>
      <c r="D75" s="56" t="s">
        <v>1490</v>
      </c>
      <c r="E75" s="56" t="s">
        <v>1047</v>
      </c>
      <c r="F75" s="56">
        <v>77</v>
      </c>
      <c r="G75" s="56">
        <v>5527</v>
      </c>
      <c r="H75" s="56" t="s">
        <v>1048</v>
      </c>
      <c r="I75" s="56" t="s">
        <v>1172</v>
      </c>
      <c r="J75" s="129">
        <v>46235</v>
      </c>
      <c r="K75" s="130">
        <v>0.22222222222222221</v>
      </c>
      <c r="L75" s="130">
        <v>0.22777777777777777</v>
      </c>
      <c r="M75" s="56" t="s">
        <v>1050</v>
      </c>
      <c r="N75" s="129">
        <v>46235</v>
      </c>
      <c r="O75" s="130">
        <v>0.28125</v>
      </c>
      <c r="P75" s="130">
        <v>0.26630787037037035</v>
      </c>
      <c r="Q75" s="56" t="s">
        <v>1050</v>
      </c>
      <c r="R75" s="56" t="s">
        <v>490</v>
      </c>
      <c r="S75" s="56">
        <v>31</v>
      </c>
      <c r="T75" s="131">
        <v>5.5555555555555636E-3</v>
      </c>
      <c r="U75" s="130">
        <v>-1.4942129629629652E-2</v>
      </c>
      <c r="V75" s="56" t="s">
        <v>1051</v>
      </c>
      <c r="W75" s="56" t="s">
        <v>1052</v>
      </c>
      <c r="X75" s="56" t="s">
        <v>1053</v>
      </c>
      <c r="Y75" s="56">
        <v>31</v>
      </c>
      <c r="Z75" s="56" t="s">
        <v>1054</v>
      </c>
      <c r="AA75" s="56" t="s">
        <v>1491</v>
      </c>
      <c r="AB75" s="56" t="s">
        <v>1174</v>
      </c>
      <c r="AC75" s="56" t="s">
        <v>1057</v>
      </c>
      <c r="AD75" s="56" t="s">
        <v>1492</v>
      </c>
      <c r="AE75" s="56" t="s">
        <v>1493</v>
      </c>
      <c r="AF75" s="56" t="s">
        <v>1060</v>
      </c>
      <c r="AG75" s="56" t="s">
        <v>1494</v>
      </c>
      <c r="AH75" s="56"/>
      <c r="AI75" s="56"/>
      <c r="AJ75" s="56"/>
      <c r="AK75" s="56"/>
      <c r="AL75" s="56"/>
      <c r="AM75" s="56"/>
      <c r="AN75" s="56"/>
      <c r="AO75" s="56"/>
      <c r="AP75" s="56"/>
      <c r="AQ75" s="131"/>
      <c r="AR75" s="130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</row>
    <row r="76" spans="1:56" x14ac:dyDescent="0.2">
      <c r="A76" s="56">
        <v>14122291</v>
      </c>
      <c r="B76" s="56">
        <v>175422244</v>
      </c>
      <c r="C76" s="56" t="s">
        <v>1495</v>
      </c>
      <c r="D76" s="56" t="s">
        <v>1406</v>
      </c>
      <c r="E76" s="56" t="s">
        <v>1047</v>
      </c>
      <c r="F76" s="56">
        <v>7</v>
      </c>
      <c r="G76" s="56">
        <v>4978</v>
      </c>
      <c r="H76" s="56" t="s">
        <v>1048</v>
      </c>
      <c r="I76" s="56" t="s">
        <v>1496</v>
      </c>
      <c r="J76" s="129">
        <v>46235</v>
      </c>
      <c r="K76" s="130">
        <v>0.22222222222222221</v>
      </c>
      <c r="L76" s="130">
        <v>0.22847222222222222</v>
      </c>
      <c r="M76" s="56" t="s">
        <v>1050</v>
      </c>
      <c r="N76" s="129">
        <v>46235</v>
      </c>
      <c r="O76" s="130">
        <v>0.26041666666666669</v>
      </c>
      <c r="P76" s="130">
        <v>0.2582638888888889</v>
      </c>
      <c r="Q76" s="56" t="s">
        <v>1050</v>
      </c>
      <c r="R76" s="56" t="s">
        <v>402</v>
      </c>
      <c r="S76" s="56">
        <v>31</v>
      </c>
      <c r="T76" s="131">
        <v>6.2500000000000056E-3</v>
      </c>
      <c r="U76" s="130">
        <v>-2.1527777777777812E-3</v>
      </c>
      <c r="V76" s="56" t="s">
        <v>1051</v>
      </c>
      <c r="W76" s="56" t="s">
        <v>1052</v>
      </c>
      <c r="X76" s="56" t="s">
        <v>1053</v>
      </c>
      <c r="Y76" s="56">
        <v>31</v>
      </c>
      <c r="Z76" s="56" t="s">
        <v>1054</v>
      </c>
      <c r="AA76" s="56" t="s">
        <v>1497</v>
      </c>
      <c r="AB76" s="56" t="s">
        <v>1257</v>
      </c>
      <c r="AC76" s="56" t="s">
        <v>1069</v>
      </c>
      <c r="AD76" s="56" t="s">
        <v>1498</v>
      </c>
      <c r="AE76" s="56" t="s">
        <v>1499</v>
      </c>
      <c r="AF76" s="56" t="s">
        <v>1060</v>
      </c>
      <c r="AG76" s="56" t="s">
        <v>1500</v>
      </c>
      <c r="AH76" s="56"/>
      <c r="AI76" s="56"/>
      <c r="AJ76" s="56"/>
      <c r="AK76" s="56"/>
      <c r="AL76" s="56"/>
      <c r="AM76" s="56"/>
      <c r="AN76" s="56"/>
      <c r="AO76" s="56"/>
      <c r="AP76" s="56"/>
      <c r="AQ76" s="131"/>
      <c r="AR76" s="130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</row>
    <row r="77" spans="1:56" x14ac:dyDescent="0.2">
      <c r="A77" s="56">
        <v>14100787</v>
      </c>
      <c r="B77" s="56">
        <v>175414746</v>
      </c>
      <c r="C77" s="56" t="s">
        <v>1501</v>
      </c>
      <c r="D77" s="56" t="s">
        <v>1502</v>
      </c>
      <c r="E77" s="56" t="s">
        <v>1047</v>
      </c>
      <c r="F77" s="56">
        <v>98</v>
      </c>
      <c r="G77" s="56">
        <v>6474</v>
      </c>
      <c r="H77" s="56" t="s">
        <v>1048</v>
      </c>
      <c r="I77" s="56" t="s">
        <v>1503</v>
      </c>
      <c r="J77" s="129">
        <v>46235</v>
      </c>
      <c r="K77" s="130">
        <v>0.22569444444444445</v>
      </c>
      <c r="L77" s="130">
        <v>0.2326388888888889</v>
      </c>
      <c r="M77" s="56" t="s">
        <v>1050</v>
      </c>
      <c r="N77" s="129">
        <v>46235</v>
      </c>
      <c r="O77" s="130">
        <v>0.2638888888888889</v>
      </c>
      <c r="P77" s="130">
        <v>0.25791666666666668</v>
      </c>
      <c r="Q77" s="56" t="s">
        <v>1050</v>
      </c>
      <c r="R77" s="56" t="s">
        <v>20</v>
      </c>
      <c r="S77" s="56">
        <v>31</v>
      </c>
      <c r="T77" s="131">
        <v>6.9444444444444475E-3</v>
      </c>
      <c r="U77" s="130">
        <v>-5.9722222222222121E-3</v>
      </c>
      <c r="V77" s="56" t="s">
        <v>1051</v>
      </c>
      <c r="W77" s="56" t="s">
        <v>1052</v>
      </c>
      <c r="X77" s="56" t="s">
        <v>1053</v>
      </c>
      <c r="Y77" s="56">
        <v>31</v>
      </c>
      <c r="Z77" s="56" t="s">
        <v>1054</v>
      </c>
      <c r="AA77" s="56" t="s">
        <v>1504</v>
      </c>
      <c r="AB77" s="56" t="s">
        <v>1361</v>
      </c>
      <c r="AC77" s="56" t="s">
        <v>1069</v>
      </c>
      <c r="AD77" s="56" t="s">
        <v>1505</v>
      </c>
      <c r="AE77" s="56" t="s">
        <v>1506</v>
      </c>
      <c r="AF77" s="56" t="s">
        <v>1060</v>
      </c>
      <c r="AG77" s="56" t="s">
        <v>1507</v>
      </c>
      <c r="AH77" s="56"/>
      <c r="AI77" s="56"/>
      <c r="AJ77" s="56"/>
      <c r="AK77" s="56"/>
      <c r="AL77" s="56"/>
      <c r="AM77" s="56"/>
      <c r="AN77" s="56"/>
      <c r="AO77" s="56"/>
      <c r="AP77" s="56"/>
      <c r="AQ77" s="131"/>
      <c r="AR77" s="130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</row>
    <row r="78" spans="1:56" x14ac:dyDescent="0.2">
      <c r="A78" s="56">
        <v>14121158</v>
      </c>
      <c r="B78" s="56">
        <v>175421905</v>
      </c>
      <c r="C78" s="56" t="s">
        <v>1508</v>
      </c>
      <c r="D78" s="56" t="s">
        <v>1509</v>
      </c>
      <c r="E78" s="56" t="s">
        <v>1047</v>
      </c>
      <c r="F78" s="56">
        <v>91</v>
      </c>
      <c r="G78" s="56">
        <v>4532</v>
      </c>
      <c r="H78" s="56" t="s">
        <v>1048</v>
      </c>
      <c r="I78" s="56" t="s">
        <v>1090</v>
      </c>
      <c r="J78" s="129">
        <v>46235</v>
      </c>
      <c r="K78" s="130">
        <v>0.22569444444444445</v>
      </c>
      <c r="L78" s="130">
        <v>0.2298611111111111</v>
      </c>
      <c r="M78" s="56" t="s">
        <v>1050</v>
      </c>
      <c r="N78" s="129">
        <v>46235</v>
      </c>
      <c r="O78" s="130">
        <v>0.2673611111111111</v>
      </c>
      <c r="P78" s="130">
        <v>0.2507638888888889</v>
      </c>
      <c r="Q78" s="56" t="s">
        <v>1050</v>
      </c>
      <c r="R78" s="56" t="s">
        <v>317</v>
      </c>
      <c r="S78" s="56">
        <v>31</v>
      </c>
      <c r="T78" s="131">
        <v>4.1666666666666519E-3</v>
      </c>
      <c r="U78" s="130">
        <v>-1.6597222222222208E-2</v>
      </c>
      <c r="V78" s="56" t="s">
        <v>1051</v>
      </c>
      <c r="W78" s="56" t="s">
        <v>1052</v>
      </c>
      <c r="X78" s="56" t="s">
        <v>1053</v>
      </c>
      <c r="Y78" s="56">
        <v>31</v>
      </c>
      <c r="Z78" s="56" t="s">
        <v>1054</v>
      </c>
      <c r="AA78" s="56" t="s">
        <v>1510</v>
      </c>
      <c r="AB78" s="56" t="s">
        <v>1092</v>
      </c>
      <c r="AC78" s="56" t="s">
        <v>1078</v>
      </c>
      <c r="AD78" s="56" t="s">
        <v>1511</v>
      </c>
      <c r="AE78" s="56" t="s">
        <v>1512</v>
      </c>
      <c r="AF78" s="56" t="s">
        <v>1060</v>
      </c>
      <c r="AG78" s="56" t="s">
        <v>1513</v>
      </c>
      <c r="AH78" s="56"/>
      <c r="AI78" s="56"/>
      <c r="AJ78" s="56"/>
      <c r="AK78" s="56"/>
      <c r="AL78" s="56"/>
      <c r="AM78" s="56"/>
      <c r="AN78" s="56"/>
      <c r="AO78" s="56"/>
      <c r="AP78" s="56"/>
      <c r="AQ78" s="131"/>
      <c r="AR78" s="130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</row>
    <row r="79" spans="1:56" x14ac:dyDescent="0.2">
      <c r="A79" s="56">
        <v>14118743</v>
      </c>
      <c r="B79" s="56">
        <v>175415958</v>
      </c>
      <c r="C79" s="56" t="s">
        <v>1514</v>
      </c>
      <c r="D79" s="56" t="s">
        <v>1515</v>
      </c>
      <c r="E79" s="56" t="s">
        <v>1047</v>
      </c>
      <c r="F79" s="56">
        <v>11</v>
      </c>
      <c r="G79" s="56">
        <v>15185</v>
      </c>
      <c r="H79" s="56" t="s">
        <v>1048</v>
      </c>
      <c r="I79" s="56" t="s">
        <v>1064</v>
      </c>
      <c r="J79" s="129">
        <v>46235</v>
      </c>
      <c r="K79" s="130">
        <v>0.22638888888888889</v>
      </c>
      <c r="L79" s="130">
        <v>0.23194444444444445</v>
      </c>
      <c r="M79" s="56" t="s">
        <v>1050</v>
      </c>
      <c r="N79" s="129">
        <v>46235</v>
      </c>
      <c r="O79" s="130">
        <v>0.25</v>
      </c>
      <c r="P79" s="130">
        <v>0.24444444444444444</v>
      </c>
      <c r="Q79" s="56" t="s">
        <v>1050</v>
      </c>
      <c r="R79" s="56" t="s">
        <v>208</v>
      </c>
      <c r="S79" s="56">
        <v>31</v>
      </c>
      <c r="T79" s="131">
        <v>5.5555555555555636E-3</v>
      </c>
      <c r="U79" s="130">
        <v>-5.5555555555555636E-3</v>
      </c>
      <c r="V79" s="56" t="s">
        <v>1051</v>
      </c>
      <c r="W79" s="56" t="s">
        <v>1052</v>
      </c>
      <c r="X79" s="56" t="s">
        <v>1053</v>
      </c>
      <c r="Y79" s="56">
        <v>31</v>
      </c>
      <c r="Z79" s="56" t="s">
        <v>1054</v>
      </c>
      <c r="AA79" s="56" t="s">
        <v>1516</v>
      </c>
      <c r="AB79" s="56" t="s">
        <v>1068</v>
      </c>
      <c r="AC79" s="56" t="s">
        <v>1069</v>
      </c>
      <c r="AD79" s="56" t="s">
        <v>1517</v>
      </c>
      <c r="AE79" s="56" t="s">
        <v>1518</v>
      </c>
      <c r="AF79" s="56" t="s">
        <v>1060</v>
      </c>
      <c r="AG79" s="56" t="s">
        <v>1519</v>
      </c>
      <c r="AH79" s="56"/>
      <c r="AI79" s="56"/>
      <c r="AJ79" s="56"/>
      <c r="AK79" s="56"/>
      <c r="AL79" s="56"/>
      <c r="AM79" s="56"/>
      <c r="AN79" s="56"/>
      <c r="AO79" s="56"/>
      <c r="AP79" s="56"/>
      <c r="AQ79" s="131"/>
      <c r="AR79" s="130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</row>
    <row r="80" spans="1:56" x14ac:dyDescent="0.2">
      <c r="A80" s="56">
        <v>14121791</v>
      </c>
      <c r="B80" s="56">
        <v>175416657</v>
      </c>
      <c r="C80" s="56" t="s">
        <v>1520</v>
      </c>
      <c r="D80" s="56" t="s">
        <v>1521</v>
      </c>
      <c r="E80" s="56" t="s">
        <v>1047</v>
      </c>
      <c r="F80" s="56">
        <v>22</v>
      </c>
      <c r="G80" s="56">
        <v>14687</v>
      </c>
      <c r="H80" s="56" t="s">
        <v>1048</v>
      </c>
      <c r="I80" s="56" t="s">
        <v>1172</v>
      </c>
      <c r="J80" s="129">
        <v>46235</v>
      </c>
      <c r="K80" s="130">
        <v>0.22916666666666666</v>
      </c>
      <c r="L80" s="130">
        <v>0.23541666666666666</v>
      </c>
      <c r="M80" s="56" t="s">
        <v>1050</v>
      </c>
      <c r="N80" s="129">
        <v>46235</v>
      </c>
      <c r="O80" s="130">
        <v>0.28125</v>
      </c>
      <c r="P80" s="130">
        <v>0.27681712962962962</v>
      </c>
      <c r="Q80" s="56" t="s">
        <v>1050</v>
      </c>
      <c r="R80" s="56" t="s">
        <v>354</v>
      </c>
      <c r="S80" s="56">
        <v>31</v>
      </c>
      <c r="T80" s="131">
        <v>6.2500000000000056E-3</v>
      </c>
      <c r="U80" s="130">
        <v>-4.4328703703703787E-3</v>
      </c>
      <c r="V80" s="56" t="s">
        <v>1051</v>
      </c>
      <c r="W80" s="56" t="s">
        <v>1052</v>
      </c>
      <c r="X80" s="56" t="s">
        <v>1053</v>
      </c>
      <c r="Y80" s="56">
        <v>31</v>
      </c>
      <c r="Z80" s="56" t="s">
        <v>1054</v>
      </c>
      <c r="AA80" s="56" t="s">
        <v>1522</v>
      </c>
      <c r="AB80" s="56" t="s">
        <v>1174</v>
      </c>
      <c r="AC80" s="56" t="s">
        <v>1057</v>
      </c>
      <c r="AD80" s="56" t="s">
        <v>1523</v>
      </c>
      <c r="AE80" s="56" t="s">
        <v>1524</v>
      </c>
      <c r="AF80" s="56" t="s">
        <v>1060</v>
      </c>
      <c r="AG80" s="56" t="s">
        <v>1525</v>
      </c>
      <c r="AH80" s="56"/>
      <c r="AI80" s="56"/>
      <c r="AJ80" s="56"/>
      <c r="AK80" s="56"/>
      <c r="AL80" s="56"/>
      <c r="AM80" s="56"/>
      <c r="AN80" s="56"/>
      <c r="AO80" s="56"/>
      <c r="AP80" s="56"/>
      <c r="AQ80" s="131"/>
      <c r="AR80" s="130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</row>
    <row r="81" spans="1:56" x14ac:dyDescent="0.2">
      <c r="A81" s="56">
        <v>14123725</v>
      </c>
      <c r="B81" s="56">
        <v>175420853</v>
      </c>
      <c r="C81" s="56" t="s">
        <v>1170</v>
      </c>
      <c r="D81" s="56" t="s">
        <v>1171</v>
      </c>
      <c r="E81" s="56" t="s">
        <v>1047</v>
      </c>
      <c r="F81" s="56">
        <v>98</v>
      </c>
      <c r="G81" s="56">
        <v>13371</v>
      </c>
      <c r="H81" s="56" t="s">
        <v>1048</v>
      </c>
      <c r="I81" s="56" t="s">
        <v>1172</v>
      </c>
      <c r="J81" s="129">
        <v>46235</v>
      </c>
      <c r="K81" s="130">
        <v>0.22916666666666666</v>
      </c>
      <c r="L81" s="130">
        <v>0.24305555555555555</v>
      </c>
      <c r="M81" s="56" t="s">
        <v>1050</v>
      </c>
      <c r="N81" s="129">
        <v>46235</v>
      </c>
      <c r="O81" s="130">
        <v>0.28125</v>
      </c>
      <c r="P81" s="130">
        <v>0.27527777777777779</v>
      </c>
      <c r="Q81" s="56" t="s">
        <v>1050</v>
      </c>
      <c r="R81" s="56" t="s">
        <v>956</v>
      </c>
      <c r="S81" s="56">
        <v>31</v>
      </c>
      <c r="T81" s="131">
        <v>1.3888888888888895E-2</v>
      </c>
      <c r="U81" s="130">
        <v>-5.9722222222222121E-3</v>
      </c>
      <c r="V81" s="56" t="s">
        <v>1051</v>
      </c>
      <c r="W81" s="56" t="s">
        <v>1052</v>
      </c>
      <c r="X81" s="56" t="s">
        <v>1053</v>
      </c>
      <c r="Y81" s="56">
        <v>31</v>
      </c>
      <c r="Z81" s="56" t="s">
        <v>1054</v>
      </c>
      <c r="AA81" s="56" t="s">
        <v>1173</v>
      </c>
      <c r="AB81" s="56" t="s">
        <v>1174</v>
      </c>
      <c r="AC81" s="56" t="s">
        <v>1057</v>
      </c>
      <c r="AD81" s="56" t="s">
        <v>1175</v>
      </c>
      <c r="AE81" s="56" t="s">
        <v>1176</v>
      </c>
      <c r="AF81" s="56" t="s">
        <v>1060</v>
      </c>
      <c r="AG81" s="56" t="s">
        <v>1177</v>
      </c>
      <c r="AH81" s="56"/>
      <c r="AI81" s="56"/>
      <c r="AJ81" s="56"/>
      <c r="AK81" s="56"/>
      <c r="AL81" s="56"/>
      <c r="AM81" s="56"/>
      <c r="AN81" s="56"/>
      <c r="AO81" s="56"/>
      <c r="AP81" s="56"/>
      <c r="AQ81" s="131"/>
      <c r="AR81" s="130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</row>
    <row r="82" spans="1:56" x14ac:dyDescent="0.2">
      <c r="A82" s="56">
        <v>14122419</v>
      </c>
      <c r="B82" s="56">
        <v>175417214</v>
      </c>
      <c r="C82" s="56" t="s">
        <v>1526</v>
      </c>
      <c r="D82" s="56" t="s">
        <v>1527</v>
      </c>
      <c r="E82" s="56" t="s">
        <v>1047</v>
      </c>
      <c r="F82" s="56">
        <v>32</v>
      </c>
      <c r="G82" s="56">
        <v>15315</v>
      </c>
      <c r="H82" s="56" t="s">
        <v>1048</v>
      </c>
      <c r="I82" s="56" t="s">
        <v>1172</v>
      </c>
      <c r="J82" s="129">
        <v>46235</v>
      </c>
      <c r="K82" s="130">
        <v>0.23194444444444445</v>
      </c>
      <c r="L82" s="130">
        <v>0.24374999999999999</v>
      </c>
      <c r="M82" s="56" t="s">
        <v>1050</v>
      </c>
      <c r="N82" s="129">
        <v>46235</v>
      </c>
      <c r="O82" s="130">
        <v>0.28125</v>
      </c>
      <c r="P82" s="130">
        <v>0.27538194444444447</v>
      </c>
      <c r="Q82" s="56" t="s">
        <v>1050</v>
      </c>
      <c r="R82" s="56" t="s">
        <v>1528</v>
      </c>
      <c r="S82" s="56">
        <v>31</v>
      </c>
      <c r="T82" s="131">
        <v>1.1805555555555541E-2</v>
      </c>
      <c r="U82" s="130">
        <v>-5.8680555555555292E-3</v>
      </c>
      <c r="V82" s="56" t="s">
        <v>1051</v>
      </c>
      <c r="W82" s="56" t="s">
        <v>1052</v>
      </c>
      <c r="X82" s="56" t="s">
        <v>1053</v>
      </c>
      <c r="Y82" s="56">
        <v>31</v>
      </c>
      <c r="Z82" s="56" t="s">
        <v>1054</v>
      </c>
      <c r="AA82" s="56" t="s">
        <v>1529</v>
      </c>
      <c r="AB82" s="56" t="s">
        <v>1210</v>
      </c>
      <c r="AC82" s="56" t="s">
        <v>1057</v>
      </c>
      <c r="AD82" s="56" t="s">
        <v>1530</v>
      </c>
      <c r="AE82" s="56" t="s">
        <v>1531</v>
      </c>
      <c r="AF82" s="56" t="s">
        <v>1060</v>
      </c>
      <c r="AG82" s="56" t="s">
        <v>1532</v>
      </c>
      <c r="AH82" s="56"/>
      <c r="AI82" s="56"/>
      <c r="AJ82" s="56"/>
      <c r="AK82" s="56"/>
      <c r="AL82" s="56"/>
      <c r="AM82" s="56"/>
      <c r="AN82" s="56"/>
      <c r="AO82" s="56"/>
      <c r="AP82" s="56"/>
      <c r="AQ82" s="131"/>
      <c r="AR82" s="130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</row>
    <row r="83" spans="1:56" x14ac:dyDescent="0.2">
      <c r="A83" s="56">
        <v>14123312</v>
      </c>
      <c r="B83" s="56">
        <v>175422341</v>
      </c>
      <c r="C83" s="56" t="s">
        <v>1533</v>
      </c>
      <c r="D83" s="56" t="s">
        <v>1534</v>
      </c>
      <c r="E83" s="56" t="s">
        <v>1047</v>
      </c>
      <c r="F83" s="56">
        <v>173</v>
      </c>
      <c r="G83" s="56">
        <v>6901</v>
      </c>
      <c r="H83" s="56" t="s">
        <v>1048</v>
      </c>
      <c r="I83" s="56" t="s">
        <v>1172</v>
      </c>
      <c r="J83" s="129">
        <v>46235</v>
      </c>
      <c r="K83" s="130">
        <v>0.23402777777777778</v>
      </c>
      <c r="L83" s="130">
        <v>0.25416666666666665</v>
      </c>
      <c r="M83" s="56" t="s">
        <v>1050</v>
      </c>
      <c r="N83" s="129">
        <v>46235</v>
      </c>
      <c r="O83" s="130">
        <v>0.28125</v>
      </c>
      <c r="P83" s="130">
        <v>0.27800925925925923</v>
      </c>
      <c r="Q83" s="56" t="s">
        <v>1050</v>
      </c>
      <c r="R83" s="56" t="s">
        <v>496</v>
      </c>
      <c r="S83" s="56">
        <v>31</v>
      </c>
      <c r="T83" s="131">
        <v>2.0138888888888873E-2</v>
      </c>
      <c r="U83" s="130">
        <v>-3.2407407407407662E-3</v>
      </c>
      <c r="V83" s="56" t="s">
        <v>1051</v>
      </c>
      <c r="W83" s="56" t="s">
        <v>1052</v>
      </c>
      <c r="X83" s="56" t="s">
        <v>1053</v>
      </c>
      <c r="Y83" s="56">
        <v>31</v>
      </c>
      <c r="Z83" s="56" t="s">
        <v>1054</v>
      </c>
      <c r="AA83" s="56" t="s">
        <v>1535</v>
      </c>
      <c r="AB83" s="56" t="s">
        <v>1174</v>
      </c>
      <c r="AC83" s="56" t="s">
        <v>1057</v>
      </c>
      <c r="AD83" s="56" t="s">
        <v>1536</v>
      </c>
      <c r="AE83" s="56" t="s">
        <v>1537</v>
      </c>
      <c r="AF83" s="56" t="s">
        <v>1060</v>
      </c>
      <c r="AG83" s="56" t="s">
        <v>1538</v>
      </c>
      <c r="AH83" s="56"/>
      <c r="AI83" s="56"/>
      <c r="AJ83" s="56"/>
      <c r="AK83" s="56"/>
      <c r="AL83" s="56"/>
      <c r="AM83" s="56"/>
      <c r="AN83" s="56"/>
      <c r="AO83" s="56"/>
      <c r="AP83" s="56"/>
      <c r="AQ83" s="131"/>
      <c r="AR83" s="130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</row>
    <row r="84" spans="1:56" x14ac:dyDescent="0.2">
      <c r="A84" s="56">
        <v>14112026</v>
      </c>
      <c r="B84" s="56">
        <v>175421938</v>
      </c>
      <c r="C84" s="56" t="s">
        <v>1539</v>
      </c>
      <c r="D84" s="56" t="s">
        <v>1540</v>
      </c>
      <c r="E84" s="56" t="s">
        <v>1047</v>
      </c>
      <c r="F84" s="56">
        <v>139</v>
      </c>
      <c r="G84" s="56">
        <v>10359</v>
      </c>
      <c r="H84" s="56" t="s">
        <v>1048</v>
      </c>
      <c r="I84" s="56" t="s">
        <v>1172</v>
      </c>
      <c r="J84" s="129">
        <v>46235</v>
      </c>
      <c r="K84" s="130">
        <v>0.2361111111111111</v>
      </c>
      <c r="L84" s="130">
        <v>0.24236111111111111</v>
      </c>
      <c r="M84" s="56" t="s">
        <v>1050</v>
      </c>
      <c r="N84" s="129">
        <v>46235</v>
      </c>
      <c r="O84" s="130">
        <v>0.28125</v>
      </c>
      <c r="P84" s="130">
        <v>0.26754629629629628</v>
      </c>
      <c r="Q84" s="56" t="s">
        <v>1050</v>
      </c>
      <c r="R84" s="56" t="s">
        <v>1541</v>
      </c>
      <c r="S84" s="56">
        <v>31</v>
      </c>
      <c r="T84" s="131">
        <v>6.2500000000000056E-3</v>
      </c>
      <c r="U84" s="130">
        <v>-1.3703703703703718E-2</v>
      </c>
      <c r="V84" s="56" t="s">
        <v>1051</v>
      </c>
      <c r="W84" s="56" t="s">
        <v>1052</v>
      </c>
      <c r="X84" s="56" t="s">
        <v>1053</v>
      </c>
      <c r="Y84" s="56">
        <v>31</v>
      </c>
      <c r="Z84" s="56" t="s">
        <v>1054</v>
      </c>
      <c r="AA84" s="56" t="s">
        <v>1542</v>
      </c>
      <c r="AB84" s="56" t="s">
        <v>1210</v>
      </c>
      <c r="AC84" s="56" t="s">
        <v>1057</v>
      </c>
      <c r="AD84" s="56" t="s">
        <v>1543</v>
      </c>
      <c r="AE84" s="56" t="s">
        <v>1544</v>
      </c>
      <c r="AF84" s="56" t="s">
        <v>1060</v>
      </c>
      <c r="AG84" s="56" t="s">
        <v>1545</v>
      </c>
      <c r="AH84" s="56"/>
      <c r="AI84" s="56"/>
      <c r="AJ84" s="56"/>
      <c r="AK84" s="56"/>
      <c r="AL84" s="56"/>
      <c r="AM84" s="56"/>
      <c r="AN84" s="56"/>
      <c r="AO84" s="56"/>
      <c r="AP84" s="56"/>
      <c r="AQ84" s="131"/>
      <c r="AR84" s="130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</row>
    <row r="85" spans="1:56" x14ac:dyDescent="0.2">
      <c r="A85" s="56"/>
      <c r="B85" s="56">
        <v>175416857</v>
      </c>
      <c r="C85" s="56" t="s">
        <v>1546</v>
      </c>
      <c r="D85" s="56" t="s">
        <v>1547</v>
      </c>
      <c r="E85" s="56" t="s">
        <v>1047</v>
      </c>
      <c r="F85" s="56">
        <v>26</v>
      </c>
      <c r="G85" s="56">
        <v>14670</v>
      </c>
      <c r="H85" s="56" t="s">
        <v>1048</v>
      </c>
      <c r="I85" s="56" t="s">
        <v>1172</v>
      </c>
      <c r="J85" s="129">
        <v>46235</v>
      </c>
      <c r="K85" s="130">
        <v>0.23958333333333334</v>
      </c>
      <c r="L85" s="130">
        <v>0.25138888888888888</v>
      </c>
      <c r="M85" s="56" t="s">
        <v>1050</v>
      </c>
      <c r="N85" s="129">
        <v>46235</v>
      </c>
      <c r="O85" s="130">
        <v>0.28125</v>
      </c>
      <c r="P85" s="130">
        <v>0.28046296296296297</v>
      </c>
      <c r="Q85" s="56" t="s">
        <v>1050</v>
      </c>
      <c r="R85" s="56" t="s">
        <v>1414</v>
      </c>
      <c r="S85" s="56">
        <v>31</v>
      </c>
      <c r="T85" s="131">
        <v>1.1805555555555541E-2</v>
      </c>
      <c r="U85" s="130">
        <v>-7.8703703703703054E-4</v>
      </c>
      <c r="V85" s="56" t="s">
        <v>1051</v>
      </c>
      <c r="W85" s="56" t="s">
        <v>1052</v>
      </c>
      <c r="X85" s="56" t="s">
        <v>1053</v>
      </c>
      <c r="Y85" s="56">
        <v>31</v>
      </c>
      <c r="Z85" s="56" t="s">
        <v>1054</v>
      </c>
      <c r="AA85" s="56" t="s">
        <v>1548</v>
      </c>
      <c r="AB85" s="56" t="s">
        <v>1174</v>
      </c>
      <c r="AC85" s="56" t="s">
        <v>1057</v>
      </c>
      <c r="AD85" s="56" t="s">
        <v>1549</v>
      </c>
      <c r="AE85" s="56" t="s">
        <v>1550</v>
      </c>
      <c r="AF85" s="56" t="s">
        <v>1060</v>
      </c>
      <c r="AG85" s="56" t="s">
        <v>1551</v>
      </c>
      <c r="AH85" s="56"/>
      <c r="AI85" s="56"/>
      <c r="AJ85" s="56"/>
      <c r="AK85" s="56"/>
      <c r="AL85" s="56"/>
      <c r="AM85" s="56"/>
      <c r="AN85" s="56"/>
      <c r="AO85" s="56"/>
      <c r="AP85" s="56"/>
      <c r="AQ85" s="131"/>
      <c r="AR85" s="130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</row>
    <row r="86" spans="1:56" x14ac:dyDescent="0.2">
      <c r="A86" s="56">
        <v>14123459</v>
      </c>
      <c r="B86" s="56">
        <v>175417219</v>
      </c>
      <c r="C86" s="56" t="s">
        <v>1552</v>
      </c>
      <c r="D86" s="56" t="s">
        <v>1553</v>
      </c>
      <c r="E86" s="56" t="s">
        <v>1047</v>
      </c>
      <c r="F86" s="56">
        <v>34</v>
      </c>
      <c r="G86" s="56">
        <v>13502</v>
      </c>
      <c r="H86" s="56" t="s">
        <v>1048</v>
      </c>
      <c r="I86" s="56" t="s">
        <v>1172</v>
      </c>
      <c r="J86" s="129">
        <v>46235</v>
      </c>
      <c r="K86" s="130">
        <v>0.24583333333333332</v>
      </c>
      <c r="L86" s="130">
        <v>0.25069444444444444</v>
      </c>
      <c r="M86" s="56" t="s">
        <v>1050</v>
      </c>
      <c r="N86" s="129">
        <v>46235</v>
      </c>
      <c r="O86" s="130">
        <v>0.28125</v>
      </c>
      <c r="P86" s="130">
        <v>0.2777662037037037</v>
      </c>
      <c r="Q86" s="56" t="s">
        <v>1050</v>
      </c>
      <c r="R86" s="56" t="s">
        <v>509</v>
      </c>
      <c r="S86" s="56">
        <v>31</v>
      </c>
      <c r="T86" s="131">
        <v>4.8611111111111216E-3</v>
      </c>
      <c r="U86" s="130">
        <v>-3.4837962962963043E-3</v>
      </c>
      <c r="V86" s="56" t="s">
        <v>1051</v>
      </c>
      <c r="W86" s="56" t="s">
        <v>1052</v>
      </c>
      <c r="X86" s="56" t="s">
        <v>1053</v>
      </c>
      <c r="Y86" s="56">
        <v>31</v>
      </c>
      <c r="Z86" s="56" t="s">
        <v>1054</v>
      </c>
      <c r="AA86" s="56" t="s">
        <v>1554</v>
      </c>
      <c r="AB86" s="56" t="s">
        <v>1174</v>
      </c>
      <c r="AC86" s="56" t="s">
        <v>1057</v>
      </c>
      <c r="AD86" s="56" t="s">
        <v>1555</v>
      </c>
      <c r="AE86" s="56" t="s">
        <v>1556</v>
      </c>
      <c r="AF86" s="56" t="s">
        <v>1060</v>
      </c>
      <c r="AG86" s="56" t="s">
        <v>1557</v>
      </c>
      <c r="AH86" s="56"/>
      <c r="AI86" s="56"/>
      <c r="AJ86" s="56"/>
      <c r="AK86" s="56"/>
      <c r="AL86" s="56"/>
      <c r="AM86" s="56"/>
      <c r="AN86" s="56"/>
      <c r="AO86" s="56"/>
      <c r="AP86" s="56"/>
      <c r="AQ86" s="131"/>
      <c r="AR86" s="130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</row>
    <row r="87" spans="1:56" x14ac:dyDescent="0.2">
      <c r="A87" s="56">
        <v>14111266</v>
      </c>
      <c r="B87" s="56">
        <v>175424669</v>
      </c>
      <c r="C87" s="56" t="s">
        <v>1558</v>
      </c>
      <c r="D87" s="56" t="s">
        <v>1477</v>
      </c>
      <c r="E87" s="56" t="s">
        <v>1047</v>
      </c>
      <c r="F87" s="56">
        <v>52</v>
      </c>
      <c r="G87" s="56">
        <v>13388</v>
      </c>
      <c r="H87" s="56" t="s">
        <v>1048</v>
      </c>
      <c r="I87" s="56" t="s">
        <v>1200</v>
      </c>
      <c r="J87" s="129">
        <v>46235</v>
      </c>
      <c r="K87" s="130">
        <v>0.24652777777777779</v>
      </c>
      <c r="L87" s="130">
        <v>0.25486111111111109</v>
      </c>
      <c r="M87" s="56" t="s">
        <v>1050</v>
      </c>
      <c r="N87" s="129">
        <v>46235</v>
      </c>
      <c r="O87" s="130">
        <v>0.29166666666666669</v>
      </c>
      <c r="P87" s="130">
        <v>0.28523148148148147</v>
      </c>
      <c r="Q87" s="56" t="s">
        <v>1050</v>
      </c>
      <c r="R87" s="56" t="s">
        <v>110</v>
      </c>
      <c r="S87" s="56">
        <v>31</v>
      </c>
      <c r="T87" s="131">
        <v>8.3333333333333037E-3</v>
      </c>
      <c r="U87" s="130">
        <v>-6.4351851851852104E-3</v>
      </c>
      <c r="V87" s="56" t="s">
        <v>1051</v>
      </c>
      <c r="W87" s="56" t="s">
        <v>1052</v>
      </c>
      <c r="X87" s="56" t="s">
        <v>1053</v>
      </c>
      <c r="Y87" s="56">
        <v>31</v>
      </c>
      <c r="Z87" s="56" t="s">
        <v>1054</v>
      </c>
      <c r="AA87" s="56" t="s">
        <v>1559</v>
      </c>
      <c r="AB87" s="56" t="s">
        <v>1203</v>
      </c>
      <c r="AC87" s="56" t="s">
        <v>1057</v>
      </c>
      <c r="AD87" s="56" t="s">
        <v>1560</v>
      </c>
      <c r="AE87" s="56" t="e">
        <v>#N/A</v>
      </c>
      <c r="AF87" s="56" t="s">
        <v>1060</v>
      </c>
      <c r="AG87" s="56" t="s">
        <v>1561</v>
      </c>
      <c r="AH87" s="56"/>
      <c r="AI87" s="56"/>
      <c r="AJ87" s="56"/>
      <c r="AK87" s="56"/>
      <c r="AL87" s="56"/>
      <c r="AM87" s="56"/>
      <c r="AN87" s="56"/>
      <c r="AO87" s="56"/>
      <c r="AP87" s="56"/>
      <c r="AQ87" s="131"/>
      <c r="AR87" s="130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</row>
    <row r="88" spans="1:56" x14ac:dyDescent="0.2">
      <c r="A88" s="56">
        <v>14119155</v>
      </c>
      <c r="B88" s="56">
        <v>175424703</v>
      </c>
      <c r="C88" s="56" t="s">
        <v>1562</v>
      </c>
      <c r="D88" s="56" t="s">
        <v>1563</v>
      </c>
      <c r="E88" s="56" t="s">
        <v>1047</v>
      </c>
      <c r="F88" s="56">
        <v>267</v>
      </c>
      <c r="G88" s="56">
        <v>14688</v>
      </c>
      <c r="H88" s="56" t="s">
        <v>1048</v>
      </c>
      <c r="I88" s="56" t="s">
        <v>1172</v>
      </c>
      <c r="J88" s="129">
        <v>46235</v>
      </c>
      <c r="K88" s="130">
        <v>0.30555555555555558</v>
      </c>
      <c r="L88" s="130">
        <v>0.31180555555555556</v>
      </c>
      <c r="M88" s="56" t="s">
        <v>1050</v>
      </c>
      <c r="N88" s="129">
        <v>46235</v>
      </c>
      <c r="O88" s="130">
        <v>0.3125</v>
      </c>
      <c r="P88" s="130">
        <v>0.30416666666666664</v>
      </c>
      <c r="Q88" s="56" t="s">
        <v>1050</v>
      </c>
      <c r="R88" s="56" t="s">
        <v>233</v>
      </c>
      <c r="S88" s="56">
        <v>31</v>
      </c>
      <c r="T88" s="131">
        <v>6.2499999999999778E-3</v>
      </c>
      <c r="U88" s="130">
        <v>-8.3333333333333592E-3</v>
      </c>
      <c r="V88" s="56" t="s">
        <v>1051</v>
      </c>
      <c r="W88" s="56" t="s">
        <v>1052</v>
      </c>
      <c r="X88" s="56" t="s">
        <v>1053</v>
      </c>
      <c r="Y88" s="56">
        <v>31</v>
      </c>
      <c r="Z88" s="56" t="s">
        <v>1054</v>
      </c>
      <c r="AA88" s="56" t="s">
        <v>1564</v>
      </c>
      <c r="AB88" s="56" t="s">
        <v>1565</v>
      </c>
      <c r="AC88" s="56" t="s">
        <v>1057</v>
      </c>
      <c r="AD88" s="56" t="s">
        <v>1566</v>
      </c>
      <c r="AE88" s="56" t="e">
        <v>#N/A</v>
      </c>
      <c r="AF88" s="56" t="s">
        <v>1060</v>
      </c>
      <c r="AG88" s="56" t="s">
        <v>1567</v>
      </c>
      <c r="AH88" s="56"/>
      <c r="AI88" s="56"/>
      <c r="AJ88" s="56"/>
      <c r="AK88" s="56"/>
      <c r="AL88" s="56"/>
      <c r="AM88" s="56"/>
      <c r="AN88" s="56"/>
      <c r="AO88" s="56"/>
      <c r="AP88" s="56"/>
      <c r="AQ88" s="131"/>
      <c r="AR88" s="130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</row>
    <row r="89" spans="1:56" x14ac:dyDescent="0.2">
      <c r="A89" s="56">
        <v>14113198</v>
      </c>
      <c r="B89" s="56">
        <v>175415949</v>
      </c>
      <c r="C89" s="56" t="s">
        <v>1568</v>
      </c>
      <c r="D89" s="56" t="s">
        <v>1392</v>
      </c>
      <c r="E89" s="56" t="s">
        <v>1047</v>
      </c>
      <c r="F89" s="56">
        <v>7</v>
      </c>
      <c r="G89" s="56">
        <v>15765</v>
      </c>
      <c r="H89" s="56" t="s">
        <v>1048</v>
      </c>
      <c r="I89" s="56" t="s">
        <v>1064</v>
      </c>
      <c r="J89" s="129">
        <v>46235</v>
      </c>
      <c r="K89" s="130">
        <v>0.40277777777777779</v>
      </c>
      <c r="L89" s="130">
        <v>0.4152777777777778</v>
      </c>
      <c r="M89" s="56" t="s">
        <v>1050</v>
      </c>
      <c r="N89" s="129">
        <v>46235</v>
      </c>
      <c r="O89" s="130">
        <v>0.45833333333333331</v>
      </c>
      <c r="P89" s="130">
        <v>0.45791666666666669</v>
      </c>
      <c r="Q89" s="56" t="s">
        <v>1050</v>
      </c>
      <c r="R89" s="56" t="s">
        <v>1393</v>
      </c>
      <c r="S89" s="56">
        <v>31</v>
      </c>
      <c r="T89" s="131">
        <v>1.2500000000000011E-2</v>
      </c>
      <c r="U89" s="130">
        <v>-4.1666666666662078E-4</v>
      </c>
      <c r="V89" s="56" t="s">
        <v>1051</v>
      </c>
      <c r="W89" s="56" t="s">
        <v>1052</v>
      </c>
      <c r="X89" s="56" t="s">
        <v>1053</v>
      </c>
      <c r="Y89" s="56">
        <v>31</v>
      </c>
      <c r="Z89" s="56" t="s">
        <v>1054</v>
      </c>
      <c r="AA89" s="56" t="s">
        <v>1394</v>
      </c>
      <c r="AB89" s="56" t="s">
        <v>1068</v>
      </c>
      <c r="AC89" s="56" t="s">
        <v>1069</v>
      </c>
      <c r="AD89" s="56" t="s">
        <v>1395</v>
      </c>
      <c r="AE89" s="56" t="s">
        <v>1396</v>
      </c>
      <c r="AF89" s="56" t="s">
        <v>1237</v>
      </c>
      <c r="AG89" s="56" t="s">
        <v>1569</v>
      </c>
      <c r="AH89" s="56"/>
      <c r="AI89" s="56"/>
      <c r="AJ89" s="56"/>
      <c r="AK89" s="56"/>
      <c r="AL89" s="56"/>
      <c r="AM89" s="56"/>
      <c r="AN89" s="56"/>
      <c r="AO89" s="56"/>
      <c r="AP89" s="56"/>
      <c r="AQ89" s="131"/>
      <c r="AR89" s="130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</row>
    <row r="90" spans="1:56" x14ac:dyDescent="0.2">
      <c r="A90" s="56">
        <v>14111266</v>
      </c>
      <c r="B90" s="56">
        <v>175419028</v>
      </c>
      <c r="C90" s="56" t="s">
        <v>1570</v>
      </c>
      <c r="D90" s="56" t="s">
        <v>1571</v>
      </c>
      <c r="E90" s="56" t="s">
        <v>1047</v>
      </c>
      <c r="F90" s="56">
        <v>32</v>
      </c>
      <c r="G90" s="56">
        <v>13388</v>
      </c>
      <c r="H90" s="56" t="s">
        <v>1048</v>
      </c>
      <c r="I90" s="56" t="s">
        <v>1200</v>
      </c>
      <c r="J90" s="129">
        <v>46235</v>
      </c>
      <c r="K90" s="130">
        <v>0.41805555555555557</v>
      </c>
      <c r="L90" s="130">
        <v>0.45208333333333334</v>
      </c>
      <c r="M90" s="56" t="s">
        <v>1050</v>
      </c>
      <c r="N90" s="129">
        <v>46235</v>
      </c>
      <c r="O90" s="130">
        <v>0.45833333333333331</v>
      </c>
      <c r="P90" s="130">
        <v>0.46211805555555557</v>
      </c>
      <c r="Q90" s="56" t="s">
        <v>1050</v>
      </c>
      <c r="R90" s="56" t="s">
        <v>110</v>
      </c>
      <c r="S90" s="56">
        <v>31</v>
      </c>
      <c r="T90" s="131">
        <v>3.4027777777777768E-2</v>
      </c>
      <c r="U90" s="130">
        <v>3.7847222222222587E-3</v>
      </c>
      <c r="V90" s="56" t="s">
        <v>1051</v>
      </c>
      <c r="W90" s="56" t="s">
        <v>1065</v>
      </c>
      <c r="X90" s="56" t="s">
        <v>1066</v>
      </c>
      <c r="Y90" s="56">
        <v>31</v>
      </c>
      <c r="Z90" s="56" t="s">
        <v>1054</v>
      </c>
      <c r="AA90" s="56" t="s">
        <v>1572</v>
      </c>
      <c r="AB90" s="56" t="s">
        <v>1203</v>
      </c>
      <c r="AC90" s="56" t="s">
        <v>1057</v>
      </c>
      <c r="AD90" s="56" t="s">
        <v>1573</v>
      </c>
      <c r="AE90" s="56" t="s">
        <v>1574</v>
      </c>
      <c r="AF90" s="56" t="s">
        <v>1060</v>
      </c>
      <c r="AG90" s="56" t="s">
        <v>1575</v>
      </c>
      <c r="AH90" s="56"/>
      <c r="AI90" s="56"/>
      <c r="AJ90" s="56"/>
      <c r="AK90" s="56"/>
      <c r="AL90" s="56"/>
      <c r="AM90" s="56"/>
      <c r="AN90" s="56"/>
      <c r="AO90" s="56"/>
      <c r="AP90" s="56"/>
      <c r="AQ90" s="131"/>
      <c r="AR90" s="130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</row>
    <row r="91" spans="1:56" x14ac:dyDescent="0.2">
      <c r="A91" s="56">
        <v>14118773</v>
      </c>
      <c r="B91" s="56">
        <v>175415971</v>
      </c>
      <c r="C91" s="56" t="s">
        <v>1576</v>
      </c>
      <c r="D91" s="56" t="s">
        <v>1577</v>
      </c>
      <c r="E91" s="56" t="s">
        <v>1047</v>
      </c>
      <c r="F91" s="56">
        <v>16</v>
      </c>
      <c r="G91" s="56">
        <v>14867</v>
      </c>
      <c r="H91" s="56" t="s">
        <v>1048</v>
      </c>
      <c r="I91" s="56" t="s">
        <v>1064</v>
      </c>
      <c r="J91" s="129">
        <v>46235</v>
      </c>
      <c r="K91" s="130">
        <v>0.43055555555555558</v>
      </c>
      <c r="L91" s="130">
        <v>0.45347222222222222</v>
      </c>
      <c r="M91" s="56" t="s">
        <v>1050</v>
      </c>
      <c r="N91" s="129">
        <v>46235</v>
      </c>
      <c r="O91" s="130">
        <v>0.45833333333333331</v>
      </c>
      <c r="P91" s="130">
        <v>0.47259259259259262</v>
      </c>
      <c r="Q91" s="56" t="s">
        <v>1050</v>
      </c>
      <c r="R91" s="56" t="s">
        <v>210</v>
      </c>
      <c r="S91" s="56">
        <v>31</v>
      </c>
      <c r="T91" s="131">
        <v>2.2916666666666641E-2</v>
      </c>
      <c r="U91" s="130">
        <v>1.4259259259259305E-2</v>
      </c>
      <c r="V91" s="56" t="s">
        <v>1051</v>
      </c>
      <c r="W91" s="56" t="s">
        <v>1065</v>
      </c>
      <c r="X91" s="56" t="s">
        <v>1066</v>
      </c>
      <c r="Y91" s="56">
        <v>31</v>
      </c>
      <c r="Z91" s="56" t="s">
        <v>1054</v>
      </c>
      <c r="AA91" s="56" t="s">
        <v>1578</v>
      </c>
      <c r="AB91" s="56" t="s">
        <v>1068</v>
      </c>
      <c r="AC91" s="56" t="s">
        <v>1069</v>
      </c>
      <c r="AD91" s="56" t="s">
        <v>1579</v>
      </c>
      <c r="AE91" s="56" t="s">
        <v>1580</v>
      </c>
      <c r="AF91" s="56" t="s">
        <v>1060</v>
      </c>
      <c r="AG91" s="56" t="s">
        <v>1581</v>
      </c>
      <c r="AH91" s="56"/>
      <c r="AI91" s="56"/>
      <c r="AJ91" s="56"/>
      <c r="AK91" s="56"/>
      <c r="AL91" s="56"/>
      <c r="AM91" s="56"/>
      <c r="AN91" s="56"/>
      <c r="AO91" s="56"/>
      <c r="AP91" s="56"/>
      <c r="AQ91" s="131"/>
      <c r="AR91" s="130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</row>
    <row r="92" spans="1:56" x14ac:dyDescent="0.2">
      <c r="A92" s="56">
        <v>14122871</v>
      </c>
      <c r="B92" s="56">
        <v>175406930</v>
      </c>
      <c r="C92" s="56" t="s">
        <v>1582</v>
      </c>
      <c r="D92" s="56" t="s">
        <v>1406</v>
      </c>
      <c r="E92" s="56" t="s">
        <v>1047</v>
      </c>
      <c r="F92" s="56">
        <v>1</v>
      </c>
      <c r="G92" s="56">
        <v>6384</v>
      </c>
      <c r="H92" s="56" t="s">
        <v>1048</v>
      </c>
      <c r="I92" s="56" t="s">
        <v>1407</v>
      </c>
      <c r="J92" s="129">
        <v>46235</v>
      </c>
      <c r="K92" s="130">
        <v>0.51388888888888884</v>
      </c>
      <c r="L92" s="130">
        <v>0.5180555555555556</v>
      </c>
      <c r="M92" s="56" t="s">
        <v>1050</v>
      </c>
      <c r="N92" s="129">
        <v>46235</v>
      </c>
      <c r="O92" s="130">
        <v>0.57986111111111116</v>
      </c>
      <c r="P92" s="130">
        <v>0.56682870370370375</v>
      </c>
      <c r="Q92" s="56" t="s">
        <v>1050</v>
      </c>
      <c r="R92" s="56" t="s">
        <v>453</v>
      </c>
      <c r="S92" s="56">
        <v>31</v>
      </c>
      <c r="T92" s="131">
        <v>4.1666666666667629E-3</v>
      </c>
      <c r="U92" s="130">
        <v>-1.3032407407407409E-2</v>
      </c>
      <c r="V92" s="56" t="s">
        <v>1051</v>
      </c>
      <c r="W92" s="56" t="s">
        <v>1052</v>
      </c>
      <c r="X92" s="56" t="s">
        <v>1053</v>
      </c>
      <c r="Y92" s="56">
        <v>31</v>
      </c>
      <c r="Z92" s="56" t="s">
        <v>1054</v>
      </c>
      <c r="AA92" s="56" t="s">
        <v>1408</v>
      </c>
      <c r="AB92" s="56" t="s">
        <v>1257</v>
      </c>
      <c r="AC92" s="56" t="s">
        <v>1069</v>
      </c>
      <c r="AD92" s="56" t="s">
        <v>1409</v>
      </c>
      <c r="AE92" s="56" t="s">
        <v>1410</v>
      </c>
      <c r="AF92" s="56" t="s">
        <v>1237</v>
      </c>
      <c r="AG92" s="56" t="s">
        <v>1583</v>
      </c>
      <c r="AH92" s="56"/>
      <c r="AI92" s="56"/>
      <c r="AJ92" s="56"/>
      <c r="AK92" s="56"/>
      <c r="AL92" s="56"/>
      <c r="AM92" s="56"/>
      <c r="AN92" s="56"/>
      <c r="AO92" s="56"/>
      <c r="AP92" s="56"/>
      <c r="AQ92" s="131"/>
      <c r="AR92" s="130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</row>
    <row r="93" spans="1:56" x14ac:dyDescent="0.2">
      <c r="A93" s="56">
        <v>14122809</v>
      </c>
      <c r="B93" s="56">
        <v>175412781</v>
      </c>
      <c r="C93" s="56" t="s">
        <v>1584</v>
      </c>
      <c r="D93" s="56" t="s">
        <v>1585</v>
      </c>
      <c r="E93" s="56" t="s">
        <v>1047</v>
      </c>
      <c r="F93" s="56">
        <v>7</v>
      </c>
      <c r="G93" s="56">
        <v>12897</v>
      </c>
      <c r="H93" s="56" t="s">
        <v>1048</v>
      </c>
      <c r="I93" s="56" t="s">
        <v>1200</v>
      </c>
      <c r="J93" s="129">
        <v>46235</v>
      </c>
      <c r="K93" s="130">
        <v>0.51388888888888884</v>
      </c>
      <c r="L93" s="130">
        <v>0.52708333333333335</v>
      </c>
      <c r="M93" s="56" t="s">
        <v>1050</v>
      </c>
      <c r="N93" s="129">
        <v>46235</v>
      </c>
      <c r="O93" s="130">
        <v>0.58333333333333337</v>
      </c>
      <c r="P93" s="130">
        <v>0.59081018518518513</v>
      </c>
      <c r="Q93" s="56" t="s">
        <v>1050</v>
      </c>
      <c r="R93" s="56" t="s">
        <v>446</v>
      </c>
      <c r="S93" s="56">
        <v>31</v>
      </c>
      <c r="T93" s="131">
        <v>1.3194444444444509E-2</v>
      </c>
      <c r="U93" s="130">
        <v>7.4768518518517624E-3</v>
      </c>
      <c r="V93" s="56" t="s">
        <v>1051</v>
      </c>
      <c r="W93" s="56" t="s">
        <v>1065</v>
      </c>
      <c r="X93" s="56" t="s">
        <v>1066</v>
      </c>
      <c r="Y93" s="56">
        <v>31</v>
      </c>
      <c r="Z93" s="56" t="s">
        <v>1054</v>
      </c>
      <c r="AA93" s="56" t="s">
        <v>1586</v>
      </c>
      <c r="AB93" s="56" t="s">
        <v>1203</v>
      </c>
      <c r="AC93" s="56" t="s">
        <v>1057</v>
      </c>
      <c r="AD93" s="56" t="s">
        <v>1587</v>
      </c>
      <c r="AE93" s="56" t="e">
        <v>#N/A</v>
      </c>
      <c r="AF93" s="56" t="s">
        <v>1237</v>
      </c>
      <c r="AG93" s="56" t="s">
        <v>1588</v>
      </c>
      <c r="AH93" s="56"/>
      <c r="AI93" s="56"/>
      <c r="AJ93" s="56"/>
      <c r="AK93" s="56"/>
      <c r="AL93" s="56"/>
      <c r="AM93" s="56"/>
      <c r="AN93" s="56"/>
      <c r="AO93" s="56"/>
      <c r="AP93" s="56"/>
      <c r="AQ93" s="131"/>
      <c r="AR93" s="130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</row>
    <row r="94" spans="1:56" x14ac:dyDescent="0.2">
      <c r="A94" s="56">
        <v>14110039</v>
      </c>
      <c r="B94" s="56">
        <v>175415973</v>
      </c>
      <c r="C94" s="56" t="s">
        <v>1239</v>
      </c>
      <c r="D94" s="56" t="s">
        <v>1083</v>
      </c>
      <c r="E94" s="56" t="s">
        <v>1047</v>
      </c>
      <c r="F94" s="56">
        <v>17</v>
      </c>
      <c r="G94" s="56">
        <v>13848</v>
      </c>
      <c r="H94" s="56" t="s">
        <v>1048</v>
      </c>
      <c r="I94" s="56" t="s">
        <v>1064</v>
      </c>
      <c r="J94" s="129">
        <v>46235</v>
      </c>
      <c r="K94" s="130">
        <v>0.52083333333333337</v>
      </c>
      <c r="L94" s="130">
        <v>0.53749999999999998</v>
      </c>
      <c r="M94" s="56" t="s">
        <v>1050</v>
      </c>
      <c r="N94" s="129">
        <v>46235</v>
      </c>
      <c r="O94" s="130">
        <v>0.60416666666666663</v>
      </c>
      <c r="P94" s="130">
        <v>0.59870370370370374</v>
      </c>
      <c r="Q94" s="56" t="s">
        <v>1050</v>
      </c>
      <c r="R94" s="56" t="s">
        <v>98</v>
      </c>
      <c r="S94" s="56">
        <v>31</v>
      </c>
      <c r="T94" s="131">
        <v>1.6666666666666607E-2</v>
      </c>
      <c r="U94" s="130">
        <v>-5.4629629629628917E-3</v>
      </c>
      <c r="V94" s="56" t="s">
        <v>1051</v>
      </c>
      <c r="W94" s="56" t="s">
        <v>1052</v>
      </c>
      <c r="X94" s="56" t="s">
        <v>1053</v>
      </c>
      <c r="Y94" s="56">
        <v>31</v>
      </c>
      <c r="Z94" s="56" t="s">
        <v>1054</v>
      </c>
      <c r="AA94" s="56" t="s">
        <v>1084</v>
      </c>
      <c r="AB94" s="56" t="s">
        <v>1068</v>
      </c>
      <c r="AC94" s="56" t="s">
        <v>1069</v>
      </c>
      <c r="AD94" s="56" t="s">
        <v>1085</v>
      </c>
      <c r="AE94" s="56" t="s">
        <v>1086</v>
      </c>
      <c r="AF94" s="56" t="s">
        <v>1237</v>
      </c>
      <c r="AG94" s="56" t="s">
        <v>1240</v>
      </c>
      <c r="AH94" s="56"/>
      <c r="AI94" s="56"/>
      <c r="AJ94" s="56"/>
      <c r="AK94" s="56"/>
      <c r="AL94" s="56"/>
      <c r="AM94" s="56"/>
      <c r="AN94" s="56"/>
      <c r="AO94" s="56"/>
      <c r="AP94" s="56"/>
      <c r="AQ94" s="131"/>
      <c r="AR94" s="130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</row>
    <row r="95" spans="1:56" x14ac:dyDescent="0.2">
      <c r="A95" s="56">
        <v>14123635</v>
      </c>
      <c r="B95" s="56">
        <v>175418452</v>
      </c>
      <c r="C95" s="56" t="s">
        <v>1589</v>
      </c>
      <c r="D95" s="56" t="s">
        <v>1590</v>
      </c>
      <c r="E95" s="56" t="s">
        <v>1047</v>
      </c>
      <c r="F95" s="56">
        <v>454</v>
      </c>
      <c r="G95" s="56">
        <v>5482</v>
      </c>
      <c r="H95" s="56" t="s">
        <v>1048</v>
      </c>
      <c r="I95" s="56" t="s">
        <v>1075</v>
      </c>
      <c r="J95" s="129">
        <v>46235</v>
      </c>
      <c r="K95" s="130">
        <v>0.52083333333333337</v>
      </c>
      <c r="L95" s="130">
        <v>0.53402777777777777</v>
      </c>
      <c r="M95" s="56" t="s">
        <v>1050</v>
      </c>
      <c r="N95" s="129">
        <v>46235</v>
      </c>
      <c r="O95" s="130">
        <v>0.60069444444444442</v>
      </c>
      <c r="P95" s="130">
        <v>0.60884259259259255</v>
      </c>
      <c r="Q95" s="56" t="s">
        <v>1050</v>
      </c>
      <c r="R95" s="56" t="s">
        <v>899</v>
      </c>
      <c r="S95" s="56">
        <v>31</v>
      </c>
      <c r="T95" s="131">
        <v>1.3194444444444398E-2</v>
      </c>
      <c r="U95" s="130">
        <v>8.1481481481481266E-3</v>
      </c>
      <c r="V95" s="56" t="s">
        <v>1051</v>
      </c>
      <c r="W95" s="56" t="s">
        <v>1065</v>
      </c>
      <c r="X95" s="56" t="s">
        <v>1066</v>
      </c>
      <c r="Y95" s="56">
        <v>31</v>
      </c>
      <c r="Z95" s="56" t="s">
        <v>1054</v>
      </c>
      <c r="AA95" s="56" t="s">
        <v>1591</v>
      </c>
      <c r="AB95" s="56" t="s">
        <v>1077</v>
      </c>
      <c r="AC95" s="56" t="s">
        <v>1078</v>
      </c>
      <c r="AD95" s="56" t="s">
        <v>1592</v>
      </c>
      <c r="AE95" s="56" t="s">
        <v>1593</v>
      </c>
      <c r="AF95" s="56" t="s">
        <v>1237</v>
      </c>
      <c r="AG95" s="56" t="s">
        <v>1594</v>
      </c>
      <c r="AH95" s="56"/>
      <c r="AI95" s="56"/>
      <c r="AJ95" s="56"/>
      <c r="AK95" s="56"/>
      <c r="AL95" s="56"/>
      <c r="AM95" s="56"/>
      <c r="AN95" s="56"/>
      <c r="AO95" s="56"/>
      <c r="AP95" s="56"/>
      <c r="AQ95" s="131"/>
      <c r="AR95" s="130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</row>
    <row r="96" spans="1:56" x14ac:dyDescent="0.2">
      <c r="A96" s="56">
        <v>14110799</v>
      </c>
      <c r="B96" s="56">
        <v>175421664</v>
      </c>
      <c r="C96" s="56" t="s">
        <v>1595</v>
      </c>
      <c r="D96" s="56" t="s">
        <v>1596</v>
      </c>
      <c r="E96" s="56" t="s">
        <v>1047</v>
      </c>
      <c r="F96" s="56">
        <v>497</v>
      </c>
      <c r="G96" s="56">
        <v>5461</v>
      </c>
      <c r="H96" s="56" t="s">
        <v>1048</v>
      </c>
      <c r="I96" s="56" t="s">
        <v>1075</v>
      </c>
      <c r="J96" s="129">
        <v>46235</v>
      </c>
      <c r="K96" s="130">
        <v>0.52083333333333337</v>
      </c>
      <c r="L96" s="130">
        <v>0.52430555555555558</v>
      </c>
      <c r="M96" s="56" t="s">
        <v>1050</v>
      </c>
      <c r="N96" s="129">
        <v>46235</v>
      </c>
      <c r="O96" s="130">
        <v>0.60069444444444442</v>
      </c>
      <c r="P96" s="130">
        <v>0.59111111111111114</v>
      </c>
      <c r="Q96" s="56" t="s">
        <v>1050</v>
      </c>
      <c r="R96" s="56" t="s">
        <v>455</v>
      </c>
      <c r="S96" s="56">
        <v>31</v>
      </c>
      <c r="T96" s="131">
        <v>3.4722222222222099E-3</v>
      </c>
      <c r="U96" s="130">
        <v>-9.5833333333332771E-3</v>
      </c>
      <c r="V96" s="56" t="s">
        <v>1051</v>
      </c>
      <c r="W96" s="56" t="s">
        <v>1052</v>
      </c>
      <c r="X96" s="56" t="s">
        <v>1053</v>
      </c>
      <c r="Y96" s="56">
        <v>31</v>
      </c>
      <c r="Z96" s="56" t="s">
        <v>1054</v>
      </c>
      <c r="AA96" s="56" t="s">
        <v>1597</v>
      </c>
      <c r="AB96" s="56" t="s">
        <v>1077</v>
      </c>
      <c r="AC96" s="56" t="s">
        <v>1078</v>
      </c>
      <c r="AD96" s="56" t="s">
        <v>1598</v>
      </c>
      <c r="AE96" s="56" t="s">
        <v>1599</v>
      </c>
      <c r="AF96" s="56" t="s">
        <v>1237</v>
      </c>
      <c r="AG96" s="56" t="s">
        <v>1600</v>
      </c>
      <c r="AH96" s="56"/>
      <c r="AI96" s="56"/>
      <c r="AJ96" s="56"/>
      <c r="AK96" s="56"/>
      <c r="AL96" s="56"/>
      <c r="AM96" s="56"/>
      <c r="AN96" s="56"/>
      <c r="AO96" s="56"/>
      <c r="AP96" s="56"/>
      <c r="AQ96" s="131"/>
      <c r="AR96" s="130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</row>
    <row r="97" spans="1:56" x14ac:dyDescent="0.2">
      <c r="A97" s="56">
        <v>14123066</v>
      </c>
      <c r="B97" s="56">
        <v>175411135</v>
      </c>
      <c r="C97" s="56" t="s">
        <v>1601</v>
      </c>
      <c r="D97" s="56" t="s">
        <v>1602</v>
      </c>
      <c r="E97" s="56" t="s">
        <v>1047</v>
      </c>
      <c r="F97" s="56">
        <v>5</v>
      </c>
      <c r="G97" s="56">
        <v>4441</v>
      </c>
      <c r="H97" s="56" t="s">
        <v>1048</v>
      </c>
      <c r="I97" s="56" t="s">
        <v>1603</v>
      </c>
      <c r="J97" s="129">
        <v>46235</v>
      </c>
      <c r="K97" s="130">
        <v>0.52777777777777779</v>
      </c>
      <c r="L97" s="130">
        <v>0.54097222222222219</v>
      </c>
      <c r="M97" s="56" t="s">
        <v>1050</v>
      </c>
      <c r="N97" s="129">
        <v>46235</v>
      </c>
      <c r="O97" s="130">
        <v>0.57638888888888884</v>
      </c>
      <c r="P97" s="130">
        <v>0.58443287037037039</v>
      </c>
      <c r="Q97" s="56" t="s">
        <v>1050</v>
      </c>
      <c r="R97" s="56" t="s">
        <v>474</v>
      </c>
      <c r="S97" s="56">
        <v>31</v>
      </c>
      <c r="T97" s="131">
        <v>1.3194444444444398E-2</v>
      </c>
      <c r="U97" s="130">
        <v>8.0439814814815547E-3</v>
      </c>
      <c r="V97" s="56" t="s">
        <v>1051</v>
      </c>
      <c r="W97" s="56" t="s">
        <v>1065</v>
      </c>
      <c r="X97" s="56" t="s">
        <v>1066</v>
      </c>
      <c r="Y97" s="56">
        <v>31</v>
      </c>
      <c r="Z97" s="56" t="s">
        <v>1054</v>
      </c>
      <c r="AA97" s="56" t="s">
        <v>1604</v>
      </c>
      <c r="AB97" s="56" t="s">
        <v>1605</v>
      </c>
      <c r="AC97" s="56" t="s">
        <v>1069</v>
      </c>
      <c r="AD97" s="56" t="s">
        <v>1606</v>
      </c>
      <c r="AE97" s="56" t="s">
        <v>1607</v>
      </c>
      <c r="AF97" s="56" t="s">
        <v>1237</v>
      </c>
      <c r="AG97" s="56" t="s">
        <v>1608</v>
      </c>
      <c r="AH97" s="56"/>
      <c r="AI97" s="56"/>
      <c r="AJ97" s="56"/>
      <c r="AK97" s="56"/>
      <c r="AL97" s="56"/>
      <c r="AM97" s="56"/>
      <c r="AN97" s="56"/>
      <c r="AO97" s="56"/>
      <c r="AP97" s="56"/>
      <c r="AQ97" s="131"/>
      <c r="AR97" s="130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</row>
    <row r="98" spans="1:56" x14ac:dyDescent="0.2">
      <c r="A98" s="56">
        <v>14116431</v>
      </c>
      <c r="B98" s="56">
        <v>175412854</v>
      </c>
      <c r="C98" s="56" t="s">
        <v>1609</v>
      </c>
      <c r="D98" s="56" t="s">
        <v>1527</v>
      </c>
      <c r="E98" s="56" t="s">
        <v>1047</v>
      </c>
      <c r="F98" s="56">
        <v>29</v>
      </c>
      <c r="G98" s="56">
        <v>13858</v>
      </c>
      <c r="H98" s="56" t="s">
        <v>1048</v>
      </c>
      <c r="I98" s="56" t="s">
        <v>1118</v>
      </c>
      <c r="J98" s="129">
        <v>46235</v>
      </c>
      <c r="K98" s="130">
        <v>0.52777777777777779</v>
      </c>
      <c r="L98" s="130">
        <v>0.53125</v>
      </c>
      <c r="M98" s="56" t="s">
        <v>1050</v>
      </c>
      <c r="N98" s="129">
        <v>46235</v>
      </c>
      <c r="O98" s="130">
        <v>0.60069444444444442</v>
      </c>
      <c r="P98" s="130">
        <v>0.5849537037037037</v>
      </c>
      <c r="Q98" s="56" t="s">
        <v>1050</v>
      </c>
      <c r="R98" s="56" t="s">
        <v>1132</v>
      </c>
      <c r="S98" s="56">
        <v>31</v>
      </c>
      <c r="T98" s="131">
        <v>3.4722222222222099E-3</v>
      </c>
      <c r="U98" s="130">
        <v>-1.5740740740740722E-2</v>
      </c>
      <c r="V98" s="56" t="s">
        <v>1051</v>
      </c>
      <c r="W98" s="56" t="s">
        <v>1052</v>
      </c>
      <c r="X98" s="56" t="s">
        <v>1053</v>
      </c>
      <c r="Y98" s="56">
        <v>31</v>
      </c>
      <c r="Z98" s="56" t="s">
        <v>1054</v>
      </c>
      <c r="AA98" s="56" t="s">
        <v>1610</v>
      </c>
      <c r="AB98" s="56" t="s">
        <v>1120</v>
      </c>
      <c r="AC98" s="56" t="s">
        <v>1078</v>
      </c>
      <c r="AD98" s="56" t="s">
        <v>1611</v>
      </c>
      <c r="AE98" s="56" t="s">
        <v>1612</v>
      </c>
      <c r="AF98" s="56" t="s">
        <v>1237</v>
      </c>
      <c r="AG98" s="56" t="s">
        <v>1613</v>
      </c>
      <c r="AH98" s="56"/>
      <c r="AI98" s="56"/>
      <c r="AJ98" s="56"/>
      <c r="AK98" s="56"/>
      <c r="AL98" s="56"/>
      <c r="AM98" s="56"/>
      <c r="AN98" s="56"/>
      <c r="AO98" s="56"/>
      <c r="AP98" s="56"/>
      <c r="AQ98" s="131"/>
      <c r="AR98" s="130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</row>
    <row r="99" spans="1:56" x14ac:dyDescent="0.2">
      <c r="A99" s="56">
        <v>14115304</v>
      </c>
      <c r="B99" s="56">
        <v>175418247</v>
      </c>
      <c r="C99" s="56" t="s">
        <v>1614</v>
      </c>
      <c r="D99" s="56" t="s">
        <v>1615</v>
      </c>
      <c r="E99" s="56" t="s">
        <v>1047</v>
      </c>
      <c r="F99" s="56">
        <v>5</v>
      </c>
      <c r="G99" s="56">
        <v>6258</v>
      </c>
      <c r="H99" s="56" t="s">
        <v>1048</v>
      </c>
      <c r="I99" s="56" t="s">
        <v>1386</v>
      </c>
      <c r="J99" s="129">
        <v>46235</v>
      </c>
      <c r="K99" s="130">
        <v>0.52777777777777779</v>
      </c>
      <c r="L99" s="130">
        <v>0.56666666666666665</v>
      </c>
      <c r="M99" s="56" t="s">
        <v>1050</v>
      </c>
      <c r="N99" s="129">
        <v>46235</v>
      </c>
      <c r="O99" s="130">
        <v>0.57291666666666663</v>
      </c>
      <c r="P99" s="56"/>
      <c r="Q99" s="56" t="s">
        <v>1286</v>
      </c>
      <c r="R99" s="56" t="s">
        <v>142</v>
      </c>
      <c r="S99" s="56">
        <v>31</v>
      </c>
      <c r="T99" s="131">
        <v>3.8888888888888862E-2</v>
      </c>
      <c r="U99" s="130">
        <v>-0.57291666666666663</v>
      </c>
      <c r="V99" s="56" t="s">
        <v>1051</v>
      </c>
      <c r="W99" s="56" t="s">
        <v>1052</v>
      </c>
      <c r="X99" s="56" t="s">
        <v>1053</v>
      </c>
      <c r="Y99" s="56">
        <v>31</v>
      </c>
      <c r="Z99" s="56" t="s">
        <v>1054</v>
      </c>
      <c r="AA99" s="56" t="s">
        <v>1616</v>
      </c>
      <c r="AB99" s="56" t="s">
        <v>1257</v>
      </c>
      <c r="AC99" s="56" t="s">
        <v>1069</v>
      </c>
      <c r="AD99" s="56" t="s">
        <v>1617</v>
      </c>
      <c r="AE99" s="56" t="s">
        <v>1618</v>
      </c>
      <c r="AF99" s="56" t="s">
        <v>1237</v>
      </c>
      <c r="AG99" s="56" t="s">
        <v>1619</v>
      </c>
      <c r="AH99" s="56"/>
      <c r="AI99" s="56"/>
      <c r="AJ99" s="56"/>
      <c r="AK99" s="56"/>
      <c r="AL99" s="56"/>
      <c r="AM99" s="56"/>
      <c r="AN99" s="56"/>
      <c r="AO99" s="56"/>
      <c r="AP99" s="56"/>
      <c r="AQ99" s="131"/>
      <c r="AR99" s="130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</row>
    <row r="100" spans="1:56" x14ac:dyDescent="0.2">
      <c r="A100" s="56">
        <v>14123275</v>
      </c>
      <c r="B100" s="56">
        <v>175406519</v>
      </c>
      <c r="C100" s="56" t="s">
        <v>1620</v>
      </c>
      <c r="D100" s="56" t="s">
        <v>1621</v>
      </c>
      <c r="E100" s="56" t="s">
        <v>1047</v>
      </c>
      <c r="F100" s="56">
        <v>60</v>
      </c>
      <c r="G100" s="56">
        <v>11209</v>
      </c>
      <c r="H100" s="56" t="s">
        <v>1048</v>
      </c>
      <c r="I100" s="56" t="s">
        <v>1075</v>
      </c>
      <c r="J100" s="129">
        <v>46235</v>
      </c>
      <c r="K100" s="130">
        <v>0.53472222222222221</v>
      </c>
      <c r="L100" s="130">
        <v>0.54027777777777775</v>
      </c>
      <c r="M100" s="56" t="s">
        <v>1050</v>
      </c>
      <c r="N100" s="129">
        <v>46235</v>
      </c>
      <c r="O100" s="130">
        <v>0.60069444444444442</v>
      </c>
      <c r="P100" s="130">
        <v>0.59989583333333329</v>
      </c>
      <c r="Q100" s="56" t="s">
        <v>1050</v>
      </c>
      <c r="R100" s="56" t="s">
        <v>493</v>
      </c>
      <c r="S100" s="56">
        <v>31</v>
      </c>
      <c r="T100" s="131">
        <v>5.5555555555555358E-3</v>
      </c>
      <c r="U100" s="130">
        <v>-7.9861111111112493E-4</v>
      </c>
      <c r="V100" s="56" t="s">
        <v>1051</v>
      </c>
      <c r="W100" s="56" t="s">
        <v>1052</v>
      </c>
      <c r="X100" s="56" t="s">
        <v>1053</v>
      </c>
      <c r="Y100" s="56">
        <v>31</v>
      </c>
      <c r="Z100" s="56" t="s">
        <v>1054</v>
      </c>
      <c r="AA100" s="56" t="s">
        <v>1622</v>
      </c>
      <c r="AB100" s="56" t="s">
        <v>1077</v>
      </c>
      <c r="AC100" s="56" t="s">
        <v>1078</v>
      </c>
      <c r="AD100" s="56" t="s">
        <v>1623</v>
      </c>
      <c r="AE100" s="56" t="s">
        <v>1624</v>
      </c>
      <c r="AF100" s="56" t="s">
        <v>1237</v>
      </c>
      <c r="AG100" s="56" t="s">
        <v>1625</v>
      </c>
      <c r="AH100" s="56"/>
      <c r="AI100" s="56"/>
      <c r="AJ100" s="56"/>
      <c r="AK100" s="56"/>
      <c r="AL100" s="56"/>
      <c r="AM100" s="56"/>
      <c r="AN100" s="56"/>
      <c r="AO100" s="56"/>
      <c r="AP100" s="56"/>
      <c r="AQ100" s="131"/>
      <c r="AR100" s="130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</row>
    <row r="101" spans="1:56" x14ac:dyDescent="0.2">
      <c r="A101" s="56"/>
      <c r="B101" s="56">
        <v>175406537</v>
      </c>
      <c r="C101" s="56" t="s">
        <v>1626</v>
      </c>
      <c r="D101" s="56" t="s">
        <v>1627</v>
      </c>
      <c r="E101" s="56" t="s">
        <v>1047</v>
      </c>
      <c r="F101" s="56">
        <v>68</v>
      </c>
      <c r="G101" s="56">
        <v>13416</v>
      </c>
      <c r="H101" s="56" t="s">
        <v>1048</v>
      </c>
      <c r="I101" s="56" t="s">
        <v>1075</v>
      </c>
      <c r="J101" s="129">
        <v>46235</v>
      </c>
      <c r="K101" s="130">
        <v>0.53472222222222221</v>
      </c>
      <c r="L101" s="130">
        <v>0.5395833333333333</v>
      </c>
      <c r="M101" s="56" t="s">
        <v>1050</v>
      </c>
      <c r="N101" s="129">
        <v>46235</v>
      </c>
      <c r="O101" s="130">
        <v>0.60069444444444442</v>
      </c>
      <c r="P101" s="130">
        <v>0.58216435185185189</v>
      </c>
      <c r="Q101" s="56" t="s">
        <v>1050</v>
      </c>
      <c r="R101" s="56" t="s">
        <v>1414</v>
      </c>
      <c r="S101" s="56">
        <v>31</v>
      </c>
      <c r="T101" s="131">
        <v>4.8611111111110938E-3</v>
      </c>
      <c r="U101" s="130">
        <v>-1.8530092592592529E-2</v>
      </c>
      <c r="V101" s="56" t="s">
        <v>1051</v>
      </c>
      <c r="W101" s="56" t="s">
        <v>1052</v>
      </c>
      <c r="X101" s="56" t="s">
        <v>1053</v>
      </c>
      <c r="Y101" s="56">
        <v>31</v>
      </c>
      <c r="Z101" s="56" t="s">
        <v>1054</v>
      </c>
      <c r="AA101" s="56" t="s">
        <v>1628</v>
      </c>
      <c r="AB101" s="56" t="s">
        <v>1077</v>
      </c>
      <c r="AC101" s="56" t="s">
        <v>1078</v>
      </c>
      <c r="AD101" s="56" t="s">
        <v>1629</v>
      </c>
      <c r="AE101" s="56" t="s">
        <v>1630</v>
      </c>
      <c r="AF101" s="56" t="s">
        <v>1237</v>
      </c>
      <c r="AG101" s="56" t="s">
        <v>1631</v>
      </c>
      <c r="AH101" s="56"/>
      <c r="AI101" s="56"/>
      <c r="AJ101" s="56"/>
      <c r="AK101" s="56"/>
      <c r="AL101" s="56"/>
      <c r="AM101" s="56"/>
      <c r="AN101" s="56"/>
      <c r="AO101" s="56"/>
      <c r="AP101" s="56"/>
      <c r="AQ101" s="131"/>
      <c r="AR101" s="130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</row>
    <row r="102" spans="1:56" x14ac:dyDescent="0.2">
      <c r="A102" s="56">
        <v>14122709</v>
      </c>
      <c r="B102" s="56">
        <v>175406545</v>
      </c>
      <c r="C102" s="56" t="s">
        <v>1632</v>
      </c>
      <c r="D102" s="56" t="s">
        <v>1633</v>
      </c>
      <c r="E102" s="56" t="s">
        <v>1047</v>
      </c>
      <c r="F102" s="56">
        <v>71</v>
      </c>
      <c r="G102" s="56">
        <v>16003</v>
      </c>
      <c r="H102" s="56" t="s">
        <v>1048</v>
      </c>
      <c r="I102" s="56" t="s">
        <v>1075</v>
      </c>
      <c r="J102" s="129">
        <v>46235</v>
      </c>
      <c r="K102" s="130">
        <v>0.53472222222222221</v>
      </c>
      <c r="L102" s="130">
        <v>0.68958333333333333</v>
      </c>
      <c r="M102" s="56" t="s">
        <v>1050</v>
      </c>
      <c r="N102" s="129">
        <v>46235</v>
      </c>
      <c r="O102" s="130">
        <v>0.60069444444444442</v>
      </c>
      <c r="P102" s="130">
        <v>0.6388194444444445</v>
      </c>
      <c r="Q102" s="56" t="s">
        <v>1050</v>
      </c>
      <c r="R102" s="56" t="s">
        <v>441</v>
      </c>
      <c r="S102" s="56">
        <v>31</v>
      </c>
      <c r="T102" s="131">
        <v>0.15486111111111112</v>
      </c>
      <c r="U102" s="130">
        <v>3.8125000000000075E-2</v>
      </c>
      <c r="V102" s="56" t="s">
        <v>1051</v>
      </c>
      <c r="W102" s="56" t="s">
        <v>1065</v>
      </c>
      <c r="X102" s="56" t="s">
        <v>1066</v>
      </c>
      <c r="Y102" s="56">
        <v>31</v>
      </c>
      <c r="Z102" s="56" t="s">
        <v>1054</v>
      </c>
      <c r="AA102" s="56" t="s">
        <v>1634</v>
      </c>
      <c r="AB102" s="56" t="s">
        <v>1077</v>
      </c>
      <c r="AC102" s="56" t="s">
        <v>1078</v>
      </c>
      <c r="AD102" s="56" t="s">
        <v>1635</v>
      </c>
      <c r="AE102" s="56" t="s">
        <v>1636</v>
      </c>
      <c r="AF102" s="56" t="s">
        <v>1237</v>
      </c>
      <c r="AG102" s="56" t="s">
        <v>1637</v>
      </c>
      <c r="AH102" s="56"/>
      <c r="AI102" s="56"/>
      <c r="AJ102" s="56"/>
      <c r="AK102" s="56"/>
      <c r="AL102" s="56"/>
      <c r="AM102" s="56"/>
      <c r="AN102" s="56"/>
      <c r="AO102" s="56"/>
      <c r="AP102" s="56"/>
      <c r="AQ102" s="131"/>
      <c r="AR102" s="130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</row>
    <row r="103" spans="1:56" x14ac:dyDescent="0.2">
      <c r="A103" s="56"/>
      <c r="B103" s="56">
        <v>175413023</v>
      </c>
      <c r="C103" s="56" t="s">
        <v>1638</v>
      </c>
      <c r="D103" s="56" t="s">
        <v>1639</v>
      </c>
      <c r="E103" s="56" t="s">
        <v>1047</v>
      </c>
      <c r="F103" s="56">
        <v>82</v>
      </c>
      <c r="G103" s="56">
        <v>13537</v>
      </c>
      <c r="H103" s="56" t="s">
        <v>1048</v>
      </c>
      <c r="I103" s="56" t="s">
        <v>1104</v>
      </c>
      <c r="J103" s="129">
        <v>46235</v>
      </c>
      <c r="K103" s="130">
        <v>0.53472222222222221</v>
      </c>
      <c r="L103" s="130">
        <v>0.53888888888888886</v>
      </c>
      <c r="M103" s="56" t="s">
        <v>1050</v>
      </c>
      <c r="N103" s="129">
        <v>46235</v>
      </c>
      <c r="O103" s="130">
        <v>0.60069444444444442</v>
      </c>
      <c r="P103" s="130">
        <v>0.58569444444444441</v>
      </c>
      <c r="Q103" s="56" t="s">
        <v>1050</v>
      </c>
      <c r="R103" s="56" t="s">
        <v>1414</v>
      </c>
      <c r="S103" s="56">
        <v>31</v>
      </c>
      <c r="T103" s="131">
        <v>4.1666666666666519E-3</v>
      </c>
      <c r="U103" s="130">
        <v>-1.5000000000000013E-2</v>
      </c>
      <c r="V103" s="56" t="s">
        <v>1051</v>
      </c>
      <c r="W103" s="56" t="s">
        <v>1052</v>
      </c>
      <c r="X103" s="56" t="s">
        <v>1053</v>
      </c>
      <c r="Y103" s="56">
        <v>31</v>
      </c>
      <c r="Z103" s="56" t="s">
        <v>1054</v>
      </c>
      <c r="AA103" s="56" t="s">
        <v>1640</v>
      </c>
      <c r="AB103" s="56" t="s">
        <v>1106</v>
      </c>
      <c r="AC103" s="56" t="s">
        <v>1078</v>
      </c>
      <c r="AD103" s="56" t="s">
        <v>1641</v>
      </c>
      <c r="AE103" s="56" t="s">
        <v>1642</v>
      </c>
      <c r="AF103" s="56" t="s">
        <v>1237</v>
      </c>
      <c r="AG103" s="56" t="s">
        <v>1643</v>
      </c>
      <c r="AH103" s="56"/>
      <c r="AI103" s="56"/>
      <c r="AJ103" s="56"/>
      <c r="AK103" s="56"/>
      <c r="AL103" s="56"/>
      <c r="AM103" s="56"/>
      <c r="AN103" s="56"/>
      <c r="AO103" s="56"/>
      <c r="AP103" s="56"/>
      <c r="AQ103" s="131"/>
      <c r="AR103" s="130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</row>
    <row r="104" spans="1:56" x14ac:dyDescent="0.2">
      <c r="A104" s="56">
        <v>14108916</v>
      </c>
      <c r="B104" s="56">
        <v>175413115</v>
      </c>
      <c r="C104" s="56" t="s">
        <v>1644</v>
      </c>
      <c r="D104" s="56" t="s">
        <v>1645</v>
      </c>
      <c r="E104" s="56" t="s">
        <v>1047</v>
      </c>
      <c r="F104" s="56">
        <v>117</v>
      </c>
      <c r="G104" s="56">
        <v>16769</v>
      </c>
      <c r="H104" s="56" t="s">
        <v>1048</v>
      </c>
      <c r="I104" s="56" t="s">
        <v>1104</v>
      </c>
      <c r="J104" s="129">
        <v>46235</v>
      </c>
      <c r="K104" s="130">
        <v>0.53472222222222221</v>
      </c>
      <c r="L104" s="130">
        <v>0.53888888888888886</v>
      </c>
      <c r="M104" s="56" t="s">
        <v>1050</v>
      </c>
      <c r="N104" s="129">
        <v>46235</v>
      </c>
      <c r="O104" s="130">
        <v>0.60069444444444442</v>
      </c>
      <c r="P104" s="130">
        <v>0.58543981481481477</v>
      </c>
      <c r="Q104" s="56" t="s">
        <v>1050</v>
      </c>
      <c r="R104" s="56" t="s">
        <v>79</v>
      </c>
      <c r="S104" s="56">
        <v>31</v>
      </c>
      <c r="T104" s="131">
        <v>4.1666666666666519E-3</v>
      </c>
      <c r="U104" s="130">
        <v>-1.5254629629629646E-2</v>
      </c>
      <c r="V104" s="56" t="s">
        <v>1051</v>
      </c>
      <c r="W104" s="56" t="s">
        <v>1052</v>
      </c>
      <c r="X104" s="56" t="s">
        <v>1053</v>
      </c>
      <c r="Y104" s="56">
        <v>31</v>
      </c>
      <c r="Z104" s="56" t="s">
        <v>1054</v>
      </c>
      <c r="AA104" s="56" t="s">
        <v>1646</v>
      </c>
      <c r="AB104" s="56" t="s">
        <v>1106</v>
      </c>
      <c r="AC104" s="56" t="s">
        <v>1078</v>
      </c>
      <c r="AD104" s="56" t="s">
        <v>1647</v>
      </c>
      <c r="AE104" s="56" t="s">
        <v>1648</v>
      </c>
      <c r="AF104" s="56" t="s">
        <v>1237</v>
      </c>
      <c r="AG104" s="56" t="s">
        <v>1649</v>
      </c>
      <c r="AH104" s="56"/>
      <c r="AI104" s="56"/>
      <c r="AJ104" s="56"/>
      <c r="AK104" s="56"/>
      <c r="AL104" s="56"/>
      <c r="AM104" s="56"/>
      <c r="AN104" s="56"/>
      <c r="AO104" s="56"/>
      <c r="AP104" s="56"/>
      <c r="AQ104" s="131"/>
      <c r="AR104" s="130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</row>
    <row r="105" spans="1:56" x14ac:dyDescent="0.2">
      <c r="A105" s="56">
        <v>14123528</v>
      </c>
      <c r="B105" s="56">
        <v>175418686</v>
      </c>
      <c r="C105" s="56" t="s">
        <v>1650</v>
      </c>
      <c r="D105" s="56" t="s">
        <v>1553</v>
      </c>
      <c r="E105" s="56" t="s">
        <v>1047</v>
      </c>
      <c r="F105" s="56">
        <v>43</v>
      </c>
      <c r="G105" s="56">
        <v>13010</v>
      </c>
      <c r="H105" s="56" t="s">
        <v>1048</v>
      </c>
      <c r="I105" s="56" t="s">
        <v>1158</v>
      </c>
      <c r="J105" s="129">
        <v>46235</v>
      </c>
      <c r="K105" s="130">
        <v>0.53472222222222221</v>
      </c>
      <c r="L105" s="130">
        <v>0.54027777777777775</v>
      </c>
      <c r="M105" s="56" t="s">
        <v>1050</v>
      </c>
      <c r="N105" s="129">
        <v>46235</v>
      </c>
      <c r="O105" s="130">
        <v>0.59375</v>
      </c>
      <c r="P105" s="130">
        <v>0.57850694444444439</v>
      </c>
      <c r="Q105" s="56" t="s">
        <v>1050</v>
      </c>
      <c r="R105" s="56" t="s">
        <v>526</v>
      </c>
      <c r="S105" s="56">
        <v>31</v>
      </c>
      <c r="T105" s="131">
        <v>5.5555555555555358E-3</v>
      </c>
      <c r="U105" s="130">
        <v>-1.5243055555555607E-2</v>
      </c>
      <c r="V105" s="56" t="s">
        <v>1051</v>
      </c>
      <c r="W105" s="56" t="s">
        <v>1052</v>
      </c>
      <c r="X105" s="56" t="s">
        <v>1053</v>
      </c>
      <c r="Y105" s="56">
        <v>31</v>
      </c>
      <c r="Z105" s="56" t="s">
        <v>1054</v>
      </c>
      <c r="AA105" s="56" t="s">
        <v>1651</v>
      </c>
      <c r="AB105" s="56" t="s">
        <v>1160</v>
      </c>
      <c r="AC105" s="56" t="s">
        <v>1069</v>
      </c>
      <c r="AD105" s="56" t="s">
        <v>1652</v>
      </c>
      <c r="AE105" s="56" t="s">
        <v>1653</v>
      </c>
      <c r="AF105" s="56" t="s">
        <v>1237</v>
      </c>
      <c r="AG105" s="56" t="s">
        <v>1654</v>
      </c>
      <c r="AH105" s="56"/>
      <c r="AI105" s="56"/>
      <c r="AJ105" s="56"/>
      <c r="AK105" s="56"/>
      <c r="AL105" s="56"/>
      <c r="AM105" s="56"/>
      <c r="AN105" s="56"/>
      <c r="AO105" s="56"/>
      <c r="AP105" s="56"/>
      <c r="AQ105" s="131"/>
      <c r="AR105" s="130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</row>
    <row r="106" spans="1:56" x14ac:dyDescent="0.2">
      <c r="A106" s="56">
        <v>14104971</v>
      </c>
      <c r="B106" s="56">
        <v>175413095</v>
      </c>
      <c r="C106" s="56" t="s">
        <v>1655</v>
      </c>
      <c r="D106" s="56" t="s">
        <v>1656</v>
      </c>
      <c r="E106" s="56" t="s">
        <v>1047</v>
      </c>
      <c r="F106" s="56">
        <v>109</v>
      </c>
      <c r="G106" s="56">
        <v>5672</v>
      </c>
      <c r="H106" s="56" t="s">
        <v>1048</v>
      </c>
      <c r="I106" s="56" t="s">
        <v>1104</v>
      </c>
      <c r="J106" s="129">
        <v>46235</v>
      </c>
      <c r="K106" s="130">
        <v>0.53819444444444442</v>
      </c>
      <c r="L106" s="130">
        <v>0.54166666666666663</v>
      </c>
      <c r="M106" s="56" t="s">
        <v>1050</v>
      </c>
      <c r="N106" s="129">
        <v>46235</v>
      </c>
      <c r="O106" s="130">
        <v>0.60069444444444442</v>
      </c>
      <c r="P106" s="130">
        <v>0.58303240740740736</v>
      </c>
      <c r="Q106" s="56" t="s">
        <v>1050</v>
      </c>
      <c r="R106" s="56" t="s">
        <v>43</v>
      </c>
      <c r="S106" s="56">
        <v>31</v>
      </c>
      <c r="T106" s="131">
        <v>3.4722222222222099E-3</v>
      </c>
      <c r="U106" s="130">
        <v>-1.7662037037037059E-2</v>
      </c>
      <c r="V106" s="56" t="s">
        <v>1051</v>
      </c>
      <c r="W106" s="56" t="s">
        <v>1052</v>
      </c>
      <c r="X106" s="56" t="s">
        <v>1053</v>
      </c>
      <c r="Y106" s="56">
        <v>31</v>
      </c>
      <c r="Z106" s="56" t="s">
        <v>1054</v>
      </c>
      <c r="AA106" s="56" t="s">
        <v>1657</v>
      </c>
      <c r="AB106" s="56" t="s">
        <v>1106</v>
      </c>
      <c r="AC106" s="56" t="s">
        <v>1078</v>
      </c>
      <c r="AD106" s="56" t="s">
        <v>1658</v>
      </c>
      <c r="AE106" s="56" t="s">
        <v>1659</v>
      </c>
      <c r="AF106" s="56" t="s">
        <v>1237</v>
      </c>
      <c r="AG106" s="56" t="s">
        <v>1660</v>
      </c>
      <c r="AH106" s="56"/>
      <c r="AI106" s="56"/>
      <c r="AJ106" s="56"/>
      <c r="AK106" s="56"/>
      <c r="AL106" s="56"/>
      <c r="AM106" s="56"/>
      <c r="AN106" s="56"/>
      <c r="AO106" s="56"/>
      <c r="AP106" s="56"/>
      <c r="AQ106" s="131"/>
      <c r="AR106" s="130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</row>
    <row r="107" spans="1:56" x14ac:dyDescent="0.2">
      <c r="A107" s="56">
        <v>14121791</v>
      </c>
      <c r="B107" s="56">
        <v>175416658</v>
      </c>
      <c r="C107" s="56" t="s">
        <v>1661</v>
      </c>
      <c r="D107" s="56" t="s">
        <v>1521</v>
      </c>
      <c r="E107" s="56" t="s">
        <v>1047</v>
      </c>
      <c r="F107" s="56">
        <v>22</v>
      </c>
      <c r="G107" s="56">
        <v>14687</v>
      </c>
      <c r="H107" s="56" t="s">
        <v>1048</v>
      </c>
      <c r="I107" s="56" t="s">
        <v>1172</v>
      </c>
      <c r="J107" s="129">
        <v>46235</v>
      </c>
      <c r="K107" s="130">
        <v>0.53819444444444442</v>
      </c>
      <c r="L107" s="130">
        <v>0.55208333333333337</v>
      </c>
      <c r="M107" s="56" t="s">
        <v>1050</v>
      </c>
      <c r="N107" s="129">
        <v>46235</v>
      </c>
      <c r="O107" s="130">
        <v>0.61458333333333337</v>
      </c>
      <c r="P107" s="130">
        <v>0.61524305555555558</v>
      </c>
      <c r="Q107" s="56" t="s">
        <v>1050</v>
      </c>
      <c r="R107" s="56" t="s">
        <v>354</v>
      </c>
      <c r="S107" s="56">
        <v>31</v>
      </c>
      <c r="T107" s="131">
        <v>1.3888888888888951E-2</v>
      </c>
      <c r="U107" s="130">
        <v>6.5972222222221433E-4</v>
      </c>
      <c r="V107" s="56" t="s">
        <v>1051</v>
      </c>
      <c r="W107" s="56" t="s">
        <v>1052</v>
      </c>
      <c r="X107" s="56" t="s">
        <v>1053</v>
      </c>
      <c r="Y107" s="56">
        <v>31</v>
      </c>
      <c r="Z107" s="56" t="s">
        <v>1054</v>
      </c>
      <c r="AA107" s="56" t="s">
        <v>1522</v>
      </c>
      <c r="AB107" s="56" t="s">
        <v>1174</v>
      </c>
      <c r="AC107" s="56" t="s">
        <v>1057</v>
      </c>
      <c r="AD107" s="56" t="s">
        <v>1523</v>
      </c>
      <c r="AE107" s="56" t="s">
        <v>1524</v>
      </c>
      <c r="AF107" s="56" t="s">
        <v>1237</v>
      </c>
      <c r="AG107" s="56" t="s">
        <v>1662</v>
      </c>
      <c r="AH107" s="56"/>
      <c r="AI107" s="56"/>
      <c r="AJ107" s="56"/>
      <c r="AK107" s="56"/>
      <c r="AL107" s="56"/>
      <c r="AM107" s="56"/>
      <c r="AN107" s="56"/>
      <c r="AO107" s="56"/>
      <c r="AP107" s="56"/>
      <c r="AQ107" s="131"/>
      <c r="AR107" s="130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</row>
    <row r="108" spans="1:56" x14ac:dyDescent="0.2">
      <c r="A108" s="56">
        <v>14122329</v>
      </c>
      <c r="B108" s="56">
        <v>175420990</v>
      </c>
      <c r="C108" s="56" t="s">
        <v>1663</v>
      </c>
      <c r="D108" s="56" t="s">
        <v>1664</v>
      </c>
      <c r="E108" s="56" t="s">
        <v>1047</v>
      </c>
      <c r="F108" s="56">
        <v>81</v>
      </c>
      <c r="G108" s="56">
        <v>5425</v>
      </c>
      <c r="H108" s="56" t="s">
        <v>1048</v>
      </c>
      <c r="I108" s="56" t="s">
        <v>1118</v>
      </c>
      <c r="J108" s="129">
        <v>46235</v>
      </c>
      <c r="K108" s="130">
        <v>0.53819444444444442</v>
      </c>
      <c r="L108" s="130">
        <v>0.55555555555555558</v>
      </c>
      <c r="M108" s="56" t="s">
        <v>1050</v>
      </c>
      <c r="N108" s="129">
        <v>46235</v>
      </c>
      <c r="O108" s="130">
        <v>0.60069444444444442</v>
      </c>
      <c r="P108" s="130">
        <v>0.60855324074074069</v>
      </c>
      <c r="Q108" s="56" t="s">
        <v>1050</v>
      </c>
      <c r="R108" s="56" t="s">
        <v>406</v>
      </c>
      <c r="S108" s="56">
        <v>31</v>
      </c>
      <c r="T108" s="131">
        <v>1.736111111111116E-2</v>
      </c>
      <c r="U108" s="130">
        <v>7.8587962962962665E-3</v>
      </c>
      <c r="V108" s="56" t="s">
        <v>1051</v>
      </c>
      <c r="W108" s="56" t="s">
        <v>1065</v>
      </c>
      <c r="X108" s="56" t="s">
        <v>1066</v>
      </c>
      <c r="Y108" s="56">
        <v>31</v>
      </c>
      <c r="Z108" s="56" t="s">
        <v>1054</v>
      </c>
      <c r="AA108" s="56" t="s">
        <v>1665</v>
      </c>
      <c r="AB108" s="56" t="s">
        <v>1120</v>
      </c>
      <c r="AC108" s="56" t="s">
        <v>1078</v>
      </c>
      <c r="AD108" s="56" t="s">
        <v>1666</v>
      </c>
      <c r="AE108" s="56" t="s">
        <v>1667</v>
      </c>
      <c r="AF108" s="56" t="s">
        <v>1237</v>
      </c>
      <c r="AG108" s="56" t="s">
        <v>1668</v>
      </c>
      <c r="AH108" s="56"/>
      <c r="AI108" s="56"/>
      <c r="AJ108" s="56"/>
      <c r="AK108" s="56"/>
      <c r="AL108" s="56"/>
      <c r="AM108" s="56"/>
      <c r="AN108" s="56"/>
      <c r="AO108" s="56"/>
      <c r="AP108" s="56"/>
      <c r="AQ108" s="131"/>
      <c r="AR108" s="130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</row>
    <row r="109" spans="1:56" x14ac:dyDescent="0.2">
      <c r="A109" s="56">
        <v>14107967</v>
      </c>
      <c r="B109" s="56">
        <v>175421031</v>
      </c>
      <c r="C109" s="56" t="s">
        <v>1669</v>
      </c>
      <c r="D109" s="56" t="s">
        <v>1670</v>
      </c>
      <c r="E109" s="56" t="s">
        <v>1047</v>
      </c>
      <c r="F109" s="56">
        <v>84</v>
      </c>
      <c r="G109" s="56">
        <v>16734</v>
      </c>
      <c r="H109" s="56" t="s">
        <v>1048</v>
      </c>
      <c r="I109" s="56" t="s">
        <v>1118</v>
      </c>
      <c r="J109" s="129">
        <v>46235</v>
      </c>
      <c r="K109" s="130">
        <v>0.53819444444444442</v>
      </c>
      <c r="L109" s="130">
        <v>0.54583333333333328</v>
      </c>
      <c r="M109" s="56" t="s">
        <v>1050</v>
      </c>
      <c r="N109" s="129">
        <v>46235</v>
      </c>
      <c r="O109" s="130">
        <v>0.60069444444444442</v>
      </c>
      <c r="P109" s="130">
        <v>0.59614583333333337</v>
      </c>
      <c r="Q109" s="56" t="s">
        <v>1050</v>
      </c>
      <c r="R109" s="56" t="s">
        <v>67</v>
      </c>
      <c r="S109" s="56">
        <v>31</v>
      </c>
      <c r="T109" s="131">
        <v>7.6388888888888618E-3</v>
      </c>
      <c r="U109" s="130">
        <v>-4.548611111111045E-3</v>
      </c>
      <c r="V109" s="56" t="s">
        <v>1051</v>
      </c>
      <c r="W109" s="56" t="s">
        <v>1052</v>
      </c>
      <c r="X109" s="56" t="s">
        <v>1053</v>
      </c>
      <c r="Y109" s="56">
        <v>31</v>
      </c>
      <c r="Z109" s="56" t="s">
        <v>1054</v>
      </c>
      <c r="AA109" s="56" t="s">
        <v>1671</v>
      </c>
      <c r="AB109" s="56" t="s">
        <v>1120</v>
      </c>
      <c r="AC109" s="56" t="s">
        <v>1078</v>
      </c>
      <c r="AD109" s="56" t="s">
        <v>1672</v>
      </c>
      <c r="AE109" s="56" t="s">
        <v>1673</v>
      </c>
      <c r="AF109" s="56" t="s">
        <v>1237</v>
      </c>
      <c r="AG109" s="56" t="s">
        <v>1674</v>
      </c>
      <c r="AH109" s="56"/>
      <c r="AI109" s="56"/>
      <c r="AJ109" s="56"/>
      <c r="AK109" s="56"/>
      <c r="AL109" s="56"/>
      <c r="AM109" s="56"/>
      <c r="AN109" s="56"/>
      <c r="AO109" s="56"/>
      <c r="AP109" s="56"/>
      <c r="AQ109" s="131"/>
      <c r="AR109" s="130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</row>
    <row r="110" spans="1:56" x14ac:dyDescent="0.2">
      <c r="A110" s="56">
        <v>14123519</v>
      </c>
      <c r="B110" s="56">
        <v>175413155</v>
      </c>
      <c r="C110" s="56" t="s">
        <v>1675</v>
      </c>
      <c r="D110" s="56" t="s">
        <v>1185</v>
      </c>
      <c r="E110" s="56" t="s">
        <v>1047</v>
      </c>
      <c r="F110" s="56">
        <v>98</v>
      </c>
      <c r="G110" s="56">
        <v>6985</v>
      </c>
      <c r="H110" s="56" t="s">
        <v>1048</v>
      </c>
      <c r="I110" s="56" t="s">
        <v>1676</v>
      </c>
      <c r="J110" s="129">
        <v>46235</v>
      </c>
      <c r="K110" s="130">
        <v>0.54166666666666663</v>
      </c>
      <c r="L110" s="130">
        <v>0.55833333333333335</v>
      </c>
      <c r="M110" s="56" t="s">
        <v>1050</v>
      </c>
      <c r="N110" s="129">
        <v>46235</v>
      </c>
      <c r="O110" s="130">
        <v>0.60069444444444442</v>
      </c>
      <c r="P110" s="130">
        <v>0.59329861111111115</v>
      </c>
      <c r="Q110" s="56" t="s">
        <v>1050</v>
      </c>
      <c r="R110" s="56" t="s">
        <v>521</v>
      </c>
      <c r="S110" s="56">
        <v>31</v>
      </c>
      <c r="T110" s="131">
        <v>1.6666666666666718E-2</v>
      </c>
      <c r="U110" s="130">
        <v>-7.3958333333332682E-3</v>
      </c>
      <c r="V110" s="56" t="s">
        <v>1051</v>
      </c>
      <c r="W110" s="56" t="s">
        <v>1052</v>
      </c>
      <c r="X110" s="56" t="s">
        <v>1053</v>
      </c>
      <c r="Y110" s="56">
        <v>31</v>
      </c>
      <c r="Z110" s="56" t="s">
        <v>1054</v>
      </c>
      <c r="AA110" s="56" t="s">
        <v>1677</v>
      </c>
      <c r="AB110" s="56" t="s">
        <v>1678</v>
      </c>
      <c r="AC110" s="56" t="s">
        <v>1078</v>
      </c>
      <c r="AD110" s="56" t="s">
        <v>1679</v>
      </c>
      <c r="AE110" s="56" t="s">
        <v>1680</v>
      </c>
      <c r="AF110" s="56" t="s">
        <v>1237</v>
      </c>
      <c r="AG110" s="56" t="s">
        <v>1681</v>
      </c>
      <c r="AH110" s="56"/>
      <c r="AI110" s="56"/>
      <c r="AJ110" s="56"/>
      <c r="AK110" s="56"/>
      <c r="AL110" s="56"/>
      <c r="AM110" s="56"/>
      <c r="AN110" s="56"/>
      <c r="AO110" s="56"/>
      <c r="AP110" s="56"/>
      <c r="AQ110" s="131"/>
      <c r="AR110" s="130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</row>
    <row r="111" spans="1:56" x14ac:dyDescent="0.2">
      <c r="A111" s="56">
        <v>14110465</v>
      </c>
      <c r="B111" s="56">
        <v>175414091</v>
      </c>
      <c r="C111" s="56" t="s">
        <v>1263</v>
      </c>
      <c r="D111" s="56" t="s">
        <v>1264</v>
      </c>
      <c r="E111" s="56" t="s">
        <v>1047</v>
      </c>
      <c r="F111" s="56">
        <v>18</v>
      </c>
      <c r="G111" s="56">
        <v>10362</v>
      </c>
      <c r="H111" s="56" t="s">
        <v>1048</v>
      </c>
      <c r="I111" s="56" t="s">
        <v>1200</v>
      </c>
      <c r="J111" s="129">
        <v>46235</v>
      </c>
      <c r="K111" s="130">
        <v>0.54166666666666663</v>
      </c>
      <c r="L111" s="130">
        <v>0.54583333333333328</v>
      </c>
      <c r="M111" s="56" t="s">
        <v>1050</v>
      </c>
      <c r="N111" s="129">
        <v>46235</v>
      </c>
      <c r="O111" s="130">
        <v>0.58333333333333337</v>
      </c>
      <c r="P111" s="130">
        <v>0.58311342592592597</v>
      </c>
      <c r="Q111" s="56" t="s">
        <v>1050</v>
      </c>
      <c r="R111" s="56" t="s">
        <v>102</v>
      </c>
      <c r="S111" s="56">
        <v>31</v>
      </c>
      <c r="T111" s="131">
        <v>4.1666666666666519E-3</v>
      </c>
      <c r="U111" s="130">
        <v>-2.1990740740740478E-4</v>
      </c>
      <c r="V111" s="56" t="s">
        <v>1051</v>
      </c>
      <c r="W111" s="56" t="s">
        <v>1052</v>
      </c>
      <c r="X111" s="56" t="s">
        <v>1053</v>
      </c>
      <c r="Y111" s="56">
        <v>31</v>
      </c>
      <c r="Z111" s="56" t="s">
        <v>1054</v>
      </c>
      <c r="AA111" s="56" t="s">
        <v>1265</v>
      </c>
      <c r="AB111" s="56" t="s">
        <v>1203</v>
      </c>
      <c r="AC111" s="56" t="s">
        <v>1057</v>
      </c>
      <c r="AD111" s="56" t="s">
        <v>1266</v>
      </c>
      <c r="AE111" s="56" t="s">
        <v>1267</v>
      </c>
      <c r="AF111" s="56" t="s">
        <v>1237</v>
      </c>
      <c r="AG111" s="56" t="s">
        <v>1268</v>
      </c>
      <c r="AH111" s="56"/>
      <c r="AI111" s="56"/>
      <c r="AJ111" s="56"/>
      <c r="AK111" s="56"/>
      <c r="AL111" s="56"/>
      <c r="AM111" s="56"/>
      <c r="AN111" s="56"/>
      <c r="AO111" s="56"/>
      <c r="AP111" s="56"/>
      <c r="AQ111" s="131"/>
      <c r="AR111" s="130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</row>
    <row r="112" spans="1:56" x14ac:dyDescent="0.2">
      <c r="A112" s="56">
        <v>14119324</v>
      </c>
      <c r="B112" s="56">
        <v>175419170</v>
      </c>
      <c r="C112" s="56" t="s">
        <v>1682</v>
      </c>
      <c r="D112" s="56" t="s">
        <v>1683</v>
      </c>
      <c r="E112" s="56" t="s">
        <v>1047</v>
      </c>
      <c r="F112" s="56">
        <v>204</v>
      </c>
      <c r="G112" s="56">
        <v>12948</v>
      </c>
      <c r="H112" s="56" t="s">
        <v>1048</v>
      </c>
      <c r="I112" s="56" t="s">
        <v>1104</v>
      </c>
      <c r="J112" s="129">
        <v>46235</v>
      </c>
      <c r="K112" s="130">
        <v>0.54166666666666663</v>
      </c>
      <c r="L112" s="130">
        <v>0.54722222222222228</v>
      </c>
      <c r="M112" s="56" t="s">
        <v>1050</v>
      </c>
      <c r="N112" s="129">
        <v>46235</v>
      </c>
      <c r="O112" s="130">
        <v>0.60069444444444442</v>
      </c>
      <c r="P112" s="130">
        <v>0.60064814814814815</v>
      </c>
      <c r="Q112" s="56" t="s">
        <v>1050</v>
      </c>
      <c r="R112" s="56" t="s">
        <v>241</v>
      </c>
      <c r="S112" s="56">
        <v>31</v>
      </c>
      <c r="T112" s="131">
        <v>5.5555555555556468E-3</v>
      </c>
      <c r="U112" s="130">
        <v>-4.6296296296266526E-5</v>
      </c>
      <c r="V112" s="56" t="s">
        <v>1051</v>
      </c>
      <c r="W112" s="56" t="s">
        <v>1052</v>
      </c>
      <c r="X112" s="56" t="s">
        <v>1053</v>
      </c>
      <c r="Y112" s="56">
        <v>31</v>
      </c>
      <c r="Z112" s="56" t="s">
        <v>1054</v>
      </c>
      <c r="AA112" s="56" t="s">
        <v>1684</v>
      </c>
      <c r="AB112" s="56" t="s">
        <v>1106</v>
      </c>
      <c r="AC112" s="56" t="s">
        <v>1078</v>
      </c>
      <c r="AD112" s="56" t="s">
        <v>1685</v>
      </c>
      <c r="AE112" s="56" t="s">
        <v>1686</v>
      </c>
      <c r="AF112" s="56" t="s">
        <v>1237</v>
      </c>
      <c r="AG112" s="56" t="s">
        <v>1687</v>
      </c>
      <c r="AH112" s="56"/>
      <c r="AI112" s="56"/>
      <c r="AJ112" s="56"/>
      <c r="AK112" s="56"/>
      <c r="AL112" s="56"/>
      <c r="AM112" s="56"/>
      <c r="AN112" s="56"/>
      <c r="AO112" s="56"/>
      <c r="AP112" s="56"/>
      <c r="AQ112" s="131"/>
      <c r="AR112" s="130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</row>
    <row r="113" spans="1:56" x14ac:dyDescent="0.2">
      <c r="A113" s="56">
        <v>14118620</v>
      </c>
      <c r="B113" s="56">
        <v>175419675</v>
      </c>
      <c r="C113" s="56" t="s">
        <v>1688</v>
      </c>
      <c r="D113" s="56" t="s">
        <v>1689</v>
      </c>
      <c r="E113" s="56" t="s">
        <v>1047</v>
      </c>
      <c r="F113" s="56">
        <v>195</v>
      </c>
      <c r="G113" s="56">
        <v>6250</v>
      </c>
      <c r="H113" s="56" t="s">
        <v>1048</v>
      </c>
      <c r="I113" s="56" t="s">
        <v>1676</v>
      </c>
      <c r="J113" s="129">
        <v>46235</v>
      </c>
      <c r="K113" s="130">
        <v>0.54166666666666663</v>
      </c>
      <c r="L113" s="130">
        <v>0.55694444444444446</v>
      </c>
      <c r="M113" s="56" t="s">
        <v>1050</v>
      </c>
      <c r="N113" s="129">
        <v>46235</v>
      </c>
      <c r="O113" s="130">
        <v>0.60069444444444442</v>
      </c>
      <c r="P113" s="130">
        <v>0.61555555555555552</v>
      </c>
      <c r="Q113" s="56" t="s">
        <v>1050</v>
      </c>
      <c r="R113" s="56" t="s">
        <v>201</v>
      </c>
      <c r="S113" s="56">
        <v>31</v>
      </c>
      <c r="T113" s="131">
        <v>1.5277777777777835E-2</v>
      </c>
      <c r="U113" s="130">
        <v>1.4861111111111103E-2</v>
      </c>
      <c r="V113" s="56" t="s">
        <v>1051</v>
      </c>
      <c r="W113" s="56" t="s">
        <v>1065</v>
      </c>
      <c r="X113" s="56" t="s">
        <v>1066</v>
      </c>
      <c r="Y113" s="56">
        <v>31</v>
      </c>
      <c r="Z113" s="56" t="s">
        <v>1054</v>
      </c>
      <c r="AA113" s="56" t="s">
        <v>1690</v>
      </c>
      <c r="AB113" s="56" t="s">
        <v>1678</v>
      </c>
      <c r="AC113" s="56" t="s">
        <v>1078</v>
      </c>
      <c r="AD113" s="56" t="s">
        <v>1691</v>
      </c>
      <c r="AE113" s="56" t="s">
        <v>1692</v>
      </c>
      <c r="AF113" s="56" t="s">
        <v>1237</v>
      </c>
      <c r="AG113" s="56" t="s">
        <v>1693</v>
      </c>
      <c r="AH113" s="56"/>
      <c r="AI113" s="56"/>
      <c r="AJ113" s="56"/>
      <c r="AK113" s="56"/>
      <c r="AL113" s="56"/>
      <c r="AM113" s="56"/>
      <c r="AN113" s="56"/>
      <c r="AO113" s="56"/>
      <c r="AP113" s="56"/>
      <c r="AQ113" s="131"/>
      <c r="AR113" s="130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</row>
    <row r="114" spans="1:56" x14ac:dyDescent="0.2">
      <c r="A114" s="56">
        <v>14123651</v>
      </c>
      <c r="B114" s="56">
        <v>175420244</v>
      </c>
      <c r="C114" s="56" t="s">
        <v>1694</v>
      </c>
      <c r="D114" s="56" t="s">
        <v>1695</v>
      </c>
      <c r="E114" s="56" t="s">
        <v>1047</v>
      </c>
      <c r="F114" s="56">
        <v>66</v>
      </c>
      <c r="G114" s="56">
        <v>13901</v>
      </c>
      <c r="H114" s="56" t="s">
        <v>1048</v>
      </c>
      <c r="I114" s="56" t="s">
        <v>1118</v>
      </c>
      <c r="J114" s="129">
        <v>46235</v>
      </c>
      <c r="K114" s="130">
        <v>0.54513888888888884</v>
      </c>
      <c r="L114" s="130">
        <v>0.5493055555555556</v>
      </c>
      <c r="M114" s="56" t="s">
        <v>1050</v>
      </c>
      <c r="N114" s="129">
        <v>46235</v>
      </c>
      <c r="O114" s="130">
        <v>0.60069444444444442</v>
      </c>
      <c r="P114" s="130">
        <v>0.59787037037037039</v>
      </c>
      <c r="Q114" s="56" t="s">
        <v>1050</v>
      </c>
      <c r="R114" s="56" t="s">
        <v>904</v>
      </c>
      <c r="S114" s="56">
        <v>31</v>
      </c>
      <c r="T114" s="131">
        <v>4.1666666666667629E-3</v>
      </c>
      <c r="U114" s="130">
        <v>-2.8240740740740344E-3</v>
      </c>
      <c r="V114" s="56" t="s">
        <v>1051</v>
      </c>
      <c r="W114" s="56" t="s">
        <v>1052</v>
      </c>
      <c r="X114" s="56" t="s">
        <v>1053</v>
      </c>
      <c r="Y114" s="56">
        <v>31</v>
      </c>
      <c r="Z114" s="56" t="s">
        <v>1054</v>
      </c>
      <c r="AA114" s="56" t="s">
        <v>1696</v>
      </c>
      <c r="AB114" s="56" t="s">
        <v>1120</v>
      </c>
      <c r="AC114" s="56" t="s">
        <v>1078</v>
      </c>
      <c r="AD114" s="56" t="s">
        <v>1697</v>
      </c>
      <c r="AE114" s="56" t="s">
        <v>1698</v>
      </c>
      <c r="AF114" s="56" t="s">
        <v>1237</v>
      </c>
      <c r="AG114" s="56" t="s">
        <v>1699</v>
      </c>
      <c r="AH114" s="56"/>
      <c r="AI114" s="56"/>
      <c r="AJ114" s="56"/>
      <c r="AK114" s="56"/>
      <c r="AL114" s="56"/>
      <c r="AM114" s="56"/>
      <c r="AN114" s="56"/>
      <c r="AO114" s="56"/>
      <c r="AP114" s="56"/>
      <c r="AQ114" s="131"/>
      <c r="AR114" s="130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</row>
    <row r="115" spans="1:56" x14ac:dyDescent="0.2">
      <c r="A115" s="56">
        <v>14122291</v>
      </c>
      <c r="B115" s="56">
        <v>175422245</v>
      </c>
      <c r="C115" s="56" t="s">
        <v>1700</v>
      </c>
      <c r="D115" s="56" t="s">
        <v>1406</v>
      </c>
      <c r="E115" s="56" t="s">
        <v>1047</v>
      </c>
      <c r="F115" s="56">
        <v>7</v>
      </c>
      <c r="G115" s="56">
        <v>4978</v>
      </c>
      <c r="H115" s="56" t="s">
        <v>1048</v>
      </c>
      <c r="I115" s="56" t="s">
        <v>1496</v>
      </c>
      <c r="J115" s="129">
        <v>46235</v>
      </c>
      <c r="K115" s="130">
        <v>0.54513888888888884</v>
      </c>
      <c r="L115" s="130">
        <v>0.56180555555555556</v>
      </c>
      <c r="M115" s="56" t="s">
        <v>1050</v>
      </c>
      <c r="N115" s="129">
        <v>46235</v>
      </c>
      <c r="O115" s="130">
        <v>0.59375</v>
      </c>
      <c r="P115" s="130">
        <v>0.60115740740740742</v>
      </c>
      <c r="Q115" s="56" t="s">
        <v>1050</v>
      </c>
      <c r="R115" s="56" t="s">
        <v>402</v>
      </c>
      <c r="S115" s="56">
        <v>31</v>
      </c>
      <c r="T115" s="131">
        <v>1.6666666666666718E-2</v>
      </c>
      <c r="U115" s="130">
        <v>7.4074074074074181E-3</v>
      </c>
      <c r="V115" s="56" t="s">
        <v>1051</v>
      </c>
      <c r="W115" s="56" t="s">
        <v>1065</v>
      </c>
      <c r="X115" s="56" t="s">
        <v>1066</v>
      </c>
      <c r="Y115" s="56">
        <v>31</v>
      </c>
      <c r="Z115" s="56" t="s">
        <v>1054</v>
      </c>
      <c r="AA115" s="56" t="s">
        <v>1497</v>
      </c>
      <c r="AB115" s="56" t="s">
        <v>1257</v>
      </c>
      <c r="AC115" s="56" t="s">
        <v>1069</v>
      </c>
      <c r="AD115" s="56" t="s">
        <v>1498</v>
      </c>
      <c r="AE115" s="56" t="s">
        <v>1499</v>
      </c>
      <c r="AF115" s="56" t="s">
        <v>1237</v>
      </c>
      <c r="AG115" s="56" t="s">
        <v>1701</v>
      </c>
      <c r="AH115" s="56"/>
      <c r="AI115" s="56"/>
      <c r="AJ115" s="56"/>
      <c r="AK115" s="56"/>
      <c r="AL115" s="56"/>
      <c r="AM115" s="56"/>
      <c r="AN115" s="56"/>
      <c r="AO115" s="56"/>
      <c r="AP115" s="56"/>
      <c r="AQ115" s="131"/>
      <c r="AR115" s="130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</row>
    <row r="116" spans="1:56" x14ac:dyDescent="0.2">
      <c r="A116" s="56">
        <v>14107552</v>
      </c>
      <c r="B116" s="56">
        <v>175421891</v>
      </c>
      <c r="C116" s="56" t="s">
        <v>1702</v>
      </c>
      <c r="D116" s="56" t="s">
        <v>1703</v>
      </c>
      <c r="E116" s="56" t="s">
        <v>1047</v>
      </c>
      <c r="F116" s="56">
        <v>136</v>
      </c>
      <c r="G116" s="56">
        <v>11945</v>
      </c>
      <c r="H116" s="56" t="s">
        <v>1048</v>
      </c>
      <c r="I116" s="56" t="s">
        <v>1172</v>
      </c>
      <c r="J116" s="129">
        <v>46235</v>
      </c>
      <c r="K116" s="130">
        <v>0.55069444444444449</v>
      </c>
      <c r="L116" s="130">
        <v>0.55486111111111114</v>
      </c>
      <c r="M116" s="56" t="s">
        <v>1050</v>
      </c>
      <c r="N116" s="129">
        <v>46235</v>
      </c>
      <c r="O116" s="130">
        <v>0.61458333333333337</v>
      </c>
      <c r="P116" s="130">
        <v>0.61311342592592588</v>
      </c>
      <c r="Q116" s="56" t="s">
        <v>1050</v>
      </c>
      <c r="R116" s="56" t="s">
        <v>63</v>
      </c>
      <c r="S116" s="56">
        <v>31</v>
      </c>
      <c r="T116" s="131">
        <v>4.1666666666666519E-3</v>
      </c>
      <c r="U116" s="130">
        <v>-1.4699074074074892E-3</v>
      </c>
      <c r="V116" s="56" t="s">
        <v>1051</v>
      </c>
      <c r="W116" s="56" t="s">
        <v>1052</v>
      </c>
      <c r="X116" s="56" t="s">
        <v>1053</v>
      </c>
      <c r="Y116" s="56">
        <v>31</v>
      </c>
      <c r="Z116" s="56" t="s">
        <v>1054</v>
      </c>
      <c r="AA116" s="56" t="s">
        <v>1704</v>
      </c>
      <c r="AB116" s="56" t="s">
        <v>1210</v>
      </c>
      <c r="AC116" s="56" t="s">
        <v>1057</v>
      </c>
      <c r="AD116" s="56" t="s">
        <v>1705</v>
      </c>
      <c r="AE116" s="56" t="s">
        <v>1706</v>
      </c>
      <c r="AF116" s="56" t="s">
        <v>1237</v>
      </c>
      <c r="AG116" s="56" t="s">
        <v>1707</v>
      </c>
      <c r="AH116" s="56"/>
      <c r="AI116" s="56"/>
      <c r="AJ116" s="56"/>
      <c r="AK116" s="56"/>
      <c r="AL116" s="56"/>
      <c r="AM116" s="56"/>
      <c r="AN116" s="56"/>
      <c r="AO116" s="56"/>
      <c r="AP116" s="56"/>
      <c r="AQ116" s="131"/>
      <c r="AR116" s="130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</row>
    <row r="117" spans="1:56" x14ac:dyDescent="0.2">
      <c r="A117" s="56">
        <v>14122618</v>
      </c>
      <c r="B117" s="56">
        <v>175416666</v>
      </c>
      <c r="C117" s="56" t="s">
        <v>1708</v>
      </c>
      <c r="D117" s="56" t="s">
        <v>1709</v>
      </c>
      <c r="E117" s="56" t="s">
        <v>1047</v>
      </c>
      <c r="F117" s="56">
        <v>25</v>
      </c>
      <c r="G117" s="56">
        <v>15320</v>
      </c>
      <c r="H117" s="56" t="s">
        <v>1048</v>
      </c>
      <c r="I117" s="56" t="s">
        <v>1172</v>
      </c>
      <c r="J117" s="129">
        <v>46235</v>
      </c>
      <c r="K117" s="130">
        <v>0.55208333333333337</v>
      </c>
      <c r="L117" s="130">
        <v>0.56111111111111112</v>
      </c>
      <c r="M117" s="56" t="s">
        <v>1050</v>
      </c>
      <c r="N117" s="129">
        <v>46235</v>
      </c>
      <c r="O117" s="130">
        <v>0.61458333333333337</v>
      </c>
      <c r="P117" s="130">
        <v>0.62467592592592591</v>
      </c>
      <c r="Q117" s="56" t="s">
        <v>1050</v>
      </c>
      <c r="R117" s="56" t="s">
        <v>430</v>
      </c>
      <c r="S117" s="56">
        <v>31</v>
      </c>
      <c r="T117" s="131">
        <v>9.0277777777777457E-3</v>
      </c>
      <c r="U117" s="130">
        <v>1.0092592592592542E-2</v>
      </c>
      <c r="V117" s="56" t="s">
        <v>1051</v>
      </c>
      <c r="W117" s="56" t="s">
        <v>1065</v>
      </c>
      <c r="X117" s="56" t="s">
        <v>1066</v>
      </c>
      <c r="Y117" s="56">
        <v>31</v>
      </c>
      <c r="Z117" s="56" t="s">
        <v>1054</v>
      </c>
      <c r="AA117" s="56" t="s">
        <v>1710</v>
      </c>
      <c r="AB117" s="56" t="s">
        <v>1174</v>
      </c>
      <c r="AC117" s="56" t="s">
        <v>1057</v>
      </c>
      <c r="AD117" s="56" t="s">
        <v>1711</v>
      </c>
      <c r="AE117" s="56" t="s">
        <v>1712</v>
      </c>
      <c r="AF117" s="56" t="s">
        <v>1237</v>
      </c>
      <c r="AG117" s="56" t="s">
        <v>1713</v>
      </c>
      <c r="AH117" s="56"/>
      <c r="AI117" s="56"/>
      <c r="AJ117" s="56"/>
      <c r="AK117" s="56"/>
      <c r="AL117" s="56"/>
      <c r="AM117" s="56"/>
      <c r="AN117" s="56"/>
      <c r="AO117" s="56"/>
      <c r="AP117" s="56"/>
      <c r="AQ117" s="131"/>
      <c r="AR117" s="130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</row>
    <row r="118" spans="1:56" x14ac:dyDescent="0.2">
      <c r="A118" s="56">
        <v>14123273</v>
      </c>
      <c r="B118" s="56">
        <v>175419921</v>
      </c>
      <c r="C118" s="56" t="s">
        <v>1714</v>
      </c>
      <c r="D118" s="56" t="s">
        <v>1715</v>
      </c>
      <c r="E118" s="56" t="s">
        <v>1047</v>
      </c>
      <c r="F118" s="56">
        <v>90</v>
      </c>
      <c r="G118" s="56">
        <v>15319</v>
      </c>
      <c r="H118" s="56" t="s">
        <v>1048</v>
      </c>
      <c r="I118" s="56" t="s">
        <v>1172</v>
      </c>
      <c r="J118" s="129">
        <v>46235</v>
      </c>
      <c r="K118" s="130">
        <v>0.55208333333333337</v>
      </c>
      <c r="L118" s="130">
        <v>0.55763888888888891</v>
      </c>
      <c r="M118" s="56" t="s">
        <v>1050</v>
      </c>
      <c r="N118" s="129">
        <v>46235</v>
      </c>
      <c r="O118" s="130">
        <v>0.61458333333333337</v>
      </c>
      <c r="P118" s="130">
        <v>0.60986111111111108</v>
      </c>
      <c r="Q118" s="56" t="s">
        <v>1050</v>
      </c>
      <c r="R118" s="56" t="s">
        <v>491</v>
      </c>
      <c r="S118" s="56">
        <v>31</v>
      </c>
      <c r="T118" s="131">
        <v>5.5555555555555358E-3</v>
      </c>
      <c r="U118" s="130">
        <v>-4.7222222222222943E-3</v>
      </c>
      <c r="V118" s="56" t="s">
        <v>1051</v>
      </c>
      <c r="W118" s="56" t="s">
        <v>1052</v>
      </c>
      <c r="X118" s="56" t="s">
        <v>1053</v>
      </c>
      <c r="Y118" s="56">
        <v>31</v>
      </c>
      <c r="Z118" s="56" t="s">
        <v>1054</v>
      </c>
      <c r="AA118" s="56" t="s">
        <v>1716</v>
      </c>
      <c r="AB118" s="56" t="s">
        <v>1174</v>
      </c>
      <c r="AC118" s="56" t="s">
        <v>1057</v>
      </c>
      <c r="AD118" s="56" t="s">
        <v>1717</v>
      </c>
      <c r="AE118" s="56" t="s">
        <v>1718</v>
      </c>
      <c r="AF118" s="56" t="s">
        <v>1237</v>
      </c>
      <c r="AG118" s="56" t="s">
        <v>1719</v>
      </c>
      <c r="AH118" s="56"/>
      <c r="AI118" s="56"/>
      <c r="AJ118" s="56"/>
      <c r="AK118" s="56"/>
      <c r="AL118" s="56"/>
      <c r="AM118" s="56"/>
      <c r="AN118" s="56"/>
      <c r="AO118" s="56"/>
      <c r="AP118" s="56"/>
      <c r="AQ118" s="131"/>
      <c r="AR118" s="130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</row>
    <row r="119" spans="1:56" x14ac:dyDescent="0.2">
      <c r="A119" s="56">
        <v>14123725</v>
      </c>
      <c r="B119" s="56">
        <v>175420854</v>
      </c>
      <c r="C119" s="56" t="s">
        <v>1720</v>
      </c>
      <c r="D119" s="56" t="s">
        <v>1171</v>
      </c>
      <c r="E119" s="56" t="s">
        <v>1047</v>
      </c>
      <c r="F119" s="56">
        <v>98</v>
      </c>
      <c r="G119" s="56">
        <v>13371</v>
      </c>
      <c r="H119" s="56" t="s">
        <v>1048</v>
      </c>
      <c r="I119" s="56" t="s">
        <v>1172</v>
      </c>
      <c r="J119" s="129">
        <v>46235</v>
      </c>
      <c r="K119" s="130">
        <v>0.55208333333333337</v>
      </c>
      <c r="L119" s="130">
        <v>0.55555555555555558</v>
      </c>
      <c r="M119" s="56" t="s">
        <v>1050</v>
      </c>
      <c r="N119" s="129">
        <v>46235</v>
      </c>
      <c r="O119" s="130">
        <v>0.61458333333333337</v>
      </c>
      <c r="P119" s="130">
        <v>0.60524305555555558</v>
      </c>
      <c r="Q119" s="56" t="s">
        <v>1050</v>
      </c>
      <c r="R119" s="56" t="s">
        <v>956</v>
      </c>
      <c r="S119" s="56">
        <v>31</v>
      </c>
      <c r="T119" s="131">
        <v>3.4722222222222099E-3</v>
      </c>
      <c r="U119" s="130">
        <v>-9.3402777777777946E-3</v>
      </c>
      <c r="V119" s="56" t="s">
        <v>1051</v>
      </c>
      <c r="W119" s="56" t="s">
        <v>1052</v>
      </c>
      <c r="X119" s="56" t="s">
        <v>1053</v>
      </c>
      <c r="Y119" s="56">
        <v>31</v>
      </c>
      <c r="Z119" s="56" t="s">
        <v>1054</v>
      </c>
      <c r="AA119" s="56" t="s">
        <v>1173</v>
      </c>
      <c r="AB119" s="56" t="s">
        <v>1174</v>
      </c>
      <c r="AC119" s="56" t="s">
        <v>1057</v>
      </c>
      <c r="AD119" s="56" t="s">
        <v>1175</v>
      </c>
      <c r="AE119" s="56" t="s">
        <v>1176</v>
      </c>
      <c r="AF119" s="56" t="s">
        <v>1237</v>
      </c>
      <c r="AG119" s="56" t="s">
        <v>1721</v>
      </c>
      <c r="AH119" s="56"/>
      <c r="AI119" s="56"/>
      <c r="AJ119" s="56"/>
      <c r="AK119" s="56"/>
      <c r="AL119" s="56"/>
      <c r="AM119" s="56"/>
      <c r="AN119" s="56"/>
      <c r="AO119" s="56"/>
      <c r="AP119" s="56"/>
      <c r="AQ119" s="131"/>
      <c r="AR119" s="130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</row>
    <row r="120" spans="1:56" x14ac:dyDescent="0.2">
      <c r="A120" s="56">
        <v>14122855</v>
      </c>
      <c r="B120" s="56">
        <v>175413069</v>
      </c>
      <c r="C120" s="56" t="s">
        <v>1722</v>
      </c>
      <c r="D120" s="56" t="s">
        <v>1089</v>
      </c>
      <c r="E120" s="56" t="s">
        <v>1047</v>
      </c>
      <c r="F120" s="56">
        <v>99</v>
      </c>
      <c r="G120" s="56">
        <v>6251</v>
      </c>
      <c r="H120" s="56" t="s">
        <v>1048</v>
      </c>
      <c r="I120" s="56" t="s">
        <v>1104</v>
      </c>
      <c r="J120" s="129">
        <v>46235</v>
      </c>
      <c r="K120" s="130">
        <v>0.55902777777777779</v>
      </c>
      <c r="L120" s="130">
        <v>0.5625</v>
      </c>
      <c r="M120" s="56" t="s">
        <v>1050</v>
      </c>
      <c r="N120" s="129">
        <v>46235</v>
      </c>
      <c r="O120" s="130">
        <v>0.60069444444444442</v>
      </c>
      <c r="P120" s="130">
        <v>0.60071759259259261</v>
      </c>
      <c r="Q120" s="56" t="s">
        <v>1050</v>
      </c>
      <c r="R120" s="56" t="s">
        <v>451</v>
      </c>
      <c r="S120" s="56">
        <v>31</v>
      </c>
      <c r="T120" s="131">
        <v>3.4722222222222099E-3</v>
      </c>
      <c r="U120" s="130">
        <v>2.3148148148188774E-5</v>
      </c>
      <c r="V120" s="56" t="s">
        <v>1051</v>
      </c>
      <c r="W120" s="56" t="s">
        <v>1052</v>
      </c>
      <c r="X120" s="56" t="s">
        <v>1053</v>
      </c>
      <c r="Y120" s="56">
        <v>31</v>
      </c>
      <c r="Z120" s="56" t="s">
        <v>1054</v>
      </c>
      <c r="AA120" s="56" t="s">
        <v>1723</v>
      </c>
      <c r="AB120" s="56" t="s">
        <v>1106</v>
      </c>
      <c r="AC120" s="56" t="s">
        <v>1078</v>
      </c>
      <c r="AD120" s="56" t="s">
        <v>1724</v>
      </c>
      <c r="AE120" s="56" t="s">
        <v>1725</v>
      </c>
      <c r="AF120" s="56" t="s">
        <v>1237</v>
      </c>
      <c r="AG120" s="56" t="s">
        <v>1726</v>
      </c>
      <c r="AH120" s="56"/>
      <c r="AI120" s="56"/>
      <c r="AJ120" s="56"/>
      <c r="AK120" s="56"/>
      <c r="AL120" s="56"/>
      <c r="AM120" s="56"/>
      <c r="AN120" s="56"/>
      <c r="AO120" s="56"/>
      <c r="AP120" s="56"/>
      <c r="AQ120" s="131"/>
      <c r="AR120" s="130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</row>
    <row r="121" spans="1:56" x14ac:dyDescent="0.2">
      <c r="A121" s="56">
        <v>14123571</v>
      </c>
      <c r="B121" s="56">
        <v>175414750</v>
      </c>
      <c r="C121" s="56" t="s">
        <v>1727</v>
      </c>
      <c r="D121" s="56" t="s">
        <v>1728</v>
      </c>
      <c r="E121" s="56" t="s">
        <v>1047</v>
      </c>
      <c r="F121" s="56">
        <v>100</v>
      </c>
      <c r="G121" s="56">
        <v>6891</v>
      </c>
      <c r="H121" s="56" t="s">
        <v>1048</v>
      </c>
      <c r="I121" s="56" t="s">
        <v>1503</v>
      </c>
      <c r="J121" s="129">
        <v>46235</v>
      </c>
      <c r="K121" s="130">
        <v>0.55902777777777779</v>
      </c>
      <c r="L121" s="130">
        <v>0.5625</v>
      </c>
      <c r="M121" s="56" t="s">
        <v>1050</v>
      </c>
      <c r="N121" s="129">
        <v>46235</v>
      </c>
      <c r="O121" s="130">
        <v>0.59722222222222221</v>
      </c>
      <c r="P121" s="130">
        <v>0.59892361111111114</v>
      </c>
      <c r="Q121" s="56" t="s">
        <v>1050</v>
      </c>
      <c r="R121" s="56" t="s">
        <v>536</v>
      </c>
      <c r="S121" s="56">
        <v>31</v>
      </c>
      <c r="T121" s="131">
        <v>3.4722222222222099E-3</v>
      </c>
      <c r="U121" s="130">
        <v>1.7013888888889328E-3</v>
      </c>
      <c r="V121" s="56" t="s">
        <v>1051</v>
      </c>
      <c r="W121" s="56" t="s">
        <v>1052</v>
      </c>
      <c r="X121" s="56" t="s">
        <v>1053</v>
      </c>
      <c r="Y121" s="56">
        <v>31</v>
      </c>
      <c r="Z121" s="56" t="s">
        <v>1054</v>
      </c>
      <c r="AA121" s="56" t="s">
        <v>1729</v>
      </c>
      <c r="AB121" s="56" t="s">
        <v>1361</v>
      </c>
      <c r="AC121" s="56" t="s">
        <v>1069</v>
      </c>
      <c r="AD121" s="56" t="s">
        <v>1730</v>
      </c>
      <c r="AE121" s="56" t="s">
        <v>1731</v>
      </c>
      <c r="AF121" s="56" t="s">
        <v>1237</v>
      </c>
      <c r="AG121" s="56" t="s">
        <v>1732</v>
      </c>
      <c r="AH121" s="56"/>
      <c r="AI121" s="56"/>
      <c r="AJ121" s="56"/>
      <c r="AK121" s="56"/>
      <c r="AL121" s="56"/>
      <c r="AM121" s="56"/>
      <c r="AN121" s="56"/>
      <c r="AO121" s="56"/>
      <c r="AP121" s="56"/>
      <c r="AQ121" s="131"/>
      <c r="AR121" s="130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</row>
    <row r="122" spans="1:56" x14ac:dyDescent="0.2">
      <c r="A122" s="56">
        <v>14118956</v>
      </c>
      <c r="B122" s="56">
        <v>175421549</v>
      </c>
      <c r="C122" s="56" t="s">
        <v>1733</v>
      </c>
      <c r="D122" s="56" t="s">
        <v>1734</v>
      </c>
      <c r="E122" s="56" t="s">
        <v>1047</v>
      </c>
      <c r="F122" s="56">
        <v>114</v>
      </c>
      <c r="G122" s="56">
        <v>13289</v>
      </c>
      <c r="H122" s="56" t="s">
        <v>1048</v>
      </c>
      <c r="I122" s="56" t="s">
        <v>1172</v>
      </c>
      <c r="J122" s="129">
        <v>46235</v>
      </c>
      <c r="K122" s="130">
        <v>0.56805555555555554</v>
      </c>
      <c r="L122" s="130">
        <v>0.57152777777777775</v>
      </c>
      <c r="M122" s="56" t="s">
        <v>1050</v>
      </c>
      <c r="N122" s="129">
        <v>46235</v>
      </c>
      <c r="O122" s="130">
        <v>0.61458333333333337</v>
      </c>
      <c r="P122" s="130">
        <v>0.60100694444444447</v>
      </c>
      <c r="Q122" s="56" t="s">
        <v>1050</v>
      </c>
      <c r="R122" s="56" t="s">
        <v>222</v>
      </c>
      <c r="S122" s="56">
        <v>31</v>
      </c>
      <c r="T122" s="131">
        <v>3.4722222222222099E-3</v>
      </c>
      <c r="U122" s="130">
        <v>-1.3576388888888902E-2</v>
      </c>
      <c r="V122" s="56" t="s">
        <v>1051</v>
      </c>
      <c r="W122" s="56" t="s">
        <v>1052</v>
      </c>
      <c r="X122" s="56" t="s">
        <v>1053</v>
      </c>
      <c r="Y122" s="56">
        <v>31</v>
      </c>
      <c r="Z122" s="56" t="s">
        <v>1054</v>
      </c>
      <c r="AA122" s="56" t="s">
        <v>1735</v>
      </c>
      <c r="AB122" s="56" t="s">
        <v>1174</v>
      </c>
      <c r="AC122" s="56" t="s">
        <v>1057</v>
      </c>
      <c r="AD122" s="56" t="s">
        <v>1736</v>
      </c>
      <c r="AE122" s="56" t="s">
        <v>1737</v>
      </c>
      <c r="AF122" s="56" t="s">
        <v>1237</v>
      </c>
      <c r="AG122" s="56" t="s">
        <v>1738</v>
      </c>
      <c r="AH122" s="56"/>
      <c r="AI122" s="56"/>
      <c r="AJ122" s="56"/>
      <c r="AK122" s="56"/>
      <c r="AL122" s="56"/>
      <c r="AM122" s="56"/>
      <c r="AN122" s="56"/>
      <c r="AO122" s="56"/>
      <c r="AP122" s="56"/>
      <c r="AQ122" s="131"/>
      <c r="AR122" s="130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</row>
    <row r="123" spans="1:56" x14ac:dyDescent="0.2">
      <c r="A123" s="56">
        <v>14123559</v>
      </c>
      <c r="B123" s="56">
        <v>175420321</v>
      </c>
      <c r="C123" s="56" t="s">
        <v>1739</v>
      </c>
      <c r="D123" s="56" t="s">
        <v>1740</v>
      </c>
      <c r="E123" s="56" t="s">
        <v>1047</v>
      </c>
      <c r="F123" s="56">
        <v>225</v>
      </c>
      <c r="G123" s="56">
        <v>13408</v>
      </c>
      <c r="H123" s="56" t="s">
        <v>1048</v>
      </c>
      <c r="I123" s="56" t="s">
        <v>1676</v>
      </c>
      <c r="J123" s="129">
        <v>46235</v>
      </c>
      <c r="K123" s="130">
        <v>0.57638888888888884</v>
      </c>
      <c r="L123" s="130">
        <v>0.58263888888888893</v>
      </c>
      <c r="M123" s="56" t="s">
        <v>1050</v>
      </c>
      <c r="N123" s="129">
        <v>46235</v>
      </c>
      <c r="O123" s="130">
        <v>0.60069444444444442</v>
      </c>
      <c r="P123" s="130">
        <v>0.59469907407407407</v>
      </c>
      <c r="Q123" s="56" t="s">
        <v>1050</v>
      </c>
      <c r="R123" s="56" t="s">
        <v>531</v>
      </c>
      <c r="S123" s="56">
        <v>31</v>
      </c>
      <c r="T123" s="131">
        <v>6.2500000000000888E-3</v>
      </c>
      <c r="U123" s="130">
        <v>-5.9953703703703454E-3</v>
      </c>
      <c r="V123" s="56" t="s">
        <v>1051</v>
      </c>
      <c r="W123" s="56" t="s">
        <v>1052</v>
      </c>
      <c r="X123" s="56" t="s">
        <v>1053</v>
      </c>
      <c r="Y123" s="56">
        <v>31</v>
      </c>
      <c r="Z123" s="56" t="s">
        <v>1054</v>
      </c>
      <c r="AA123" s="56" t="s">
        <v>1741</v>
      </c>
      <c r="AB123" s="56" t="s">
        <v>1678</v>
      </c>
      <c r="AC123" s="56" t="s">
        <v>1078</v>
      </c>
      <c r="AD123" s="56" t="s">
        <v>1742</v>
      </c>
      <c r="AE123" s="56" t="s">
        <v>1743</v>
      </c>
      <c r="AF123" s="56" t="s">
        <v>1237</v>
      </c>
      <c r="AG123" s="56" t="s">
        <v>1744</v>
      </c>
      <c r="AH123" s="56"/>
      <c r="AI123" s="56"/>
      <c r="AJ123" s="56"/>
      <c r="AK123" s="56"/>
      <c r="AL123" s="56"/>
      <c r="AM123" s="56"/>
      <c r="AN123" s="56"/>
      <c r="AO123" s="56"/>
      <c r="AP123" s="56"/>
      <c r="AQ123" s="131"/>
      <c r="AR123" s="130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</row>
    <row r="124" spans="1:56" x14ac:dyDescent="0.2">
      <c r="A124" s="56">
        <v>14123459</v>
      </c>
      <c r="B124" s="56">
        <v>175417220</v>
      </c>
      <c r="C124" s="56" t="s">
        <v>1745</v>
      </c>
      <c r="D124" s="56" t="s">
        <v>1553</v>
      </c>
      <c r="E124" s="56" t="s">
        <v>1047</v>
      </c>
      <c r="F124" s="56">
        <v>34</v>
      </c>
      <c r="G124" s="56">
        <v>13502</v>
      </c>
      <c r="H124" s="56" t="s">
        <v>1048</v>
      </c>
      <c r="I124" s="56" t="s">
        <v>1172</v>
      </c>
      <c r="J124" s="129">
        <v>46235</v>
      </c>
      <c r="K124" s="130">
        <v>0.58263888888888893</v>
      </c>
      <c r="L124" s="130">
        <v>0.58680555555555558</v>
      </c>
      <c r="M124" s="56" t="s">
        <v>1050</v>
      </c>
      <c r="N124" s="129">
        <v>46235</v>
      </c>
      <c r="O124" s="130">
        <v>0.61458333333333337</v>
      </c>
      <c r="P124" s="130">
        <v>0.61674768518518519</v>
      </c>
      <c r="Q124" s="56" t="s">
        <v>1050</v>
      </c>
      <c r="R124" s="56" t="s">
        <v>509</v>
      </c>
      <c r="S124" s="56">
        <v>31</v>
      </c>
      <c r="T124" s="131">
        <v>4.1666666666666519E-3</v>
      </c>
      <c r="U124" s="130">
        <v>2.1643518518518201E-3</v>
      </c>
      <c r="V124" s="56" t="s">
        <v>1051</v>
      </c>
      <c r="W124" s="56" t="s">
        <v>1052</v>
      </c>
      <c r="X124" s="56" t="s">
        <v>1053</v>
      </c>
      <c r="Y124" s="56">
        <v>31</v>
      </c>
      <c r="Z124" s="56" t="s">
        <v>1054</v>
      </c>
      <c r="AA124" s="56" t="s">
        <v>1554</v>
      </c>
      <c r="AB124" s="56" t="s">
        <v>1174</v>
      </c>
      <c r="AC124" s="56" t="s">
        <v>1057</v>
      </c>
      <c r="AD124" s="56" t="s">
        <v>1555</v>
      </c>
      <c r="AE124" s="56" t="s">
        <v>1556</v>
      </c>
      <c r="AF124" s="56" t="s">
        <v>1237</v>
      </c>
      <c r="AG124" s="56" t="s">
        <v>1746</v>
      </c>
      <c r="AH124" s="56"/>
      <c r="AI124" s="56"/>
      <c r="AJ124" s="56"/>
      <c r="AK124" s="56"/>
      <c r="AL124" s="56"/>
      <c r="AM124" s="56"/>
      <c r="AN124" s="56"/>
      <c r="AO124" s="56"/>
      <c r="AP124" s="56"/>
      <c r="AQ124" s="131"/>
      <c r="AR124" s="130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</row>
    <row r="125" spans="1:56" x14ac:dyDescent="0.2">
      <c r="A125" s="56">
        <v>14113803</v>
      </c>
      <c r="B125" s="56">
        <v>175421451</v>
      </c>
      <c r="C125" s="56" t="s">
        <v>1747</v>
      </c>
      <c r="D125" s="56" t="s">
        <v>1097</v>
      </c>
      <c r="E125" s="56" t="s">
        <v>1047</v>
      </c>
      <c r="F125" s="56">
        <v>53</v>
      </c>
      <c r="G125" s="56">
        <v>4340</v>
      </c>
      <c r="H125" s="56" t="s">
        <v>1048</v>
      </c>
      <c r="I125" s="56" t="s">
        <v>1090</v>
      </c>
      <c r="J125" s="129">
        <v>46235</v>
      </c>
      <c r="K125" s="130">
        <v>0.68055555555555558</v>
      </c>
      <c r="L125" s="130">
        <v>0.68888888888888888</v>
      </c>
      <c r="M125" s="56" t="s">
        <v>1050</v>
      </c>
      <c r="N125" s="129">
        <v>46235</v>
      </c>
      <c r="O125" s="130">
        <v>0.76736111111111116</v>
      </c>
      <c r="P125" s="130">
        <v>0.73939814814814819</v>
      </c>
      <c r="Q125" s="56" t="s">
        <v>1050</v>
      </c>
      <c r="R125" s="56" t="s">
        <v>296</v>
      </c>
      <c r="S125" s="56">
        <v>31</v>
      </c>
      <c r="T125" s="131">
        <v>8.3333333333333037E-3</v>
      </c>
      <c r="U125" s="130">
        <v>-2.7962962962962967E-2</v>
      </c>
      <c r="V125" s="56" t="s">
        <v>1051</v>
      </c>
      <c r="W125" s="56" t="s">
        <v>1052</v>
      </c>
      <c r="X125" s="56" t="s">
        <v>1053</v>
      </c>
      <c r="Y125" s="56">
        <v>31</v>
      </c>
      <c r="Z125" s="56" t="s">
        <v>1054</v>
      </c>
      <c r="AA125" s="56" t="s">
        <v>1098</v>
      </c>
      <c r="AB125" s="56" t="s">
        <v>1092</v>
      </c>
      <c r="AC125" s="56" t="s">
        <v>1078</v>
      </c>
      <c r="AD125" s="56" t="s">
        <v>1099</v>
      </c>
      <c r="AE125" s="56" t="s">
        <v>1100</v>
      </c>
      <c r="AF125" s="56" t="s">
        <v>1237</v>
      </c>
      <c r="AG125" s="56" t="s">
        <v>1748</v>
      </c>
      <c r="AH125" s="56"/>
      <c r="AI125" s="56"/>
      <c r="AJ125" s="56"/>
      <c r="AK125" s="56"/>
      <c r="AL125" s="56"/>
      <c r="AM125" s="56"/>
      <c r="AN125" s="56"/>
      <c r="AO125" s="56"/>
      <c r="AP125" s="56"/>
      <c r="AQ125" s="131"/>
      <c r="AR125" s="130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</row>
    <row r="126" spans="1:56" x14ac:dyDescent="0.2">
      <c r="A126" s="56">
        <v>14123004</v>
      </c>
      <c r="B126" s="56">
        <v>175421435</v>
      </c>
      <c r="C126" s="56" t="s">
        <v>1313</v>
      </c>
      <c r="D126" s="56" t="s">
        <v>1125</v>
      </c>
      <c r="E126" s="56" t="s">
        <v>1047</v>
      </c>
      <c r="F126" s="56">
        <v>45</v>
      </c>
      <c r="G126" s="56">
        <v>4875</v>
      </c>
      <c r="H126" s="56" t="s">
        <v>1048</v>
      </c>
      <c r="I126" s="56" t="s">
        <v>1090</v>
      </c>
      <c r="J126" s="129">
        <v>46235</v>
      </c>
      <c r="K126" s="130">
        <v>0.70833333333333337</v>
      </c>
      <c r="L126" s="130">
        <v>0.71944444444444444</v>
      </c>
      <c r="M126" s="56" t="s">
        <v>1050</v>
      </c>
      <c r="N126" s="129">
        <v>46235</v>
      </c>
      <c r="O126" s="130">
        <v>0.76736111111111116</v>
      </c>
      <c r="P126" s="130">
        <v>0.75950231481481478</v>
      </c>
      <c r="Q126" s="56" t="s">
        <v>1050</v>
      </c>
      <c r="R126" s="56" t="s">
        <v>468</v>
      </c>
      <c r="S126" s="56">
        <v>31</v>
      </c>
      <c r="T126" s="131">
        <v>1.1111111111111072E-2</v>
      </c>
      <c r="U126" s="130">
        <v>-7.8587962962963775E-3</v>
      </c>
      <c r="V126" s="56" t="s">
        <v>1051</v>
      </c>
      <c r="W126" s="56" t="s">
        <v>1052</v>
      </c>
      <c r="X126" s="56" t="s">
        <v>1053</v>
      </c>
      <c r="Y126" s="56">
        <v>31</v>
      </c>
      <c r="Z126" s="56" t="s">
        <v>1054</v>
      </c>
      <c r="AA126" s="56" t="s">
        <v>1126</v>
      </c>
      <c r="AB126" s="56" t="s">
        <v>1092</v>
      </c>
      <c r="AC126" s="56" t="s">
        <v>1078</v>
      </c>
      <c r="AD126" s="56" t="s">
        <v>1127</v>
      </c>
      <c r="AE126" s="56" t="s">
        <v>1128</v>
      </c>
      <c r="AF126" s="56" t="s">
        <v>1237</v>
      </c>
      <c r="AG126" s="56" t="s">
        <v>1314</v>
      </c>
      <c r="AH126" s="56"/>
      <c r="AI126" s="56"/>
      <c r="AJ126" s="56"/>
      <c r="AK126" s="56"/>
      <c r="AL126" s="56"/>
      <c r="AM126" s="56"/>
      <c r="AN126" s="56"/>
      <c r="AO126" s="56"/>
      <c r="AP126" s="56"/>
      <c r="AQ126" s="131"/>
      <c r="AR126" s="130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</row>
    <row r="127" spans="1:56" x14ac:dyDescent="0.2">
      <c r="A127" s="56">
        <v>14119153</v>
      </c>
      <c r="B127" s="56">
        <v>175421463</v>
      </c>
      <c r="C127" s="56" t="s">
        <v>1749</v>
      </c>
      <c r="D127" s="56" t="s">
        <v>1750</v>
      </c>
      <c r="E127" s="56" t="s">
        <v>1047</v>
      </c>
      <c r="F127" s="56">
        <v>59</v>
      </c>
      <c r="G127" s="56">
        <v>5398</v>
      </c>
      <c r="H127" s="56" t="s">
        <v>1048</v>
      </c>
      <c r="I127" s="56" t="s">
        <v>1090</v>
      </c>
      <c r="J127" s="129">
        <v>46235</v>
      </c>
      <c r="K127" s="130">
        <v>0.70833333333333337</v>
      </c>
      <c r="L127" s="130">
        <v>0.71527777777777779</v>
      </c>
      <c r="M127" s="56" t="s">
        <v>1050</v>
      </c>
      <c r="N127" s="129">
        <v>46235</v>
      </c>
      <c r="O127" s="130">
        <v>0.76736111111111116</v>
      </c>
      <c r="P127" s="130">
        <v>0.7384722222222222</v>
      </c>
      <c r="Q127" s="56" t="s">
        <v>1050</v>
      </c>
      <c r="R127" s="56" t="s">
        <v>231</v>
      </c>
      <c r="S127" s="56">
        <v>31</v>
      </c>
      <c r="T127" s="131">
        <v>6.9444444444444198E-3</v>
      </c>
      <c r="U127" s="130">
        <v>-2.8888888888888964E-2</v>
      </c>
      <c r="V127" s="56" t="s">
        <v>1051</v>
      </c>
      <c r="W127" s="56" t="s">
        <v>1052</v>
      </c>
      <c r="X127" s="56" t="s">
        <v>1053</v>
      </c>
      <c r="Y127" s="56">
        <v>31</v>
      </c>
      <c r="Z127" s="56" t="s">
        <v>1054</v>
      </c>
      <c r="AA127" s="56" t="s">
        <v>1751</v>
      </c>
      <c r="AB127" s="56" t="s">
        <v>1092</v>
      </c>
      <c r="AC127" s="56" t="s">
        <v>1078</v>
      </c>
      <c r="AD127" s="56" t="s">
        <v>1752</v>
      </c>
      <c r="AE127" s="56" t="s">
        <v>1753</v>
      </c>
      <c r="AF127" s="56" t="s">
        <v>1237</v>
      </c>
      <c r="AG127" s="56" t="s">
        <v>1754</v>
      </c>
      <c r="AH127" s="56"/>
      <c r="AI127" s="56"/>
      <c r="AJ127" s="56"/>
      <c r="AK127" s="56"/>
      <c r="AL127" s="56"/>
      <c r="AM127" s="56"/>
      <c r="AN127" s="56"/>
      <c r="AO127" s="56"/>
      <c r="AP127" s="56"/>
      <c r="AQ127" s="131"/>
      <c r="AR127" s="130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</row>
    <row r="128" spans="1:56" x14ac:dyDescent="0.2">
      <c r="A128" s="56">
        <v>14107217</v>
      </c>
      <c r="B128" s="56">
        <v>175421503</v>
      </c>
      <c r="C128" s="56" t="s">
        <v>1315</v>
      </c>
      <c r="D128" s="56" t="s">
        <v>1316</v>
      </c>
      <c r="E128" s="56" t="s">
        <v>1047</v>
      </c>
      <c r="F128" s="56">
        <v>79</v>
      </c>
      <c r="G128" s="56">
        <v>6885</v>
      </c>
      <c r="H128" s="56" t="s">
        <v>1048</v>
      </c>
      <c r="I128" s="56" t="s">
        <v>1090</v>
      </c>
      <c r="J128" s="129">
        <v>46235</v>
      </c>
      <c r="K128" s="130">
        <v>0.70833333333333337</v>
      </c>
      <c r="L128" s="130">
        <v>0.71319444444444446</v>
      </c>
      <c r="M128" s="56" t="s">
        <v>1050</v>
      </c>
      <c r="N128" s="129">
        <v>46235</v>
      </c>
      <c r="O128" s="130">
        <v>0.76736111111111116</v>
      </c>
      <c r="P128" s="130">
        <v>0.75071759259259263</v>
      </c>
      <c r="Q128" s="56" t="s">
        <v>1050</v>
      </c>
      <c r="R128" s="56" t="s">
        <v>59</v>
      </c>
      <c r="S128" s="56">
        <v>31</v>
      </c>
      <c r="T128" s="131">
        <v>4.8611111111110938E-3</v>
      </c>
      <c r="U128" s="130">
        <v>-1.664351851851853E-2</v>
      </c>
      <c r="V128" s="56" t="s">
        <v>1051</v>
      </c>
      <c r="W128" s="56" t="s">
        <v>1052</v>
      </c>
      <c r="X128" s="56" t="s">
        <v>1053</v>
      </c>
      <c r="Y128" s="56">
        <v>31</v>
      </c>
      <c r="Z128" s="56" t="s">
        <v>1054</v>
      </c>
      <c r="AA128" s="56" t="s">
        <v>1317</v>
      </c>
      <c r="AB128" s="56" t="s">
        <v>1092</v>
      </c>
      <c r="AC128" s="56" t="s">
        <v>1078</v>
      </c>
      <c r="AD128" s="56" t="s">
        <v>1318</v>
      </c>
      <c r="AE128" s="56" t="s">
        <v>1319</v>
      </c>
      <c r="AF128" s="56" t="s">
        <v>1237</v>
      </c>
      <c r="AG128" s="56" t="s">
        <v>1320</v>
      </c>
      <c r="AH128" s="56"/>
      <c r="AI128" s="56"/>
      <c r="AJ128" s="56"/>
      <c r="AK128" s="56"/>
      <c r="AL128" s="56"/>
      <c r="AM128" s="56"/>
      <c r="AN128" s="56"/>
      <c r="AO128" s="56"/>
      <c r="AP128" s="56"/>
      <c r="AQ128" s="131"/>
      <c r="AR128" s="130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</row>
    <row r="129" spans="1:56" x14ac:dyDescent="0.2">
      <c r="A129" s="56">
        <v>14122617</v>
      </c>
      <c r="B129" s="56">
        <v>175421371</v>
      </c>
      <c r="C129" s="56" t="s">
        <v>1755</v>
      </c>
      <c r="D129" s="56" t="s">
        <v>1756</v>
      </c>
      <c r="E129" s="56" t="s">
        <v>1047</v>
      </c>
      <c r="F129" s="56">
        <v>13</v>
      </c>
      <c r="G129" s="56">
        <v>6655</v>
      </c>
      <c r="H129" s="56" t="s">
        <v>1048</v>
      </c>
      <c r="I129" s="56" t="s">
        <v>1090</v>
      </c>
      <c r="J129" s="129">
        <v>46235</v>
      </c>
      <c r="K129" s="130">
        <v>0.70972222222222225</v>
      </c>
      <c r="L129" s="130">
        <v>0.72430555555555554</v>
      </c>
      <c r="M129" s="56" t="s">
        <v>1050</v>
      </c>
      <c r="N129" s="129">
        <v>46235</v>
      </c>
      <c r="O129" s="130">
        <v>0.76736111111111116</v>
      </c>
      <c r="P129" s="130">
        <v>0.76579861111111114</v>
      </c>
      <c r="Q129" s="56" t="s">
        <v>1050</v>
      </c>
      <c r="R129" s="56" t="s">
        <v>429</v>
      </c>
      <c r="S129" s="56">
        <v>31</v>
      </c>
      <c r="T129" s="131">
        <v>1.4583333333333282E-2</v>
      </c>
      <c r="U129" s="130">
        <v>-1.5625000000000222E-3</v>
      </c>
      <c r="V129" s="56" t="s">
        <v>1051</v>
      </c>
      <c r="W129" s="56" t="s">
        <v>1052</v>
      </c>
      <c r="X129" s="56" t="s">
        <v>1053</v>
      </c>
      <c r="Y129" s="56">
        <v>31</v>
      </c>
      <c r="Z129" s="56" t="s">
        <v>1054</v>
      </c>
      <c r="AA129" s="56" t="s">
        <v>1757</v>
      </c>
      <c r="AB129" s="56" t="s">
        <v>1092</v>
      </c>
      <c r="AC129" s="56" t="s">
        <v>1078</v>
      </c>
      <c r="AD129" s="56" t="s">
        <v>1758</v>
      </c>
      <c r="AE129" s="56" t="s">
        <v>1759</v>
      </c>
      <c r="AF129" s="56" t="s">
        <v>1237</v>
      </c>
      <c r="AG129" s="56" t="s">
        <v>1760</v>
      </c>
      <c r="AH129" s="56"/>
      <c r="AI129" s="56"/>
      <c r="AJ129" s="56"/>
      <c r="AK129" s="56"/>
      <c r="AL129" s="56"/>
      <c r="AM129" s="56"/>
      <c r="AN129" s="56"/>
      <c r="AO129" s="56"/>
      <c r="AP129" s="56"/>
      <c r="AQ129" s="131"/>
      <c r="AR129" s="130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</row>
    <row r="130" spans="1:56" x14ac:dyDescent="0.2">
      <c r="A130" s="56">
        <v>14123336</v>
      </c>
      <c r="B130" s="56">
        <v>175421443</v>
      </c>
      <c r="C130" s="56" t="s">
        <v>1761</v>
      </c>
      <c r="D130" s="56" t="s">
        <v>1762</v>
      </c>
      <c r="E130" s="56" t="s">
        <v>1047</v>
      </c>
      <c r="F130" s="56">
        <v>49</v>
      </c>
      <c r="G130" s="56">
        <v>6063</v>
      </c>
      <c r="H130" s="56" t="s">
        <v>1048</v>
      </c>
      <c r="I130" s="56" t="s">
        <v>1090</v>
      </c>
      <c r="J130" s="129">
        <v>46235</v>
      </c>
      <c r="K130" s="130">
        <v>0.71180555555555558</v>
      </c>
      <c r="L130" s="130">
        <v>0.71527777777777779</v>
      </c>
      <c r="M130" s="56" t="s">
        <v>1050</v>
      </c>
      <c r="N130" s="129">
        <v>46235</v>
      </c>
      <c r="O130" s="130">
        <v>0.76736111111111116</v>
      </c>
      <c r="P130" s="130">
        <v>0.75045138888888885</v>
      </c>
      <c r="Q130" s="56" t="s">
        <v>1050</v>
      </c>
      <c r="R130" s="56" t="s">
        <v>1763</v>
      </c>
      <c r="S130" s="56">
        <v>31</v>
      </c>
      <c r="T130" s="131">
        <v>3.4722222222222099E-3</v>
      </c>
      <c r="U130" s="130">
        <v>-1.6909722222222312E-2</v>
      </c>
      <c r="V130" s="56" t="s">
        <v>1051</v>
      </c>
      <c r="W130" s="56" t="s">
        <v>1052</v>
      </c>
      <c r="X130" s="56" t="s">
        <v>1053</v>
      </c>
      <c r="Y130" s="56">
        <v>31</v>
      </c>
      <c r="Z130" s="56" t="s">
        <v>1054</v>
      </c>
      <c r="AA130" s="56" t="s">
        <v>1764</v>
      </c>
      <c r="AB130" s="56" t="s">
        <v>1092</v>
      </c>
      <c r="AC130" s="56" t="s">
        <v>1078</v>
      </c>
      <c r="AD130" s="56" t="s">
        <v>1765</v>
      </c>
      <c r="AE130" s="56" t="s">
        <v>1766</v>
      </c>
      <c r="AF130" s="56" t="s">
        <v>1237</v>
      </c>
      <c r="AG130" s="56" t="s">
        <v>1767</v>
      </c>
      <c r="AH130" s="56"/>
      <c r="AI130" s="56"/>
      <c r="AJ130" s="56"/>
      <c r="AK130" s="56"/>
      <c r="AL130" s="56"/>
      <c r="AM130" s="56"/>
      <c r="AN130" s="56"/>
      <c r="AO130" s="56"/>
      <c r="AP130" s="56"/>
      <c r="AQ130" s="131"/>
      <c r="AR130" s="130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</row>
    <row r="131" spans="1:56" x14ac:dyDescent="0.2">
      <c r="A131" s="56">
        <v>14120455</v>
      </c>
      <c r="B131" s="56">
        <v>175418243</v>
      </c>
      <c r="C131" s="56" t="s">
        <v>1768</v>
      </c>
      <c r="D131" s="56" t="s">
        <v>1769</v>
      </c>
      <c r="E131" s="56" t="s">
        <v>1047</v>
      </c>
      <c r="F131" s="56">
        <v>2</v>
      </c>
      <c r="G131" s="56">
        <v>8024</v>
      </c>
      <c r="H131" s="56" t="s">
        <v>1048</v>
      </c>
      <c r="I131" s="56" t="s">
        <v>1770</v>
      </c>
      <c r="J131" s="129">
        <v>46235</v>
      </c>
      <c r="K131" s="130">
        <v>0.73611111111111116</v>
      </c>
      <c r="L131" s="130">
        <v>0.73958333333333337</v>
      </c>
      <c r="M131" s="56" t="s">
        <v>1050</v>
      </c>
      <c r="N131" s="129">
        <v>46235</v>
      </c>
      <c r="O131" s="130">
        <v>0.78125</v>
      </c>
      <c r="P131" s="130">
        <v>0.77813657407407411</v>
      </c>
      <c r="Q131" s="56" t="s">
        <v>1050</v>
      </c>
      <c r="R131" s="56" t="s">
        <v>287</v>
      </c>
      <c r="S131" s="56">
        <v>31</v>
      </c>
      <c r="T131" s="131">
        <v>3.4722222222222099E-3</v>
      </c>
      <c r="U131" s="130">
        <v>-3.1134259259258945E-3</v>
      </c>
      <c r="V131" s="56" t="s">
        <v>1051</v>
      </c>
      <c r="W131" s="56" t="s">
        <v>1052</v>
      </c>
      <c r="X131" s="56" t="s">
        <v>1053</v>
      </c>
      <c r="Y131" s="56">
        <v>31</v>
      </c>
      <c r="Z131" s="56" t="s">
        <v>1054</v>
      </c>
      <c r="AA131" s="56" t="s">
        <v>1771</v>
      </c>
      <c r="AB131" s="56" t="s">
        <v>1257</v>
      </c>
      <c r="AC131" s="56" t="s">
        <v>1069</v>
      </c>
      <c r="AD131" s="56" t="s">
        <v>1772</v>
      </c>
      <c r="AE131" s="56" t="s">
        <v>1773</v>
      </c>
      <c r="AF131" s="56" t="s">
        <v>1237</v>
      </c>
      <c r="AG131" s="56" t="s">
        <v>1774</v>
      </c>
      <c r="AH131" s="56"/>
      <c r="AI131" s="56"/>
      <c r="AJ131" s="56"/>
      <c r="AK131" s="56"/>
      <c r="AL131" s="56"/>
      <c r="AM131" s="56"/>
      <c r="AN131" s="56"/>
      <c r="AO131" s="56"/>
      <c r="AP131" s="56"/>
      <c r="AQ131" s="131"/>
      <c r="AR131" s="130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</row>
    <row r="132" spans="1:56" x14ac:dyDescent="0.2">
      <c r="A132" s="56"/>
      <c r="B132" s="56">
        <v>175406067</v>
      </c>
      <c r="C132" s="56" t="s">
        <v>1775</v>
      </c>
      <c r="D132" s="56" t="s">
        <v>1776</v>
      </c>
      <c r="E132" s="56" t="s">
        <v>1047</v>
      </c>
      <c r="F132" s="56">
        <v>5</v>
      </c>
      <c r="G132" s="56">
        <v>7345</v>
      </c>
      <c r="H132" s="56" t="s">
        <v>1048</v>
      </c>
      <c r="I132" s="56" t="s">
        <v>1192</v>
      </c>
      <c r="J132" s="129">
        <v>46235</v>
      </c>
      <c r="K132" s="130">
        <v>0.83333333333333337</v>
      </c>
      <c r="L132" s="130">
        <v>0.94930555555555551</v>
      </c>
      <c r="M132" s="56" t="s">
        <v>1050</v>
      </c>
      <c r="N132" s="129">
        <v>46235</v>
      </c>
      <c r="O132" s="130">
        <v>0.90277777777777779</v>
      </c>
      <c r="P132" s="56"/>
      <c r="Q132" s="56" t="s">
        <v>1286</v>
      </c>
      <c r="R132" s="56"/>
      <c r="S132" s="56">
        <v>31</v>
      </c>
      <c r="T132" s="131">
        <v>0.11597222222222214</v>
      </c>
      <c r="U132" s="130">
        <v>-0.90277777777777779</v>
      </c>
      <c r="V132" s="56" t="s">
        <v>1051</v>
      </c>
      <c r="W132" s="56" t="s">
        <v>1052</v>
      </c>
      <c r="X132" s="56" t="s">
        <v>1053</v>
      </c>
      <c r="Y132" s="56">
        <v>31</v>
      </c>
      <c r="Z132" s="56" t="s">
        <v>1054</v>
      </c>
      <c r="AA132" s="56" t="s">
        <v>1777</v>
      </c>
      <c r="AB132" s="56" t="s">
        <v>1194</v>
      </c>
      <c r="AC132" s="56" t="s">
        <v>1057</v>
      </c>
      <c r="AD132" s="56" t="s">
        <v>1778</v>
      </c>
      <c r="AE132" s="56" t="s">
        <v>1779</v>
      </c>
      <c r="AF132" s="56" t="s">
        <v>1336</v>
      </c>
      <c r="AG132" s="56" t="s">
        <v>1780</v>
      </c>
      <c r="AH132" s="56"/>
      <c r="AI132" s="56"/>
      <c r="AJ132" s="56"/>
      <c r="AK132" s="56"/>
      <c r="AL132" s="56"/>
      <c r="AM132" s="56"/>
      <c r="AN132" s="56"/>
      <c r="AO132" s="56"/>
      <c r="AP132" s="56"/>
      <c r="AQ132" s="131"/>
      <c r="AR132" s="130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</row>
    <row r="133" spans="1:56" x14ac:dyDescent="0.2">
      <c r="A133" s="56">
        <v>14122871</v>
      </c>
      <c r="B133" s="56">
        <v>175406931</v>
      </c>
      <c r="C133" s="56" t="s">
        <v>1781</v>
      </c>
      <c r="D133" s="56" t="s">
        <v>1406</v>
      </c>
      <c r="E133" s="56" t="s">
        <v>1047</v>
      </c>
      <c r="F133" s="56">
        <v>1</v>
      </c>
      <c r="G133" s="56">
        <v>6384</v>
      </c>
      <c r="H133" s="56" t="s">
        <v>1048</v>
      </c>
      <c r="I133" s="56" t="s">
        <v>1407</v>
      </c>
      <c r="J133" s="129">
        <v>46235</v>
      </c>
      <c r="K133" s="130">
        <v>0.83680555555555558</v>
      </c>
      <c r="L133" s="130">
        <v>0.84027777777777779</v>
      </c>
      <c r="M133" s="56" t="s">
        <v>1050</v>
      </c>
      <c r="N133" s="129">
        <v>46235</v>
      </c>
      <c r="O133" s="130">
        <v>0.88888888888888884</v>
      </c>
      <c r="P133" s="130">
        <v>0.88631944444444444</v>
      </c>
      <c r="Q133" s="56" t="s">
        <v>1050</v>
      </c>
      <c r="R133" s="56" t="s">
        <v>453</v>
      </c>
      <c r="S133" s="56">
        <v>31</v>
      </c>
      <c r="T133" s="131">
        <v>3.4722222222222099E-3</v>
      </c>
      <c r="U133" s="130">
        <v>-2.569444444444402E-3</v>
      </c>
      <c r="V133" s="56" t="s">
        <v>1051</v>
      </c>
      <c r="W133" s="56" t="s">
        <v>1052</v>
      </c>
      <c r="X133" s="56" t="s">
        <v>1053</v>
      </c>
      <c r="Y133" s="56">
        <v>31</v>
      </c>
      <c r="Z133" s="56" t="s">
        <v>1054</v>
      </c>
      <c r="AA133" s="56" t="s">
        <v>1408</v>
      </c>
      <c r="AB133" s="56" t="s">
        <v>1257</v>
      </c>
      <c r="AC133" s="56" t="s">
        <v>1069</v>
      </c>
      <c r="AD133" s="56" t="s">
        <v>1409</v>
      </c>
      <c r="AE133" s="56" t="s">
        <v>1410</v>
      </c>
      <c r="AF133" s="56" t="s">
        <v>1336</v>
      </c>
      <c r="AG133" s="56" t="s">
        <v>1782</v>
      </c>
      <c r="AH133" s="56"/>
      <c r="AI133" s="56"/>
      <c r="AJ133" s="56"/>
      <c r="AK133" s="56"/>
      <c r="AL133" s="56"/>
      <c r="AM133" s="56"/>
      <c r="AN133" s="56"/>
      <c r="AO133" s="56"/>
      <c r="AP133" s="56"/>
      <c r="AQ133" s="131"/>
      <c r="AR133" s="130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</row>
    <row r="134" spans="1:56" x14ac:dyDescent="0.2">
      <c r="A134" s="56">
        <v>14122928</v>
      </c>
      <c r="B134" s="56">
        <v>175418675</v>
      </c>
      <c r="C134" s="56" t="s">
        <v>1783</v>
      </c>
      <c r="D134" s="56" t="s">
        <v>1784</v>
      </c>
      <c r="E134" s="56" t="s">
        <v>1047</v>
      </c>
      <c r="F134" s="56">
        <v>39</v>
      </c>
      <c r="G134" s="56">
        <v>5538</v>
      </c>
      <c r="H134" s="56" t="s">
        <v>1048</v>
      </c>
      <c r="I134" s="56" t="s">
        <v>1158</v>
      </c>
      <c r="J134" s="129">
        <v>46235</v>
      </c>
      <c r="K134" s="130">
        <v>0.84027777777777779</v>
      </c>
      <c r="L134" s="130">
        <v>0.84375</v>
      </c>
      <c r="M134" s="56" t="s">
        <v>1050</v>
      </c>
      <c r="N134" s="129">
        <v>46235</v>
      </c>
      <c r="O134" s="130">
        <v>0.90625</v>
      </c>
      <c r="P134" s="130">
        <v>0.90684027777777776</v>
      </c>
      <c r="Q134" s="56" t="s">
        <v>1050</v>
      </c>
      <c r="R134" s="56" t="s">
        <v>462</v>
      </c>
      <c r="S134" s="56">
        <v>31</v>
      </c>
      <c r="T134" s="131">
        <v>3.4722222222222099E-3</v>
      </c>
      <c r="U134" s="130">
        <v>5.9027777777775903E-4</v>
      </c>
      <c r="V134" s="56" t="s">
        <v>1051</v>
      </c>
      <c r="W134" s="56" t="s">
        <v>1052</v>
      </c>
      <c r="X134" s="56" t="s">
        <v>1053</v>
      </c>
      <c r="Y134" s="56">
        <v>31</v>
      </c>
      <c r="Z134" s="56" t="s">
        <v>1054</v>
      </c>
      <c r="AA134" s="56" t="s">
        <v>1785</v>
      </c>
      <c r="AB134" s="56" t="s">
        <v>1160</v>
      </c>
      <c r="AC134" s="56" t="s">
        <v>1069</v>
      </c>
      <c r="AD134" s="56" t="s">
        <v>1786</v>
      </c>
      <c r="AE134" s="56" t="s">
        <v>1787</v>
      </c>
      <c r="AF134" s="56" t="s">
        <v>1336</v>
      </c>
      <c r="AG134" s="56" t="s">
        <v>1788</v>
      </c>
      <c r="AH134" s="56"/>
      <c r="AI134" s="56"/>
      <c r="AJ134" s="56"/>
      <c r="AK134" s="56"/>
      <c r="AL134" s="56"/>
      <c r="AM134" s="56"/>
      <c r="AN134" s="56"/>
      <c r="AO134" s="56"/>
      <c r="AP134" s="56"/>
      <c r="AQ134" s="131"/>
      <c r="AR134" s="130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</row>
    <row r="135" spans="1:56" x14ac:dyDescent="0.2">
      <c r="A135" s="56">
        <v>14100726</v>
      </c>
      <c r="B135" s="56">
        <v>175418009</v>
      </c>
      <c r="C135" s="56" t="s">
        <v>1789</v>
      </c>
      <c r="D135" s="56" t="s">
        <v>1063</v>
      </c>
      <c r="E135" s="56" t="s">
        <v>1047</v>
      </c>
      <c r="F135" s="56">
        <v>39</v>
      </c>
      <c r="G135" s="56">
        <v>15762</v>
      </c>
      <c r="H135" s="56" t="s">
        <v>1048</v>
      </c>
      <c r="I135" s="56" t="s">
        <v>1064</v>
      </c>
      <c r="J135" s="129">
        <v>46235</v>
      </c>
      <c r="K135" s="130">
        <v>0.85069444444444442</v>
      </c>
      <c r="L135" s="130">
        <v>0.85555555555555551</v>
      </c>
      <c r="M135" s="56" t="s">
        <v>1050</v>
      </c>
      <c r="N135" s="129">
        <v>46235</v>
      </c>
      <c r="O135" s="130">
        <v>0.91666666666666663</v>
      </c>
      <c r="P135" s="130">
        <v>0.90150462962962963</v>
      </c>
      <c r="Q135" s="56" t="s">
        <v>1050</v>
      </c>
      <c r="R135" s="56" t="s">
        <v>12</v>
      </c>
      <c r="S135" s="56">
        <v>31</v>
      </c>
      <c r="T135" s="131">
        <v>4.8611111111110938E-3</v>
      </c>
      <c r="U135" s="130">
        <v>-1.5162037037037002E-2</v>
      </c>
      <c r="V135" s="56" t="s">
        <v>1051</v>
      </c>
      <c r="W135" s="56" t="s">
        <v>1052</v>
      </c>
      <c r="X135" s="56" t="s">
        <v>1053</v>
      </c>
      <c r="Y135" s="56">
        <v>31</v>
      </c>
      <c r="Z135" s="56" t="s">
        <v>1054</v>
      </c>
      <c r="AA135" s="56" t="s">
        <v>1067</v>
      </c>
      <c r="AB135" s="56" t="s">
        <v>1068</v>
      </c>
      <c r="AC135" s="56" t="s">
        <v>1069</v>
      </c>
      <c r="AD135" s="56" t="s">
        <v>1070</v>
      </c>
      <c r="AE135" s="56" t="s">
        <v>1071</v>
      </c>
      <c r="AF135" s="56" t="s">
        <v>1336</v>
      </c>
      <c r="AG135" s="56" t="s">
        <v>1790</v>
      </c>
      <c r="AH135" s="56"/>
      <c r="AI135" s="56"/>
      <c r="AJ135" s="56"/>
      <c r="AK135" s="56"/>
      <c r="AL135" s="56"/>
      <c r="AM135" s="56"/>
      <c r="AN135" s="56"/>
      <c r="AO135" s="56"/>
      <c r="AP135" s="56"/>
      <c r="AQ135" s="131"/>
      <c r="AR135" s="130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</row>
    <row r="136" spans="1:56" x14ac:dyDescent="0.2">
      <c r="A136" s="56">
        <v>14100843</v>
      </c>
      <c r="B136" s="56">
        <v>175418729</v>
      </c>
      <c r="C136" s="56" t="s">
        <v>1791</v>
      </c>
      <c r="D136" s="56" t="s">
        <v>1792</v>
      </c>
      <c r="E136" s="56" t="s">
        <v>1047</v>
      </c>
      <c r="F136" s="56">
        <v>57</v>
      </c>
      <c r="G136" s="56">
        <v>5476</v>
      </c>
      <c r="H136" s="56" t="s">
        <v>1048</v>
      </c>
      <c r="I136" s="56" t="s">
        <v>1158</v>
      </c>
      <c r="J136" s="129">
        <v>46235</v>
      </c>
      <c r="K136" s="130">
        <v>0.86458333333333337</v>
      </c>
      <c r="L136" s="130">
        <v>0.86875000000000002</v>
      </c>
      <c r="M136" s="56" t="s">
        <v>1050</v>
      </c>
      <c r="N136" s="129">
        <v>46235</v>
      </c>
      <c r="O136" s="130">
        <v>0.90625</v>
      </c>
      <c r="P136" s="130">
        <v>0.89898148148148149</v>
      </c>
      <c r="Q136" s="56" t="s">
        <v>1050</v>
      </c>
      <c r="R136" s="56" t="s">
        <v>221</v>
      </c>
      <c r="S136" s="56">
        <v>31</v>
      </c>
      <c r="T136" s="131">
        <v>4.1666666666666519E-3</v>
      </c>
      <c r="U136" s="130">
        <v>-7.2685185185185075E-3</v>
      </c>
      <c r="V136" s="56" t="s">
        <v>1051</v>
      </c>
      <c r="W136" s="56" t="s">
        <v>1052</v>
      </c>
      <c r="X136" s="56" t="s">
        <v>1053</v>
      </c>
      <c r="Y136" s="56">
        <v>31</v>
      </c>
      <c r="Z136" s="56" t="s">
        <v>1054</v>
      </c>
      <c r="AA136" s="56" t="s">
        <v>1793</v>
      </c>
      <c r="AB136" s="56" t="s">
        <v>1160</v>
      </c>
      <c r="AC136" s="56" t="s">
        <v>1069</v>
      </c>
      <c r="AD136" s="56" t="s">
        <v>1794</v>
      </c>
      <c r="AE136" s="56" t="s">
        <v>1795</v>
      </c>
      <c r="AF136" s="56" t="s">
        <v>1336</v>
      </c>
      <c r="AG136" s="56" t="s">
        <v>1796</v>
      </c>
      <c r="AH136" s="56"/>
      <c r="AI136" s="56"/>
      <c r="AJ136" s="56"/>
      <c r="AK136" s="56"/>
      <c r="AL136" s="56"/>
      <c r="AM136" s="56"/>
      <c r="AN136" s="56"/>
      <c r="AO136" s="56"/>
      <c r="AP136" s="56"/>
      <c r="AQ136" s="131"/>
      <c r="AR136" s="130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</row>
    <row r="137" spans="1:56" x14ac:dyDescent="0.2">
      <c r="A137" s="56">
        <v>14103183</v>
      </c>
      <c r="B137" s="56">
        <v>175410443</v>
      </c>
      <c r="C137" s="56" t="s">
        <v>1338</v>
      </c>
      <c r="D137" s="56" t="s">
        <v>1339</v>
      </c>
      <c r="E137" s="56" t="s">
        <v>1047</v>
      </c>
      <c r="F137" s="56">
        <v>1</v>
      </c>
      <c r="G137" s="56">
        <v>15313</v>
      </c>
      <c r="H137" s="56" t="s">
        <v>1048</v>
      </c>
      <c r="I137" s="56" t="s">
        <v>1340</v>
      </c>
      <c r="J137" s="129">
        <v>46235</v>
      </c>
      <c r="K137" s="130">
        <v>0.86805555555555558</v>
      </c>
      <c r="L137" s="130">
        <v>0.87152777777777779</v>
      </c>
      <c r="M137" s="56" t="s">
        <v>1050</v>
      </c>
      <c r="N137" s="129">
        <v>46235</v>
      </c>
      <c r="O137" s="130">
        <v>0.88888888888888884</v>
      </c>
      <c r="P137" s="130">
        <v>0.88381944444444449</v>
      </c>
      <c r="Q137" s="56" t="s">
        <v>1050</v>
      </c>
      <c r="R137" s="56" t="s">
        <v>35</v>
      </c>
      <c r="S137" s="56">
        <v>31</v>
      </c>
      <c r="T137" s="131">
        <v>3.4722222222222099E-3</v>
      </c>
      <c r="U137" s="130">
        <v>-5.0694444444443487E-3</v>
      </c>
      <c r="V137" s="56" t="s">
        <v>1051</v>
      </c>
      <c r="W137" s="56" t="s">
        <v>1052</v>
      </c>
      <c r="X137" s="56" t="s">
        <v>1053</v>
      </c>
      <c r="Y137" s="56">
        <v>31</v>
      </c>
      <c r="Z137" s="56" t="s">
        <v>1054</v>
      </c>
      <c r="AA137" s="56" t="s">
        <v>1341</v>
      </c>
      <c r="AB137" s="56" t="s">
        <v>1342</v>
      </c>
      <c r="AC137" s="56" t="s">
        <v>1069</v>
      </c>
      <c r="AD137" s="56" t="s">
        <v>1343</v>
      </c>
      <c r="AE137" s="56" t="s">
        <v>1344</v>
      </c>
      <c r="AF137" s="56" t="s">
        <v>1336</v>
      </c>
      <c r="AG137" s="56" t="s">
        <v>1345</v>
      </c>
      <c r="AH137" s="56"/>
      <c r="AI137" s="56"/>
      <c r="AJ137" s="56"/>
      <c r="AK137" s="56"/>
      <c r="AL137" s="56"/>
      <c r="AM137" s="56"/>
      <c r="AN137" s="56"/>
      <c r="AO137" s="56"/>
      <c r="AP137" s="56"/>
      <c r="AQ137" s="131"/>
      <c r="AR137" s="130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</row>
    <row r="138" spans="1:56" x14ac:dyDescent="0.2">
      <c r="A138" s="56">
        <v>14103106</v>
      </c>
      <c r="B138" s="56">
        <v>175412852</v>
      </c>
      <c r="C138" s="56" t="s">
        <v>1352</v>
      </c>
      <c r="D138" s="56" t="s">
        <v>1117</v>
      </c>
      <c r="E138" s="56" t="s">
        <v>1047</v>
      </c>
      <c r="F138" s="56">
        <v>28</v>
      </c>
      <c r="G138" s="56">
        <v>16733</v>
      </c>
      <c r="H138" s="56" t="s">
        <v>1048</v>
      </c>
      <c r="I138" s="56" t="s">
        <v>1118</v>
      </c>
      <c r="J138" s="129">
        <v>46235</v>
      </c>
      <c r="K138" s="130">
        <v>0.87152777777777779</v>
      </c>
      <c r="L138" s="130">
        <v>0.99236111111111114</v>
      </c>
      <c r="M138" s="56" t="s">
        <v>1050</v>
      </c>
      <c r="N138" s="129">
        <v>46235</v>
      </c>
      <c r="O138" s="130">
        <v>0.93402777777777779</v>
      </c>
      <c r="P138" s="130">
        <v>0.91600694444444442</v>
      </c>
      <c r="Q138" s="56" t="s">
        <v>1050</v>
      </c>
      <c r="R138" s="56" t="s">
        <v>34</v>
      </c>
      <c r="S138" s="56">
        <v>31</v>
      </c>
      <c r="T138" s="131">
        <v>0.12083333333333335</v>
      </c>
      <c r="U138" s="130">
        <v>-1.8020833333333375E-2</v>
      </c>
      <c r="V138" s="56" t="s">
        <v>1051</v>
      </c>
      <c r="W138" s="56" t="s">
        <v>1052</v>
      </c>
      <c r="X138" s="56" t="s">
        <v>1053</v>
      </c>
      <c r="Y138" s="56">
        <v>31</v>
      </c>
      <c r="Z138" s="56" t="s">
        <v>1054</v>
      </c>
      <c r="AA138" s="56" t="s">
        <v>1119</v>
      </c>
      <c r="AB138" s="56" t="s">
        <v>1120</v>
      </c>
      <c r="AC138" s="56" t="s">
        <v>1078</v>
      </c>
      <c r="AD138" s="56" t="s">
        <v>1121</v>
      </c>
      <c r="AE138" s="56" t="s">
        <v>1122</v>
      </c>
      <c r="AF138" s="56" t="s">
        <v>1336</v>
      </c>
      <c r="AG138" s="56" t="s">
        <v>1353</v>
      </c>
      <c r="AH138" s="56"/>
      <c r="AI138" s="56"/>
      <c r="AJ138" s="56"/>
      <c r="AK138" s="56"/>
      <c r="AL138" s="56"/>
      <c r="AM138" s="56"/>
      <c r="AN138" s="56"/>
      <c r="AO138" s="56"/>
      <c r="AP138" s="56"/>
      <c r="AQ138" s="131"/>
      <c r="AR138" s="130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</row>
    <row r="139" spans="1:56" x14ac:dyDescent="0.2">
      <c r="A139" s="56">
        <v>14116431</v>
      </c>
      <c r="B139" s="56">
        <v>175421032</v>
      </c>
      <c r="C139" s="56" t="s">
        <v>1797</v>
      </c>
      <c r="D139" s="56" t="s">
        <v>1798</v>
      </c>
      <c r="E139" s="56" t="s">
        <v>1047</v>
      </c>
      <c r="F139" s="56">
        <v>85</v>
      </c>
      <c r="G139" s="56">
        <v>16734</v>
      </c>
      <c r="H139" s="56" t="s">
        <v>1048</v>
      </c>
      <c r="I139" s="56" t="s">
        <v>1118</v>
      </c>
      <c r="J139" s="129">
        <v>46235</v>
      </c>
      <c r="K139" s="130">
        <v>0.875</v>
      </c>
      <c r="L139" s="130">
        <v>0.89027777777777772</v>
      </c>
      <c r="M139" s="56" t="s">
        <v>1050</v>
      </c>
      <c r="N139" s="129">
        <v>46235</v>
      </c>
      <c r="O139" s="130">
        <v>0.93402777777777779</v>
      </c>
      <c r="P139" s="130">
        <v>0.92787037037037035</v>
      </c>
      <c r="Q139" s="56" t="s">
        <v>1050</v>
      </c>
      <c r="R139" s="56" t="s">
        <v>1132</v>
      </c>
      <c r="S139" s="56">
        <v>31</v>
      </c>
      <c r="T139" s="131">
        <v>1.5277777777777724E-2</v>
      </c>
      <c r="U139" s="130">
        <v>-6.1574074074074447E-3</v>
      </c>
      <c r="V139" s="56" t="s">
        <v>1051</v>
      </c>
      <c r="W139" s="56" t="s">
        <v>1052</v>
      </c>
      <c r="X139" s="56" t="s">
        <v>1053</v>
      </c>
      <c r="Y139" s="56">
        <v>31</v>
      </c>
      <c r="Z139" s="56" t="s">
        <v>1054</v>
      </c>
      <c r="AA139" s="56" t="s">
        <v>1799</v>
      </c>
      <c r="AB139" s="56" t="s">
        <v>1120</v>
      </c>
      <c r="AC139" s="56" t="s">
        <v>1078</v>
      </c>
      <c r="AD139" s="56" t="s">
        <v>1800</v>
      </c>
      <c r="AE139" s="56" t="s">
        <v>1801</v>
      </c>
      <c r="AF139" s="56" t="s">
        <v>1336</v>
      </c>
      <c r="AG139" s="56" t="s">
        <v>1802</v>
      </c>
      <c r="AH139" s="56"/>
      <c r="AI139" s="56"/>
      <c r="AJ139" s="56"/>
      <c r="AK139" s="56"/>
      <c r="AL139" s="56"/>
      <c r="AM139" s="56"/>
      <c r="AN139" s="56"/>
      <c r="AO139" s="56"/>
      <c r="AP139" s="56"/>
      <c r="AQ139" s="131"/>
      <c r="AR139" s="130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</row>
    <row r="140" spans="1:56" x14ac:dyDescent="0.2">
      <c r="A140" s="56">
        <v>14104316</v>
      </c>
      <c r="B140" s="56">
        <v>175420533</v>
      </c>
      <c r="C140" s="56" t="s">
        <v>1803</v>
      </c>
      <c r="D140" s="56" t="s">
        <v>1804</v>
      </c>
      <c r="E140" s="56" t="s">
        <v>1047</v>
      </c>
      <c r="F140" s="56">
        <v>74</v>
      </c>
      <c r="G140" s="56">
        <v>17354</v>
      </c>
      <c r="H140" s="56" t="s">
        <v>1048</v>
      </c>
      <c r="I140" s="56" t="s">
        <v>1118</v>
      </c>
      <c r="J140" s="129">
        <v>46235</v>
      </c>
      <c r="K140" s="130">
        <v>0.87847222222222221</v>
      </c>
      <c r="L140" s="130">
        <v>0.88194444444444442</v>
      </c>
      <c r="M140" s="56" t="s">
        <v>1050</v>
      </c>
      <c r="N140" s="129">
        <v>46235</v>
      </c>
      <c r="O140" s="130">
        <v>0.93402777777777779</v>
      </c>
      <c r="P140" s="130">
        <v>0.92159722222222218</v>
      </c>
      <c r="Q140" s="56" t="s">
        <v>1050</v>
      </c>
      <c r="R140" s="56" t="s">
        <v>39</v>
      </c>
      <c r="S140" s="56">
        <v>31</v>
      </c>
      <c r="T140" s="131">
        <v>3.4722222222222099E-3</v>
      </c>
      <c r="U140" s="130">
        <v>-1.2430555555555611E-2</v>
      </c>
      <c r="V140" s="56" t="s">
        <v>1051</v>
      </c>
      <c r="W140" s="56" t="s">
        <v>1052</v>
      </c>
      <c r="X140" s="56" t="s">
        <v>1053</v>
      </c>
      <c r="Y140" s="56">
        <v>31</v>
      </c>
      <c r="Z140" s="56" t="s">
        <v>1054</v>
      </c>
      <c r="AA140" s="56" t="s">
        <v>1805</v>
      </c>
      <c r="AB140" s="56" t="s">
        <v>1120</v>
      </c>
      <c r="AC140" s="56" t="s">
        <v>1078</v>
      </c>
      <c r="AD140" s="56" t="s">
        <v>1806</v>
      </c>
      <c r="AE140" s="56" t="s">
        <v>1807</v>
      </c>
      <c r="AF140" s="56" t="s">
        <v>1336</v>
      </c>
      <c r="AG140" s="56" t="s">
        <v>1808</v>
      </c>
      <c r="AH140" s="56"/>
      <c r="AI140" s="56"/>
      <c r="AJ140" s="56"/>
      <c r="AK140" s="56"/>
      <c r="AL140" s="56"/>
      <c r="AM140" s="56"/>
      <c r="AN140" s="56"/>
      <c r="AO140" s="56"/>
      <c r="AP140" s="56"/>
      <c r="AQ140" s="131"/>
      <c r="AR140" s="130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</row>
    <row r="141" spans="1:56" x14ac:dyDescent="0.2">
      <c r="A141" s="56">
        <v>14123334</v>
      </c>
      <c r="B141" s="56">
        <v>175421926</v>
      </c>
      <c r="C141" s="56" t="s">
        <v>1354</v>
      </c>
      <c r="D141" s="56" t="s">
        <v>1145</v>
      </c>
      <c r="E141" s="56" t="s">
        <v>1047</v>
      </c>
      <c r="F141" s="56">
        <v>91</v>
      </c>
      <c r="G141" s="56">
        <v>13409</v>
      </c>
      <c r="H141" s="56" t="s">
        <v>1048</v>
      </c>
      <c r="I141" s="56" t="s">
        <v>1118</v>
      </c>
      <c r="J141" s="129">
        <v>46235</v>
      </c>
      <c r="K141" s="130">
        <v>0.87847222222222221</v>
      </c>
      <c r="L141" s="130">
        <v>0.90069444444444446</v>
      </c>
      <c r="M141" s="56" t="s">
        <v>1050</v>
      </c>
      <c r="N141" s="129">
        <v>46235</v>
      </c>
      <c r="O141" s="130">
        <v>0.93402777777777779</v>
      </c>
      <c r="P141" s="130">
        <v>0.93497685185185186</v>
      </c>
      <c r="Q141" s="56" t="s">
        <v>1050</v>
      </c>
      <c r="R141" s="56" t="s">
        <v>502</v>
      </c>
      <c r="S141" s="56">
        <v>31</v>
      </c>
      <c r="T141" s="131">
        <v>2.2222222222222254E-2</v>
      </c>
      <c r="U141" s="130">
        <v>9.490740740740744E-4</v>
      </c>
      <c r="V141" s="56" t="s">
        <v>1051</v>
      </c>
      <c r="W141" s="56" t="s">
        <v>1052</v>
      </c>
      <c r="X141" s="56" t="s">
        <v>1053</v>
      </c>
      <c r="Y141" s="56">
        <v>31</v>
      </c>
      <c r="Z141" s="56" t="s">
        <v>1054</v>
      </c>
      <c r="AA141" s="56" t="s">
        <v>1146</v>
      </c>
      <c r="AB141" s="56" t="s">
        <v>1120</v>
      </c>
      <c r="AC141" s="56" t="s">
        <v>1078</v>
      </c>
      <c r="AD141" s="56" t="s">
        <v>1147</v>
      </c>
      <c r="AE141" s="56" t="s">
        <v>1148</v>
      </c>
      <c r="AF141" s="56" t="s">
        <v>1336</v>
      </c>
      <c r="AG141" s="56" t="s">
        <v>1355</v>
      </c>
      <c r="AH141" s="56"/>
      <c r="AI141" s="56"/>
      <c r="AJ141" s="56"/>
      <c r="AK141" s="56"/>
      <c r="AL141" s="56"/>
      <c r="AM141" s="56"/>
      <c r="AN141" s="56"/>
      <c r="AO141" s="56"/>
      <c r="AP141" s="56"/>
      <c r="AQ141" s="131"/>
      <c r="AR141" s="130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</row>
    <row r="142" spans="1:56" x14ac:dyDescent="0.2">
      <c r="A142" s="56">
        <v>14119057</v>
      </c>
      <c r="B142" s="56">
        <v>175420989</v>
      </c>
      <c r="C142" s="56" t="s">
        <v>1809</v>
      </c>
      <c r="D142" s="56" t="s">
        <v>1810</v>
      </c>
      <c r="E142" s="56" t="s">
        <v>1047</v>
      </c>
      <c r="F142" s="56">
        <v>80</v>
      </c>
      <c r="G142" s="56">
        <v>6352</v>
      </c>
      <c r="H142" s="56" t="s">
        <v>1048</v>
      </c>
      <c r="I142" s="56" t="s">
        <v>1118</v>
      </c>
      <c r="J142" s="129">
        <v>46235</v>
      </c>
      <c r="K142" s="130">
        <v>0.87986111111111109</v>
      </c>
      <c r="L142" s="130">
        <v>0.89097222222222228</v>
      </c>
      <c r="M142" s="56" t="s">
        <v>1050</v>
      </c>
      <c r="N142" s="129">
        <v>46235</v>
      </c>
      <c r="O142" s="130">
        <v>0.93402777777777779</v>
      </c>
      <c r="P142" s="130">
        <v>0.92664351851851856</v>
      </c>
      <c r="Q142" s="56" t="s">
        <v>1050</v>
      </c>
      <c r="R142" s="56" t="s">
        <v>229</v>
      </c>
      <c r="S142" s="56">
        <v>31</v>
      </c>
      <c r="T142" s="131">
        <v>1.1111111111111183E-2</v>
      </c>
      <c r="U142" s="130">
        <v>-7.3842592592592293E-3</v>
      </c>
      <c r="V142" s="56" t="s">
        <v>1051</v>
      </c>
      <c r="W142" s="56" t="s">
        <v>1052</v>
      </c>
      <c r="X142" s="56" t="s">
        <v>1053</v>
      </c>
      <c r="Y142" s="56">
        <v>31</v>
      </c>
      <c r="Z142" s="56" t="s">
        <v>1054</v>
      </c>
      <c r="AA142" s="56" t="s">
        <v>1811</v>
      </c>
      <c r="AB142" s="56" t="s">
        <v>1120</v>
      </c>
      <c r="AC142" s="56" t="s">
        <v>1078</v>
      </c>
      <c r="AD142" s="56" t="s">
        <v>1812</v>
      </c>
      <c r="AE142" s="56" t="s">
        <v>1813</v>
      </c>
      <c r="AF142" s="56" t="s">
        <v>1336</v>
      </c>
      <c r="AG142" s="56" t="s">
        <v>1814</v>
      </c>
      <c r="AH142" s="56"/>
      <c r="AI142" s="56"/>
      <c r="AJ142" s="56"/>
      <c r="AK142" s="56"/>
      <c r="AL142" s="56"/>
      <c r="AM142" s="56"/>
      <c r="AN142" s="56"/>
      <c r="AO142" s="56"/>
      <c r="AP142" s="56"/>
      <c r="AQ142" s="131"/>
      <c r="AR142" s="130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</row>
    <row r="143" spans="1:56" x14ac:dyDescent="0.2">
      <c r="A143" s="56">
        <v>14109131</v>
      </c>
      <c r="B143" s="56">
        <v>175420593</v>
      </c>
      <c r="C143" s="56" t="s">
        <v>1815</v>
      </c>
      <c r="D143" s="56" t="s">
        <v>1816</v>
      </c>
      <c r="E143" s="56" t="s">
        <v>1047</v>
      </c>
      <c r="F143" s="56">
        <v>76</v>
      </c>
      <c r="G143" s="56">
        <v>16784</v>
      </c>
      <c r="H143" s="56" t="s">
        <v>1048</v>
      </c>
      <c r="I143" s="56" t="s">
        <v>1118</v>
      </c>
      <c r="J143" s="129">
        <v>46235</v>
      </c>
      <c r="K143" s="130">
        <v>0.88194444444444442</v>
      </c>
      <c r="L143" s="130">
        <v>0.88611111111111107</v>
      </c>
      <c r="M143" s="56" t="s">
        <v>1050</v>
      </c>
      <c r="N143" s="129">
        <v>46235</v>
      </c>
      <c r="O143" s="130">
        <v>0.93402777777777779</v>
      </c>
      <c r="P143" s="130">
        <v>0.93486111111111114</v>
      </c>
      <c r="Q143" s="56" t="s">
        <v>1050</v>
      </c>
      <c r="R143" s="56" t="s">
        <v>82</v>
      </c>
      <c r="S143" s="56">
        <v>31</v>
      </c>
      <c r="T143" s="131">
        <v>4.1666666666666519E-3</v>
      </c>
      <c r="U143" s="130">
        <v>8.3333333333335258E-4</v>
      </c>
      <c r="V143" s="56" t="s">
        <v>1051</v>
      </c>
      <c r="W143" s="56" t="s">
        <v>1052</v>
      </c>
      <c r="X143" s="56" t="s">
        <v>1053</v>
      </c>
      <c r="Y143" s="56">
        <v>31</v>
      </c>
      <c r="Z143" s="56" t="s">
        <v>1054</v>
      </c>
      <c r="AA143" s="56" t="s">
        <v>1817</v>
      </c>
      <c r="AB143" s="56" t="s">
        <v>1120</v>
      </c>
      <c r="AC143" s="56" t="s">
        <v>1078</v>
      </c>
      <c r="AD143" s="56" t="s">
        <v>1818</v>
      </c>
      <c r="AE143" s="56" t="s">
        <v>1819</v>
      </c>
      <c r="AF143" s="56" t="s">
        <v>1336</v>
      </c>
      <c r="AG143" s="56" t="s">
        <v>1820</v>
      </c>
      <c r="AH143" s="56"/>
      <c r="AI143" s="56"/>
      <c r="AJ143" s="56"/>
      <c r="AK143" s="56"/>
      <c r="AL143" s="56"/>
      <c r="AM143" s="56"/>
      <c r="AN143" s="56"/>
      <c r="AO143" s="56"/>
      <c r="AP143" s="56"/>
      <c r="AQ143" s="131"/>
      <c r="AR143" s="130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</row>
    <row r="144" spans="1:56" x14ac:dyDescent="0.2">
      <c r="A144" s="56">
        <v>14100721</v>
      </c>
      <c r="B144" s="56">
        <v>175459372</v>
      </c>
      <c r="C144" s="56" t="s">
        <v>1821</v>
      </c>
      <c r="D144" s="56" t="s">
        <v>1822</v>
      </c>
      <c r="E144" s="56" t="s">
        <v>1047</v>
      </c>
      <c r="F144" s="56">
        <v>428</v>
      </c>
      <c r="G144" s="56">
        <v>16788</v>
      </c>
      <c r="H144" s="56" t="s">
        <v>1048</v>
      </c>
      <c r="I144" s="56" t="s">
        <v>1075</v>
      </c>
      <c r="J144" s="129">
        <v>46235</v>
      </c>
      <c r="K144" s="130">
        <v>0.88194444444444442</v>
      </c>
      <c r="L144" s="130">
        <v>0.88611111111111107</v>
      </c>
      <c r="M144" s="56" t="s">
        <v>1050</v>
      </c>
      <c r="N144" s="129">
        <v>46235</v>
      </c>
      <c r="O144" s="130">
        <v>0.93402777777777779</v>
      </c>
      <c r="P144" s="130">
        <v>0.91285879629629629</v>
      </c>
      <c r="Q144" s="56" t="s">
        <v>1050</v>
      </c>
      <c r="R144" s="56" t="s">
        <v>9</v>
      </c>
      <c r="S144" s="56">
        <v>31</v>
      </c>
      <c r="T144" s="131">
        <v>4.1666666666666519E-3</v>
      </c>
      <c r="U144" s="130">
        <v>-2.1168981481481497E-2</v>
      </c>
      <c r="V144" s="56" t="s">
        <v>1051</v>
      </c>
      <c r="W144" s="56" t="s">
        <v>1052</v>
      </c>
      <c r="X144" s="56" t="s">
        <v>1053</v>
      </c>
      <c r="Y144" s="56">
        <v>31</v>
      </c>
      <c r="Z144" s="56" t="s">
        <v>1054</v>
      </c>
      <c r="AA144" s="56" t="s">
        <v>1823</v>
      </c>
      <c r="AB144" s="56" t="s">
        <v>1077</v>
      </c>
      <c r="AC144" s="56" t="s">
        <v>1078</v>
      </c>
      <c r="AD144" s="56" t="s">
        <v>1824</v>
      </c>
      <c r="AE144" s="56" t="s">
        <v>1825</v>
      </c>
      <c r="AF144" s="56" t="s">
        <v>1336</v>
      </c>
      <c r="AG144" s="56" t="s">
        <v>1826</v>
      </c>
      <c r="AH144" s="56"/>
      <c r="AI144" s="56"/>
      <c r="AJ144" s="56"/>
      <c r="AK144" s="56"/>
      <c r="AL144" s="56"/>
      <c r="AM144" s="56"/>
      <c r="AN144" s="56"/>
      <c r="AO144" s="56"/>
      <c r="AP144" s="56"/>
      <c r="AQ144" s="131"/>
      <c r="AR144" s="130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</row>
    <row r="145" spans="1:56" x14ac:dyDescent="0.2">
      <c r="A145" s="56">
        <v>14110339</v>
      </c>
      <c r="B145" s="56">
        <v>175421339</v>
      </c>
      <c r="C145" s="56" t="s">
        <v>1827</v>
      </c>
      <c r="D145" s="56" t="s">
        <v>1828</v>
      </c>
      <c r="E145" s="56" t="s">
        <v>1047</v>
      </c>
      <c r="F145" s="56">
        <v>87</v>
      </c>
      <c r="G145" s="56">
        <v>6158</v>
      </c>
      <c r="H145" s="56" t="s">
        <v>1048</v>
      </c>
      <c r="I145" s="56" t="s">
        <v>1118</v>
      </c>
      <c r="J145" s="129">
        <v>46235</v>
      </c>
      <c r="K145" s="130">
        <v>0.88541666666666663</v>
      </c>
      <c r="L145" s="130">
        <v>0.91527777777777775</v>
      </c>
      <c r="M145" s="56" t="s">
        <v>1050</v>
      </c>
      <c r="N145" s="129">
        <v>46235</v>
      </c>
      <c r="O145" s="130">
        <v>0.93402777777777779</v>
      </c>
      <c r="P145" s="130">
        <v>0.92113425925925929</v>
      </c>
      <c r="Q145" s="56" t="s">
        <v>1050</v>
      </c>
      <c r="R145" s="56" t="s">
        <v>101</v>
      </c>
      <c r="S145" s="56">
        <v>31</v>
      </c>
      <c r="T145" s="131">
        <v>2.9861111111111116E-2</v>
      </c>
      <c r="U145" s="130">
        <v>-1.2893518518518499E-2</v>
      </c>
      <c r="V145" s="56" t="s">
        <v>1051</v>
      </c>
      <c r="W145" s="56" t="s">
        <v>1052</v>
      </c>
      <c r="X145" s="56" t="s">
        <v>1053</v>
      </c>
      <c r="Y145" s="56">
        <v>31</v>
      </c>
      <c r="Z145" s="56" t="s">
        <v>1054</v>
      </c>
      <c r="AA145" s="56" t="s">
        <v>1829</v>
      </c>
      <c r="AB145" s="56" t="s">
        <v>1120</v>
      </c>
      <c r="AC145" s="56" t="s">
        <v>1078</v>
      </c>
      <c r="AD145" s="56" t="s">
        <v>1830</v>
      </c>
      <c r="AE145" s="56" t="s">
        <v>1831</v>
      </c>
      <c r="AF145" s="56" t="s">
        <v>1336</v>
      </c>
      <c r="AG145" s="56" t="s">
        <v>1832</v>
      </c>
      <c r="AH145" s="56"/>
      <c r="AI145" s="56"/>
      <c r="AJ145" s="56"/>
      <c r="AK145" s="56"/>
      <c r="AL145" s="56"/>
      <c r="AM145" s="56"/>
      <c r="AN145" s="56"/>
      <c r="AO145" s="56"/>
      <c r="AP145" s="56"/>
      <c r="AQ145" s="131"/>
      <c r="AR145" s="130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</row>
    <row r="146" spans="1:56" x14ac:dyDescent="0.2">
      <c r="A146" s="56">
        <v>14122855</v>
      </c>
      <c r="B146" s="56">
        <v>175459383</v>
      </c>
      <c r="C146" s="56" t="s">
        <v>1833</v>
      </c>
      <c r="D146" s="56" t="s">
        <v>1834</v>
      </c>
      <c r="E146" s="56" t="s">
        <v>1047</v>
      </c>
      <c r="F146" s="56">
        <v>188</v>
      </c>
      <c r="G146" s="56">
        <v>6251</v>
      </c>
      <c r="H146" s="56" t="s">
        <v>1048</v>
      </c>
      <c r="I146" s="56" t="s">
        <v>1104</v>
      </c>
      <c r="J146" s="129">
        <v>46235</v>
      </c>
      <c r="K146" s="130">
        <v>0.88541666666666663</v>
      </c>
      <c r="L146" s="130">
        <v>0.89097222222222228</v>
      </c>
      <c r="M146" s="56" t="s">
        <v>1050</v>
      </c>
      <c r="N146" s="129">
        <v>46235</v>
      </c>
      <c r="O146" s="130">
        <v>0.93402777777777779</v>
      </c>
      <c r="P146" s="130">
        <v>0.92420138888888892</v>
      </c>
      <c r="Q146" s="56" t="s">
        <v>1050</v>
      </c>
      <c r="R146" s="56" t="s">
        <v>451</v>
      </c>
      <c r="S146" s="56">
        <v>31</v>
      </c>
      <c r="T146" s="131">
        <v>5.5555555555556468E-3</v>
      </c>
      <c r="U146" s="130">
        <v>-9.8263888888888706E-3</v>
      </c>
      <c r="V146" s="56" t="s">
        <v>1051</v>
      </c>
      <c r="W146" s="56" t="s">
        <v>1052</v>
      </c>
      <c r="X146" s="56" t="s">
        <v>1053</v>
      </c>
      <c r="Y146" s="56">
        <v>31</v>
      </c>
      <c r="Z146" s="56" t="s">
        <v>1054</v>
      </c>
      <c r="AA146" s="56" t="s">
        <v>1835</v>
      </c>
      <c r="AB146" s="56" t="s">
        <v>1106</v>
      </c>
      <c r="AC146" s="56" t="s">
        <v>1078</v>
      </c>
      <c r="AD146" s="56" t="s">
        <v>1836</v>
      </c>
      <c r="AE146" s="56" t="s">
        <v>1837</v>
      </c>
      <c r="AF146" s="56" t="s">
        <v>1336</v>
      </c>
      <c r="AG146" s="56" t="s">
        <v>1838</v>
      </c>
      <c r="AH146" s="56"/>
      <c r="AI146" s="56"/>
      <c r="AJ146" s="56"/>
      <c r="AK146" s="56"/>
      <c r="AL146" s="56"/>
      <c r="AM146" s="56"/>
      <c r="AN146" s="56"/>
      <c r="AO146" s="56"/>
      <c r="AP146" s="56"/>
      <c r="AQ146" s="131"/>
      <c r="AR146" s="130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</row>
    <row r="147" spans="1:56" x14ac:dyDescent="0.2">
      <c r="A147" s="56">
        <v>14120788</v>
      </c>
      <c r="B147" s="56">
        <v>175459394</v>
      </c>
      <c r="C147" s="56" t="s">
        <v>1839</v>
      </c>
      <c r="D147" s="56" t="s">
        <v>1840</v>
      </c>
      <c r="E147" s="56" t="s">
        <v>1047</v>
      </c>
      <c r="F147" s="56">
        <v>138</v>
      </c>
      <c r="G147" s="56">
        <v>5533</v>
      </c>
      <c r="H147" s="56" t="s">
        <v>1048</v>
      </c>
      <c r="I147" s="56" t="s">
        <v>1104</v>
      </c>
      <c r="J147" s="129">
        <v>46235</v>
      </c>
      <c r="K147" s="130">
        <v>0.88541666666666663</v>
      </c>
      <c r="L147" s="130">
        <v>0.88888888888888884</v>
      </c>
      <c r="M147" s="56" t="s">
        <v>1050</v>
      </c>
      <c r="N147" s="129">
        <v>46235</v>
      </c>
      <c r="O147" s="130">
        <v>0.93402777777777779</v>
      </c>
      <c r="P147" s="130">
        <v>0.92533564814814817</v>
      </c>
      <c r="Q147" s="56" t="s">
        <v>1050</v>
      </c>
      <c r="R147" s="56" t="s">
        <v>1841</v>
      </c>
      <c r="S147" s="56">
        <v>31</v>
      </c>
      <c r="T147" s="131">
        <v>3.4722222222222099E-3</v>
      </c>
      <c r="U147" s="130">
        <v>-8.6921296296296191E-3</v>
      </c>
      <c r="V147" s="56" t="s">
        <v>1051</v>
      </c>
      <c r="W147" s="56" t="s">
        <v>1052</v>
      </c>
      <c r="X147" s="56" t="s">
        <v>1053</v>
      </c>
      <c r="Y147" s="56">
        <v>31</v>
      </c>
      <c r="Z147" s="56" t="s">
        <v>1054</v>
      </c>
      <c r="AA147" s="56" t="s">
        <v>1842</v>
      </c>
      <c r="AB147" s="56" t="s">
        <v>1106</v>
      </c>
      <c r="AC147" s="56" t="s">
        <v>1078</v>
      </c>
      <c r="AD147" s="56" t="s">
        <v>1843</v>
      </c>
      <c r="AE147" s="56" t="s">
        <v>1844</v>
      </c>
      <c r="AF147" s="56" t="s">
        <v>1336</v>
      </c>
      <c r="AG147" s="56" t="s">
        <v>1845</v>
      </c>
      <c r="AH147" s="56"/>
      <c r="AI147" s="56"/>
      <c r="AJ147" s="56"/>
      <c r="AK147" s="56"/>
      <c r="AL147" s="56"/>
      <c r="AM147" s="56"/>
      <c r="AN147" s="56"/>
      <c r="AO147" s="56"/>
      <c r="AP147" s="56"/>
      <c r="AQ147" s="131"/>
      <c r="AR147" s="130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</row>
    <row r="148" spans="1:56" x14ac:dyDescent="0.2">
      <c r="A148" s="56">
        <v>14123651</v>
      </c>
      <c r="B148" s="56">
        <v>175420245</v>
      </c>
      <c r="C148" s="56" t="s">
        <v>1846</v>
      </c>
      <c r="D148" s="56" t="s">
        <v>1847</v>
      </c>
      <c r="E148" s="56" t="s">
        <v>1047</v>
      </c>
      <c r="F148" s="56">
        <v>67</v>
      </c>
      <c r="G148" s="56">
        <v>13901</v>
      </c>
      <c r="H148" s="56" t="s">
        <v>1048</v>
      </c>
      <c r="I148" s="56" t="s">
        <v>1118</v>
      </c>
      <c r="J148" s="129">
        <v>46235</v>
      </c>
      <c r="K148" s="130">
        <v>0.88888888888888884</v>
      </c>
      <c r="L148" s="130">
        <v>0.89236111111111116</v>
      </c>
      <c r="M148" s="56" t="s">
        <v>1050</v>
      </c>
      <c r="N148" s="129">
        <v>46235</v>
      </c>
      <c r="O148" s="130">
        <v>0.93402777777777779</v>
      </c>
      <c r="P148" s="130">
        <v>0.926875</v>
      </c>
      <c r="Q148" s="56" t="s">
        <v>1050</v>
      </c>
      <c r="R148" s="56" t="s">
        <v>904</v>
      </c>
      <c r="S148" s="56">
        <v>31</v>
      </c>
      <c r="T148" s="131">
        <v>3.4722222222223209E-3</v>
      </c>
      <c r="U148" s="130">
        <v>-7.1527777777777857E-3</v>
      </c>
      <c r="V148" s="56" t="s">
        <v>1051</v>
      </c>
      <c r="W148" s="56" t="s">
        <v>1052</v>
      </c>
      <c r="X148" s="56" t="s">
        <v>1053</v>
      </c>
      <c r="Y148" s="56">
        <v>31</v>
      </c>
      <c r="Z148" s="56" t="s">
        <v>1054</v>
      </c>
      <c r="AA148" s="56" t="s">
        <v>1848</v>
      </c>
      <c r="AB148" s="56" t="s">
        <v>1120</v>
      </c>
      <c r="AC148" s="56" t="s">
        <v>1078</v>
      </c>
      <c r="AD148" s="56" t="s">
        <v>1849</v>
      </c>
      <c r="AE148" s="56" t="s">
        <v>1850</v>
      </c>
      <c r="AF148" s="56" t="s">
        <v>1336</v>
      </c>
      <c r="AG148" s="56" t="s">
        <v>1851</v>
      </c>
      <c r="AH148" s="56"/>
      <c r="AI148" s="56"/>
      <c r="AJ148" s="56"/>
      <c r="AK148" s="56"/>
      <c r="AL148" s="56"/>
      <c r="AM148" s="56"/>
      <c r="AN148" s="56"/>
      <c r="AO148" s="56"/>
      <c r="AP148" s="56"/>
      <c r="AQ148" s="131"/>
      <c r="AR148" s="130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</row>
    <row r="149" spans="1:56" x14ac:dyDescent="0.2">
      <c r="A149" s="56">
        <v>14123228</v>
      </c>
      <c r="B149" s="56">
        <v>175459377</v>
      </c>
      <c r="C149" s="56" t="s">
        <v>1365</v>
      </c>
      <c r="D149" s="56" t="s">
        <v>1366</v>
      </c>
      <c r="E149" s="56" t="s">
        <v>1047</v>
      </c>
      <c r="F149" s="56">
        <v>130</v>
      </c>
      <c r="G149" s="56">
        <v>6271</v>
      </c>
      <c r="H149" s="56" t="s">
        <v>1048</v>
      </c>
      <c r="I149" s="56" t="s">
        <v>1104</v>
      </c>
      <c r="J149" s="129">
        <v>46235</v>
      </c>
      <c r="K149" s="130">
        <v>0.88888888888888884</v>
      </c>
      <c r="L149" s="130">
        <v>0.90347222222222223</v>
      </c>
      <c r="M149" s="56" t="s">
        <v>1050</v>
      </c>
      <c r="N149" s="129">
        <v>46235</v>
      </c>
      <c r="O149" s="130">
        <v>0.93402777777777779</v>
      </c>
      <c r="P149" s="130">
        <v>0</v>
      </c>
      <c r="Q149" s="56" t="s">
        <v>1286</v>
      </c>
      <c r="R149" s="56" t="s">
        <v>1852</v>
      </c>
      <c r="S149" s="56">
        <v>31</v>
      </c>
      <c r="T149" s="131">
        <v>1.4583333333333393E-2</v>
      </c>
      <c r="U149" s="130">
        <v>-0.93402777777777779</v>
      </c>
      <c r="V149" s="56" t="s">
        <v>1051</v>
      </c>
      <c r="W149" s="56" t="s">
        <v>1052</v>
      </c>
      <c r="X149" s="56" t="s">
        <v>1053</v>
      </c>
      <c r="Y149" s="56">
        <v>31</v>
      </c>
      <c r="Z149" s="56" t="s">
        <v>1054</v>
      </c>
      <c r="AA149" s="56" t="s">
        <v>1368</v>
      </c>
      <c r="AB149" s="56" t="s">
        <v>1106</v>
      </c>
      <c r="AC149" s="56" t="s">
        <v>1078</v>
      </c>
      <c r="AD149" s="56" t="s">
        <v>1369</v>
      </c>
      <c r="AE149" s="56" t="s">
        <v>1370</v>
      </c>
      <c r="AF149" s="56" t="s">
        <v>1336</v>
      </c>
      <c r="AG149" s="56" t="s">
        <v>1371</v>
      </c>
      <c r="AH149" s="56"/>
      <c r="AI149" s="56"/>
      <c r="AJ149" s="56"/>
      <c r="AK149" s="56"/>
      <c r="AL149" s="56"/>
      <c r="AM149" s="56"/>
      <c r="AN149" s="56"/>
      <c r="AO149" s="56"/>
      <c r="AP149" s="56"/>
      <c r="AQ149" s="131"/>
      <c r="AR149" s="130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</row>
    <row r="150" spans="1:56" x14ac:dyDescent="0.2">
      <c r="A150" s="56">
        <v>14122083</v>
      </c>
      <c r="B150" s="56">
        <v>175422960</v>
      </c>
      <c r="C150" s="56" t="s">
        <v>1853</v>
      </c>
      <c r="D150" s="56" t="s">
        <v>1854</v>
      </c>
      <c r="E150" s="56" t="s">
        <v>1047</v>
      </c>
      <c r="F150" s="56">
        <v>225</v>
      </c>
      <c r="G150" s="56">
        <v>17096</v>
      </c>
      <c r="H150" s="56" t="s">
        <v>1048</v>
      </c>
      <c r="I150" s="56" t="s">
        <v>1172</v>
      </c>
      <c r="J150" s="129">
        <v>46235</v>
      </c>
      <c r="K150" s="130">
        <v>0.89236111111111116</v>
      </c>
      <c r="L150" s="130">
        <v>0.9145833333333333</v>
      </c>
      <c r="M150" s="56" t="s">
        <v>1050</v>
      </c>
      <c r="N150" s="129">
        <v>46235</v>
      </c>
      <c r="O150" s="130">
        <v>0.92708333333333337</v>
      </c>
      <c r="P150" s="130">
        <v>0.9371990740740741</v>
      </c>
      <c r="Q150" s="56" t="s">
        <v>1050</v>
      </c>
      <c r="R150" s="56" t="s">
        <v>378</v>
      </c>
      <c r="S150" s="56">
        <v>31</v>
      </c>
      <c r="T150" s="131">
        <v>2.2222222222222143E-2</v>
      </c>
      <c r="U150" s="130">
        <v>1.0115740740740731E-2</v>
      </c>
      <c r="V150" s="56" t="s">
        <v>1051</v>
      </c>
      <c r="W150" s="56" t="s">
        <v>1065</v>
      </c>
      <c r="X150" s="56" t="s">
        <v>1066</v>
      </c>
      <c r="Y150" s="56">
        <v>31</v>
      </c>
      <c r="Z150" s="56" t="s">
        <v>1054</v>
      </c>
      <c r="AA150" s="56" t="s">
        <v>1855</v>
      </c>
      <c r="AB150" s="56" t="s">
        <v>1565</v>
      </c>
      <c r="AC150" s="56" t="s">
        <v>1057</v>
      </c>
      <c r="AD150" s="56" t="s">
        <v>1856</v>
      </c>
      <c r="AE150" s="56" t="s">
        <v>1857</v>
      </c>
      <c r="AF150" s="56" t="s">
        <v>1336</v>
      </c>
      <c r="AG150" s="56" t="s">
        <v>1858</v>
      </c>
      <c r="AH150" s="56"/>
      <c r="AI150" s="56"/>
      <c r="AJ150" s="56"/>
      <c r="AK150" s="56"/>
      <c r="AL150" s="56"/>
      <c r="AM150" s="56"/>
      <c r="AN150" s="56"/>
      <c r="AO150" s="56"/>
      <c r="AP150" s="56"/>
      <c r="AQ150" s="131"/>
      <c r="AR150" s="130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</row>
    <row r="151" spans="1:56" x14ac:dyDescent="0.2">
      <c r="A151" s="56"/>
      <c r="B151" s="56">
        <v>175422586</v>
      </c>
      <c r="C151" s="56" t="s">
        <v>1859</v>
      </c>
      <c r="D151" s="56" t="s">
        <v>1860</v>
      </c>
      <c r="E151" s="56" t="s">
        <v>1047</v>
      </c>
      <c r="F151" s="56">
        <v>199</v>
      </c>
      <c r="G151" s="56">
        <v>5361</v>
      </c>
      <c r="H151" s="56" t="s">
        <v>1048</v>
      </c>
      <c r="I151" s="56" t="s">
        <v>1172</v>
      </c>
      <c r="J151" s="129">
        <v>46235</v>
      </c>
      <c r="K151" s="130">
        <v>0.89583333333333337</v>
      </c>
      <c r="L151" s="130">
        <v>0.89930555555555558</v>
      </c>
      <c r="M151" s="56" t="s">
        <v>1050</v>
      </c>
      <c r="N151" s="129">
        <v>46235</v>
      </c>
      <c r="O151" s="130">
        <v>0.92708333333333337</v>
      </c>
      <c r="P151" s="130">
        <v>0.91658564814814814</v>
      </c>
      <c r="Q151" s="56" t="s">
        <v>1050</v>
      </c>
      <c r="R151" s="56"/>
      <c r="S151" s="56">
        <v>31</v>
      </c>
      <c r="T151" s="131">
        <v>3.4722222222222099E-3</v>
      </c>
      <c r="U151" s="130">
        <v>-1.0497685185185235E-2</v>
      </c>
      <c r="V151" s="56" t="s">
        <v>1051</v>
      </c>
      <c r="W151" s="56" t="s">
        <v>1052</v>
      </c>
      <c r="X151" s="56" t="s">
        <v>1053</v>
      </c>
      <c r="Y151" s="56">
        <v>31</v>
      </c>
      <c r="Z151" s="56" t="s">
        <v>1054</v>
      </c>
      <c r="AA151" s="56" t="s">
        <v>1861</v>
      </c>
      <c r="AB151" s="56" t="s">
        <v>1565</v>
      </c>
      <c r="AC151" s="56" t="s">
        <v>1057</v>
      </c>
      <c r="AD151" s="56" t="s">
        <v>1862</v>
      </c>
      <c r="AE151" s="56" t="s">
        <v>1863</v>
      </c>
      <c r="AF151" s="56" t="s">
        <v>1336</v>
      </c>
      <c r="AG151" s="56" t="s">
        <v>1864</v>
      </c>
      <c r="AH151" s="56"/>
      <c r="AI151" s="56"/>
      <c r="AJ151" s="56"/>
      <c r="AK151" s="56"/>
      <c r="AL151" s="56"/>
      <c r="AM151" s="56"/>
      <c r="AN151" s="56"/>
      <c r="AO151" s="56"/>
      <c r="AP151" s="56"/>
      <c r="AQ151" s="131"/>
      <c r="AR151" s="130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</row>
    <row r="152" spans="1:56" x14ac:dyDescent="0.2">
      <c r="A152" s="56">
        <v>14103470</v>
      </c>
      <c r="B152" s="56">
        <v>175377626</v>
      </c>
      <c r="C152" s="56" t="s">
        <v>1865</v>
      </c>
      <c r="D152" s="56" t="s">
        <v>1866</v>
      </c>
      <c r="E152" s="56" t="s">
        <v>1047</v>
      </c>
      <c r="F152" s="56">
        <v>13</v>
      </c>
      <c r="G152" s="56">
        <v>4442</v>
      </c>
      <c r="H152" s="56" t="s">
        <v>1048</v>
      </c>
      <c r="I152" s="56" t="s">
        <v>1427</v>
      </c>
      <c r="J152" s="129">
        <v>46234</v>
      </c>
      <c r="K152" s="130">
        <v>0.2013888888888889</v>
      </c>
      <c r="L152" s="130">
        <v>0.2076388888888889</v>
      </c>
      <c r="M152" s="56" t="s">
        <v>1050</v>
      </c>
      <c r="N152" s="129">
        <v>46234</v>
      </c>
      <c r="O152" s="130">
        <v>0.27083333333333331</v>
      </c>
      <c r="P152" s="130">
        <v>0.26079861111111113</v>
      </c>
      <c r="Q152" s="56" t="s">
        <v>1050</v>
      </c>
      <c r="R152" s="56" t="s">
        <v>518</v>
      </c>
      <c r="S152" s="56">
        <v>31</v>
      </c>
      <c r="T152" s="131">
        <v>6.2500000000000056E-3</v>
      </c>
      <c r="U152" s="130">
        <v>-1.0034722222222181E-2</v>
      </c>
      <c r="V152" s="56" t="s">
        <v>1051</v>
      </c>
      <c r="W152" s="56" t="s">
        <v>1052</v>
      </c>
      <c r="X152" s="56" t="s">
        <v>1053</v>
      </c>
      <c r="Y152" s="56">
        <v>31</v>
      </c>
      <c r="Z152" s="56" t="s">
        <v>1054</v>
      </c>
      <c r="AA152" s="56" t="s">
        <v>1867</v>
      </c>
      <c r="AB152" s="56" t="s">
        <v>1194</v>
      </c>
      <c r="AC152" s="56" t="s">
        <v>1057</v>
      </c>
      <c r="AD152" s="56" t="s">
        <v>1868</v>
      </c>
      <c r="AE152" s="56" t="s">
        <v>1869</v>
      </c>
      <c r="AF152" s="56" t="s">
        <v>1060</v>
      </c>
      <c r="AG152" s="56" t="s">
        <v>1870</v>
      </c>
      <c r="AH152" s="56"/>
      <c r="AI152" s="56"/>
      <c r="AJ152" s="56"/>
      <c r="AK152" s="56"/>
      <c r="AL152" s="56"/>
      <c r="AM152" s="56"/>
      <c r="AN152" s="56"/>
      <c r="AO152" s="56"/>
      <c r="AP152" s="56"/>
      <c r="AQ152" s="131"/>
      <c r="AR152" s="130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</row>
    <row r="153" spans="1:56" x14ac:dyDescent="0.2">
      <c r="A153" s="56">
        <v>14121015</v>
      </c>
      <c r="B153" s="56">
        <v>175377249</v>
      </c>
      <c r="C153" s="56" t="s">
        <v>1871</v>
      </c>
      <c r="D153" s="56" t="s">
        <v>1645</v>
      </c>
      <c r="E153" s="56" t="s">
        <v>1047</v>
      </c>
      <c r="F153" s="56">
        <v>117</v>
      </c>
      <c r="G153" s="56">
        <v>15995</v>
      </c>
      <c r="H153" s="56" t="s">
        <v>1048</v>
      </c>
      <c r="I153" s="56" t="s">
        <v>1104</v>
      </c>
      <c r="J153" s="129">
        <v>46234</v>
      </c>
      <c r="K153" s="130">
        <v>0.20833333333333334</v>
      </c>
      <c r="L153" s="130">
        <v>0.21666666666666667</v>
      </c>
      <c r="M153" s="56" t="s">
        <v>1050</v>
      </c>
      <c r="N153" s="129">
        <v>46234</v>
      </c>
      <c r="O153" s="130">
        <v>0.2673611111111111</v>
      </c>
      <c r="P153" s="130">
        <v>0.25252314814814814</v>
      </c>
      <c r="Q153" s="56" t="s">
        <v>1050</v>
      </c>
      <c r="R153" s="56" t="s">
        <v>306</v>
      </c>
      <c r="S153" s="56">
        <v>31</v>
      </c>
      <c r="T153" s="131">
        <v>8.3333333333333315E-3</v>
      </c>
      <c r="U153" s="130">
        <v>-1.4837962962962969E-2</v>
      </c>
      <c r="V153" s="56" t="s">
        <v>1051</v>
      </c>
      <c r="W153" s="56" t="s">
        <v>1052</v>
      </c>
      <c r="X153" s="56" t="s">
        <v>1053</v>
      </c>
      <c r="Y153" s="56">
        <v>31</v>
      </c>
      <c r="Z153" s="56" t="s">
        <v>1054</v>
      </c>
      <c r="AA153" s="56" t="s">
        <v>1646</v>
      </c>
      <c r="AB153" s="56" t="s">
        <v>1106</v>
      </c>
      <c r="AC153" s="56" t="s">
        <v>1078</v>
      </c>
      <c r="AD153" s="56" t="s">
        <v>1647</v>
      </c>
      <c r="AE153" s="56" t="s">
        <v>1648</v>
      </c>
      <c r="AF153" s="56" t="s">
        <v>1060</v>
      </c>
      <c r="AG153" s="56" t="s">
        <v>1872</v>
      </c>
      <c r="AH153" s="56"/>
      <c r="AI153" s="56"/>
      <c r="AJ153" s="56"/>
      <c r="AK153" s="56"/>
      <c r="AL153" s="56"/>
      <c r="AM153" s="56"/>
      <c r="AN153" s="56"/>
      <c r="AO153" s="56"/>
      <c r="AP153" s="56"/>
      <c r="AQ153" s="131"/>
      <c r="AR153" s="130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</row>
    <row r="154" spans="1:56" x14ac:dyDescent="0.2">
      <c r="A154" s="56">
        <v>14119890</v>
      </c>
      <c r="B154" s="56">
        <v>175384402</v>
      </c>
      <c r="C154" s="56" t="s">
        <v>1873</v>
      </c>
      <c r="D154" s="56" t="s">
        <v>1385</v>
      </c>
      <c r="E154" s="56" t="s">
        <v>1047</v>
      </c>
      <c r="F154" s="56">
        <v>32</v>
      </c>
      <c r="G154" s="56">
        <v>4400</v>
      </c>
      <c r="H154" s="56" t="s">
        <v>1048</v>
      </c>
      <c r="I154" s="56" t="s">
        <v>1158</v>
      </c>
      <c r="J154" s="129">
        <v>46234</v>
      </c>
      <c r="K154" s="130">
        <v>0.20833333333333334</v>
      </c>
      <c r="L154" s="130">
        <v>0.21666666666666667</v>
      </c>
      <c r="M154" s="56" t="s">
        <v>1050</v>
      </c>
      <c r="N154" s="129">
        <v>46234</v>
      </c>
      <c r="O154" s="130">
        <v>0.26041666666666669</v>
      </c>
      <c r="P154" s="130">
        <v>0.26791666666666669</v>
      </c>
      <c r="Q154" s="56" t="s">
        <v>1050</v>
      </c>
      <c r="R154" s="56" t="s">
        <v>266</v>
      </c>
      <c r="S154" s="56">
        <v>31</v>
      </c>
      <c r="T154" s="131">
        <v>8.3333333333333315E-3</v>
      </c>
      <c r="U154" s="130">
        <v>7.5000000000000067E-3</v>
      </c>
      <c r="V154" s="56" t="s">
        <v>1051</v>
      </c>
      <c r="W154" s="56" t="s">
        <v>1065</v>
      </c>
      <c r="X154" s="56" t="s">
        <v>1066</v>
      </c>
      <c r="Y154" s="56">
        <v>31</v>
      </c>
      <c r="Z154" s="56" t="s">
        <v>1054</v>
      </c>
      <c r="AA154" s="56" t="s">
        <v>1874</v>
      </c>
      <c r="AB154" s="56" t="s">
        <v>1160</v>
      </c>
      <c r="AC154" s="56" t="s">
        <v>1069</v>
      </c>
      <c r="AD154" s="56" t="s">
        <v>1875</v>
      </c>
      <c r="AE154" s="56" t="s">
        <v>1876</v>
      </c>
      <c r="AF154" s="56" t="s">
        <v>1060</v>
      </c>
      <c r="AG154" s="56" t="s">
        <v>1877</v>
      </c>
      <c r="AH154" s="56"/>
      <c r="AI154" s="56"/>
      <c r="AJ154" s="56"/>
      <c r="AK154" s="56"/>
      <c r="AL154" s="56"/>
      <c r="AM154" s="56"/>
      <c r="AN154" s="56"/>
      <c r="AO154" s="56"/>
      <c r="AP154" s="56"/>
      <c r="AQ154" s="131"/>
      <c r="AR154" s="130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</row>
    <row r="155" spans="1:56" x14ac:dyDescent="0.2">
      <c r="A155" s="56">
        <v>14119324</v>
      </c>
      <c r="B155" s="56">
        <v>175385065</v>
      </c>
      <c r="C155" s="56" t="s">
        <v>1878</v>
      </c>
      <c r="D155" s="56" t="s">
        <v>1683</v>
      </c>
      <c r="E155" s="56" t="s">
        <v>1047</v>
      </c>
      <c r="F155" s="56">
        <v>204</v>
      </c>
      <c r="G155" s="56">
        <v>12948</v>
      </c>
      <c r="H155" s="56" t="s">
        <v>1048</v>
      </c>
      <c r="I155" s="56" t="s">
        <v>1104</v>
      </c>
      <c r="J155" s="129">
        <v>46234</v>
      </c>
      <c r="K155" s="130">
        <v>0.20833333333333334</v>
      </c>
      <c r="L155" s="130">
        <v>0.22083333333333333</v>
      </c>
      <c r="M155" s="56" t="s">
        <v>1050</v>
      </c>
      <c r="N155" s="129">
        <v>46234</v>
      </c>
      <c r="O155" s="130">
        <v>0.2673611111111111</v>
      </c>
      <c r="P155" s="130">
        <v>0.24879629629629629</v>
      </c>
      <c r="Q155" s="56" t="s">
        <v>1050</v>
      </c>
      <c r="R155" s="56" t="s">
        <v>241</v>
      </c>
      <c r="S155" s="56">
        <v>31</v>
      </c>
      <c r="T155" s="131">
        <v>1.2499999999999983E-2</v>
      </c>
      <c r="U155" s="130">
        <v>-1.8564814814814812E-2</v>
      </c>
      <c r="V155" s="56" t="s">
        <v>1051</v>
      </c>
      <c r="W155" s="56" t="s">
        <v>1052</v>
      </c>
      <c r="X155" s="56" t="s">
        <v>1053</v>
      </c>
      <c r="Y155" s="56">
        <v>31</v>
      </c>
      <c r="Z155" s="56" t="s">
        <v>1054</v>
      </c>
      <c r="AA155" s="56" t="s">
        <v>1684</v>
      </c>
      <c r="AB155" s="56" t="s">
        <v>1106</v>
      </c>
      <c r="AC155" s="56" t="s">
        <v>1078</v>
      </c>
      <c r="AD155" s="56" t="s">
        <v>1685</v>
      </c>
      <c r="AE155" s="56" t="s">
        <v>1686</v>
      </c>
      <c r="AF155" s="56" t="s">
        <v>1060</v>
      </c>
      <c r="AG155" s="56" t="s">
        <v>1879</v>
      </c>
      <c r="AH155" s="56"/>
      <c r="AI155" s="56"/>
      <c r="AJ155" s="56"/>
      <c r="AK155" s="56"/>
      <c r="AL155" s="56"/>
      <c r="AM155" s="56"/>
      <c r="AN155" s="56"/>
      <c r="AO155" s="56"/>
      <c r="AP155" s="56"/>
      <c r="AQ155" s="131"/>
      <c r="AR155" s="130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</row>
    <row r="156" spans="1:56" x14ac:dyDescent="0.2">
      <c r="A156" s="56">
        <v>14122510</v>
      </c>
      <c r="B156" s="56">
        <v>175376983</v>
      </c>
      <c r="C156" s="56" t="s">
        <v>1880</v>
      </c>
      <c r="D156" s="56" t="s">
        <v>1881</v>
      </c>
      <c r="E156" s="56" t="s">
        <v>1047</v>
      </c>
      <c r="F156" s="56">
        <v>35</v>
      </c>
      <c r="G156" s="56">
        <v>13844</v>
      </c>
      <c r="H156" s="56" t="s">
        <v>1048</v>
      </c>
      <c r="I156" s="56" t="s">
        <v>1118</v>
      </c>
      <c r="J156" s="129">
        <v>46234</v>
      </c>
      <c r="K156" s="130">
        <v>0.20902777777777778</v>
      </c>
      <c r="L156" s="130">
        <v>0.21249999999999999</v>
      </c>
      <c r="M156" s="56" t="s">
        <v>1050</v>
      </c>
      <c r="N156" s="129">
        <v>46234</v>
      </c>
      <c r="O156" s="130">
        <v>0.2673611111111111</v>
      </c>
      <c r="P156" s="130">
        <v>0.25820601851851854</v>
      </c>
      <c r="Q156" s="56" t="s">
        <v>1050</v>
      </c>
      <c r="R156" s="56" t="s">
        <v>424</v>
      </c>
      <c r="S156" s="56">
        <v>31</v>
      </c>
      <c r="T156" s="131">
        <v>3.4722222222222099E-3</v>
      </c>
      <c r="U156" s="130">
        <v>-9.1550925925925619E-3</v>
      </c>
      <c r="V156" s="56" t="s">
        <v>1051</v>
      </c>
      <c r="W156" s="56" t="s">
        <v>1052</v>
      </c>
      <c r="X156" s="56" t="s">
        <v>1053</v>
      </c>
      <c r="Y156" s="56">
        <v>31</v>
      </c>
      <c r="Z156" s="56" t="s">
        <v>1054</v>
      </c>
      <c r="AA156" s="56" t="s">
        <v>1882</v>
      </c>
      <c r="AB156" s="56" t="s">
        <v>1120</v>
      </c>
      <c r="AC156" s="56" t="s">
        <v>1078</v>
      </c>
      <c r="AD156" s="56" t="s">
        <v>1883</v>
      </c>
      <c r="AE156" s="56" t="s">
        <v>1884</v>
      </c>
      <c r="AF156" s="56" t="s">
        <v>1060</v>
      </c>
      <c r="AG156" s="56" t="s">
        <v>1885</v>
      </c>
      <c r="AH156" s="56"/>
      <c r="AI156" s="56"/>
      <c r="AJ156" s="56"/>
      <c r="AK156" s="56"/>
      <c r="AL156" s="56"/>
      <c r="AM156" s="56"/>
      <c r="AN156" s="56"/>
      <c r="AO156" s="56"/>
      <c r="AP156" s="56"/>
      <c r="AQ156" s="131"/>
      <c r="AR156" s="130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</row>
    <row r="157" spans="1:56" x14ac:dyDescent="0.2">
      <c r="A157" s="56">
        <v>14107967</v>
      </c>
      <c r="B157" s="56">
        <v>175376933</v>
      </c>
      <c r="C157" s="56" t="s">
        <v>1130</v>
      </c>
      <c r="D157" s="56" t="s">
        <v>1131</v>
      </c>
      <c r="E157" s="56" t="s">
        <v>1047</v>
      </c>
      <c r="F157" s="56">
        <v>15</v>
      </c>
      <c r="G157" s="56">
        <v>16734</v>
      </c>
      <c r="H157" s="56" t="s">
        <v>1048</v>
      </c>
      <c r="I157" s="56" t="s">
        <v>1118</v>
      </c>
      <c r="J157" s="129">
        <v>46234</v>
      </c>
      <c r="K157" s="130">
        <v>0.21180555555555555</v>
      </c>
      <c r="L157" s="130">
        <v>0.21527777777777779</v>
      </c>
      <c r="M157" s="56" t="s">
        <v>1050</v>
      </c>
      <c r="N157" s="129">
        <v>46234</v>
      </c>
      <c r="O157" s="130">
        <v>0.2673611111111111</v>
      </c>
      <c r="P157" s="130">
        <v>0.25337962962962962</v>
      </c>
      <c r="Q157" s="56" t="s">
        <v>1050</v>
      </c>
      <c r="R157" s="56" t="s">
        <v>67</v>
      </c>
      <c r="S157" s="56">
        <v>31</v>
      </c>
      <c r="T157" s="131">
        <v>3.4722222222222376E-3</v>
      </c>
      <c r="U157" s="130">
        <v>-1.3981481481481484E-2</v>
      </c>
      <c r="V157" s="56" t="s">
        <v>1051</v>
      </c>
      <c r="W157" s="56" t="s">
        <v>1052</v>
      </c>
      <c r="X157" s="56" t="s">
        <v>1053</v>
      </c>
      <c r="Y157" s="56">
        <v>31</v>
      </c>
      <c r="Z157" s="56" t="s">
        <v>1054</v>
      </c>
      <c r="AA157" s="56" t="s">
        <v>1133</v>
      </c>
      <c r="AB157" s="56" t="s">
        <v>1120</v>
      </c>
      <c r="AC157" s="56" t="s">
        <v>1078</v>
      </c>
      <c r="AD157" s="56" t="s">
        <v>1134</v>
      </c>
      <c r="AE157" s="56" t="s">
        <v>1135</v>
      </c>
      <c r="AF157" s="56" t="s">
        <v>1060</v>
      </c>
      <c r="AG157" s="56" t="s">
        <v>1136</v>
      </c>
      <c r="AH157" s="56"/>
      <c r="AI157" s="56"/>
      <c r="AJ157" s="56"/>
      <c r="AK157" s="56"/>
      <c r="AL157" s="56"/>
      <c r="AM157" s="56"/>
      <c r="AN157" s="56"/>
      <c r="AO157" s="56"/>
      <c r="AP157" s="56"/>
      <c r="AQ157" s="131"/>
      <c r="AR157" s="130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</row>
    <row r="158" spans="1:56" x14ac:dyDescent="0.2">
      <c r="A158" s="56">
        <v>14122673</v>
      </c>
      <c r="B158" s="56">
        <v>175376937</v>
      </c>
      <c r="C158" s="56" t="s">
        <v>1450</v>
      </c>
      <c r="D158" s="56" t="s">
        <v>1451</v>
      </c>
      <c r="E158" s="56" t="s">
        <v>1047</v>
      </c>
      <c r="F158" s="56">
        <v>17</v>
      </c>
      <c r="G158" s="56">
        <v>6352</v>
      </c>
      <c r="H158" s="56" t="s">
        <v>1048</v>
      </c>
      <c r="I158" s="56" t="s">
        <v>1118</v>
      </c>
      <c r="J158" s="129">
        <v>46234</v>
      </c>
      <c r="K158" s="130">
        <v>0.21319444444444444</v>
      </c>
      <c r="L158" s="130">
        <v>0.21736111111111112</v>
      </c>
      <c r="M158" s="56" t="s">
        <v>1050</v>
      </c>
      <c r="N158" s="129">
        <v>46234</v>
      </c>
      <c r="O158" s="130">
        <v>0.2673611111111111</v>
      </c>
      <c r="P158" s="130">
        <v>0.25322916666666667</v>
      </c>
      <c r="Q158" s="56" t="s">
        <v>1050</v>
      </c>
      <c r="R158" s="56" t="s">
        <v>432</v>
      </c>
      <c r="S158" s="56">
        <v>31</v>
      </c>
      <c r="T158" s="131">
        <v>4.1666666666666796E-3</v>
      </c>
      <c r="U158" s="130">
        <v>-1.4131944444444433E-2</v>
      </c>
      <c r="V158" s="56" t="s">
        <v>1051</v>
      </c>
      <c r="W158" s="56" t="s">
        <v>1052</v>
      </c>
      <c r="X158" s="56" t="s">
        <v>1053</v>
      </c>
      <c r="Y158" s="56">
        <v>31</v>
      </c>
      <c r="Z158" s="56" t="s">
        <v>1054</v>
      </c>
      <c r="AA158" s="56" t="s">
        <v>1452</v>
      </c>
      <c r="AB158" s="56" t="s">
        <v>1120</v>
      </c>
      <c r="AC158" s="56" t="s">
        <v>1078</v>
      </c>
      <c r="AD158" s="56" t="s">
        <v>1453</v>
      </c>
      <c r="AE158" s="56" t="s">
        <v>1454</v>
      </c>
      <c r="AF158" s="56" t="s">
        <v>1060</v>
      </c>
      <c r="AG158" s="56" t="s">
        <v>1455</v>
      </c>
      <c r="AH158" s="56"/>
      <c r="AI158" s="56"/>
      <c r="AJ158" s="56"/>
      <c r="AK158" s="56"/>
      <c r="AL158" s="56"/>
      <c r="AM158" s="56"/>
      <c r="AN158" s="56"/>
      <c r="AO158" s="56"/>
      <c r="AP158" s="56"/>
      <c r="AQ158" s="131"/>
      <c r="AR158" s="130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</row>
    <row r="159" spans="1:56" x14ac:dyDescent="0.2">
      <c r="A159" s="56">
        <v>14121994</v>
      </c>
      <c r="B159" s="56">
        <v>175367473</v>
      </c>
      <c r="C159" s="56" t="s">
        <v>1886</v>
      </c>
      <c r="D159" s="56" t="s">
        <v>1627</v>
      </c>
      <c r="E159" s="56" t="s">
        <v>1047</v>
      </c>
      <c r="F159" s="56">
        <v>68</v>
      </c>
      <c r="G159" s="56">
        <v>13416</v>
      </c>
      <c r="H159" s="56" t="s">
        <v>1048</v>
      </c>
      <c r="I159" s="56" t="s">
        <v>1075</v>
      </c>
      <c r="J159" s="129">
        <v>46234</v>
      </c>
      <c r="K159" s="130">
        <v>0.21527777777777779</v>
      </c>
      <c r="L159" s="130">
        <v>0.22500000000000001</v>
      </c>
      <c r="M159" s="56" t="s">
        <v>1050</v>
      </c>
      <c r="N159" s="129">
        <v>46234</v>
      </c>
      <c r="O159" s="130">
        <v>0.2673611111111111</v>
      </c>
      <c r="P159" s="130">
        <v>0.25549768518518517</v>
      </c>
      <c r="Q159" s="56" t="s">
        <v>1050</v>
      </c>
      <c r="R159" s="56" t="s">
        <v>370</v>
      </c>
      <c r="S159" s="56">
        <v>31</v>
      </c>
      <c r="T159" s="131">
        <v>9.7222222222222154E-3</v>
      </c>
      <c r="U159" s="130">
        <v>-1.186342592592593E-2</v>
      </c>
      <c r="V159" s="56" t="s">
        <v>1051</v>
      </c>
      <c r="W159" s="56" t="s">
        <v>1052</v>
      </c>
      <c r="X159" s="56" t="s">
        <v>1053</v>
      </c>
      <c r="Y159" s="56">
        <v>31</v>
      </c>
      <c r="Z159" s="56" t="s">
        <v>1054</v>
      </c>
      <c r="AA159" s="56" t="s">
        <v>1628</v>
      </c>
      <c r="AB159" s="56" t="s">
        <v>1077</v>
      </c>
      <c r="AC159" s="56" t="s">
        <v>1078</v>
      </c>
      <c r="AD159" s="56" t="s">
        <v>1629</v>
      </c>
      <c r="AE159" s="56" t="s">
        <v>1630</v>
      </c>
      <c r="AF159" s="56" t="s">
        <v>1060</v>
      </c>
      <c r="AG159" s="56" t="s">
        <v>1887</v>
      </c>
      <c r="AH159" s="56"/>
      <c r="AI159" s="56"/>
      <c r="AJ159" s="56"/>
      <c r="AK159" s="56"/>
      <c r="AL159" s="56"/>
      <c r="AM159" s="56"/>
      <c r="AN159" s="56"/>
      <c r="AO159" s="56"/>
      <c r="AP159" s="56"/>
      <c r="AQ159" s="131"/>
      <c r="AR159" s="130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</row>
    <row r="160" spans="1:56" x14ac:dyDescent="0.2">
      <c r="A160" s="56">
        <v>14122617</v>
      </c>
      <c r="B160" s="56">
        <v>175388458</v>
      </c>
      <c r="C160" s="56" t="s">
        <v>1888</v>
      </c>
      <c r="D160" s="56" t="s">
        <v>1889</v>
      </c>
      <c r="E160" s="56" t="s">
        <v>1047</v>
      </c>
      <c r="F160" s="56">
        <v>15</v>
      </c>
      <c r="G160" s="56">
        <v>6655</v>
      </c>
      <c r="H160" s="56" t="s">
        <v>1048</v>
      </c>
      <c r="I160" s="56" t="s">
        <v>1090</v>
      </c>
      <c r="J160" s="129">
        <v>46234</v>
      </c>
      <c r="K160" s="130">
        <v>0.21875</v>
      </c>
      <c r="L160" s="130">
        <v>0.2388888888888889</v>
      </c>
      <c r="M160" s="56" t="s">
        <v>1050</v>
      </c>
      <c r="N160" s="129">
        <v>46234</v>
      </c>
      <c r="O160" s="130">
        <v>0.2673611111111111</v>
      </c>
      <c r="P160" s="130">
        <v>0.26824074074074072</v>
      </c>
      <c r="Q160" s="56" t="s">
        <v>1050</v>
      </c>
      <c r="R160" s="56" t="s">
        <v>429</v>
      </c>
      <c r="S160" s="56">
        <v>31</v>
      </c>
      <c r="T160" s="131">
        <v>2.0138888888888901E-2</v>
      </c>
      <c r="U160" s="130">
        <v>8.796296296296191E-4</v>
      </c>
      <c r="V160" s="56" t="s">
        <v>1051</v>
      </c>
      <c r="W160" s="56" t="s">
        <v>1052</v>
      </c>
      <c r="X160" s="56" t="s">
        <v>1053</v>
      </c>
      <c r="Y160" s="56">
        <v>31</v>
      </c>
      <c r="Z160" s="56" t="s">
        <v>1054</v>
      </c>
      <c r="AA160" s="56" t="s">
        <v>1890</v>
      </c>
      <c r="AB160" s="56" t="s">
        <v>1092</v>
      </c>
      <c r="AC160" s="56" t="s">
        <v>1078</v>
      </c>
      <c r="AD160" s="56" t="s">
        <v>1891</v>
      </c>
      <c r="AE160" s="56" t="s">
        <v>1892</v>
      </c>
      <c r="AF160" s="56" t="s">
        <v>1060</v>
      </c>
      <c r="AG160" s="56" t="s">
        <v>1893</v>
      </c>
      <c r="AH160" s="56"/>
      <c r="AI160" s="56"/>
      <c r="AJ160" s="56"/>
      <c r="AK160" s="56"/>
      <c r="AL160" s="56"/>
      <c r="AM160" s="56"/>
      <c r="AN160" s="56"/>
      <c r="AO160" s="56"/>
      <c r="AP160" s="56"/>
      <c r="AQ160" s="131"/>
      <c r="AR160" s="130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</row>
    <row r="161" spans="1:56" x14ac:dyDescent="0.2">
      <c r="A161" s="56">
        <v>14114320</v>
      </c>
      <c r="B161" s="56">
        <v>175386790</v>
      </c>
      <c r="C161" s="56" t="s">
        <v>1894</v>
      </c>
      <c r="D161" s="56" t="s">
        <v>1895</v>
      </c>
      <c r="E161" s="56" t="s">
        <v>1047</v>
      </c>
      <c r="F161" s="56">
        <v>221</v>
      </c>
      <c r="G161" s="56">
        <v>13377</v>
      </c>
      <c r="H161" s="56" t="s">
        <v>1048</v>
      </c>
      <c r="I161" s="56" t="s">
        <v>1676</v>
      </c>
      <c r="J161" s="129">
        <v>46234</v>
      </c>
      <c r="K161" s="130">
        <v>0.22222222222222221</v>
      </c>
      <c r="L161" s="130">
        <v>0.23194444444444445</v>
      </c>
      <c r="M161" s="56" t="s">
        <v>1050</v>
      </c>
      <c r="N161" s="129">
        <v>46234</v>
      </c>
      <c r="O161" s="130">
        <v>0.2673611111111111</v>
      </c>
      <c r="P161" s="130">
        <v>0.26150462962962961</v>
      </c>
      <c r="Q161" s="56" t="s">
        <v>1050</v>
      </c>
      <c r="R161" s="56" t="s">
        <v>312</v>
      </c>
      <c r="S161" s="56">
        <v>31</v>
      </c>
      <c r="T161" s="131">
        <v>9.7222222222222432E-3</v>
      </c>
      <c r="U161" s="130">
        <v>-5.8564814814814903E-3</v>
      </c>
      <c r="V161" s="56" t="s">
        <v>1051</v>
      </c>
      <c r="W161" s="56" t="s">
        <v>1052</v>
      </c>
      <c r="X161" s="56" t="s">
        <v>1053</v>
      </c>
      <c r="Y161" s="56">
        <v>31</v>
      </c>
      <c r="Z161" s="56" t="s">
        <v>1054</v>
      </c>
      <c r="AA161" s="56" t="s">
        <v>1896</v>
      </c>
      <c r="AB161" s="56" t="s">
        <v>1678</v>
      </c>
      <c r="AC161" s="56" t="s">
        <v>1078</v>
      </c>
      <c r="AD161" s="56" t="s">
        <v>1897</v>
      </c>
      <c r="AE161" s="56" t="s">
        <v>1898</v>
      </c>
      <c r="AF161" s="56" t="s">
        <v>1060</v>
      </c>
      <c r="AG161" s="56" t="s">
        <v>1899</v>
      </c>
      <c r="AH161" s="56"/>
      <c r="AI161" s="56"/>
      <c r="AJ161" s="56"/>
      <c r="AK161" s="56"/>
      <c r="AL161" s="56"/>
      <c r="AM161" s="56"/>
      <c r="AN161" s="56"/>
      <c r="AO161" s="56"/>
      <c r="AP161" s="56"/>
      <c r="AQ161" s="131"/>
      <c r="AR161" s="130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</row>
    <row r="162" spans="1:56" x14ac:dyDescent="0.2">
      <c r="A162" s="56">
        <v>14123568</v>
      </c>
      <c r="B162" s="56">
        <v>175377117</v>
      </c>
      <c r="C162" s="56" t="s">
        <v>1900</v>
      </c>
      <c r="D162" s="56" t="s">
        <v>1901</v>
      </c>
      <c r="E162" s="56" t="s">
        <v>1047</v>
      </c>
      <c r="F162" s="56">
        <v>81</v>
      </c>
      <c r="G162" s="56">
        <v>5440</v>
      </c>
      <c r="H162" s="56" t="s">
        <v>1048</v>
      </c>
      <c r="I162" s="56" t="s">
        <v>1676</v>
      </c>
      <c r="J162" s="129">
        <v>46234</v>
      </c>
      <c r="K162" s="130">
        <v>0.22847222222222222</v>
      </c>
      <c r="L162" s="130">
        <v>0.23819444444444443</v>
      </c>
      <c r="M162" s="56" t="s">
        <v>1050</v>
      </c>
      <c r="N162" s="129">
        <v>46234</v>
      </c>
      <c r="O162" s="130">
        <v>0.2673611111111111</v>
      </c>
      <c r="P162" s="130">
        <v>0.26429398148148148</v>
      </c>
      <c r="Q162" s="56" t="s">
        <v>1050</v>
      </c>
      <c r="R162" s="56" t="s">
        <v>533</v>
      </c>
      <c r="S162" s="56">
        <v>31</v>
      </c>
      <c r="T162" s="131">
        <v>9.7222222222222154E-3</v>
      </c>
      <c r="U162" s="130">
        <v>-3.067129629629628E-3</v>
      </c>
      <c r="V162" s="56" t="s">
        <v>1051</v>
      </c>
      <c r="W162" s="56" t="s">
        <v>1052</v>
      </c>
      <c r="X162" s="56" t="s">
        <v>1053</v>
      </c>
      <c r="Y162" s="56">
        <v>31</v>
      </c>
      <c r="Z162" s="56" t="s">
        <v>1054</v>
      </c>
      <c r="AA162" s="56" t="s">
        <v>1902</v>
      </c>
      <c r="AB162" s="56" t="s">
        <v>1678</v>
      </c>
      <c r="AC162" s="56" t="s">
        <v>1078</v>
      </c>
      <c r="AD162" s="56" t="s">
        <v>1903</v>
      </c>
      <c r="AE162" s="56" t="s">
        <v>1904</v>
      </c>
      <c r="AF162" s="56" t="s">
        <v>1060</v>
      </c>
      <c r="AG162" s="56" t="s">
        <v>1905</v>
      </c>
      <c r="AH162" s="56"/>
      <c r="AI162" s="56"/>
      <c r="AJ162" s="56"/>
      <c r="AK162" s="56"/>
      <c r="AL162" s="56"/>
      <c r="AM162" s="56"/>
      <c r="AN162" s="56"/>
      <c r="AO162" s="56"/>
      <c r="AP162" s="56"/>
      <c r="AQ162" s="131"/>
      <c r="AR162" s="130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</row>
    <row r="163" spans="1:56" x14ac:dyDescent="0.2">
      <c r="A163" s="56">
        <v>14121791</v>
      </c>
      <c r="B163" s="56">
        <v>175381618</v>
      </c>
      <c r="C163" s="56" t="s">
        <v>1520</v>
      </c>
      <c r="D163" s="56" t="s">
        <v>1521</v>
      </c>
      <c r="E163" s="56" t="s">
        <v>1047</v>
      </c>
      <c r="F163" s="56">
        <v>22</v>
      </c>
      <c r="G163" s="56">
        <v>14687</v>
      </c>
      <c r="H163" s="56" t="s">
        <v>1048</v>
      </c>
      <c r="I163" s="56" t="s">
        <v>1172</v>
      </c>
      <c r="J163" s="129">
        <v>46234</v>
      </c>
      <c r="K163" s="130">
        <v>0.22916666666666666</v>
      </c>
      <c r="L163" s="130">
        <v>0.23680555555555555</v>
      </c>
      <c r="M163" s="56" t="s">
        <v>1050</v>
      </c>
      <c r="N163" s="129">
        <v>46234</v>
      </c>
      <c r="O163" s="130">
        <v>0.28125</v>
      </c>
      <c r="P163" s="130">
        <v>0.27677083333333335</v>
      </c>
      <c r="Q163" s="56" t="s">
        <v>1050</v>
      </c>
      <c r="R163" s="56" t="s">
        <v>354</v>
      </c>
      <c r="S163" s="56">
        <v>31</v>
      </c>
      <c r="T163" s="131">
        <v>7.6388888888888895E-3</v>
      </c>
      <c r="U163" s="130">
        <v>-4.4791666666666452E-3</v>
      </c>
      <c r="V163" s="56" t="s">
        <v>1051</v>
      </c>
      <c r="W163" s="56" t="s">
        <v>1052</v>
      </c>
      <c r="X163" s="56" t="s">
        <v>1053</v>
      </c>
      <c r="Y163" s="56">
        <v>31</v>
      </c>
      <c r="Z163" s="56" t="s">
        <v>1054</v>
      </c>
      <c r="AA163" s="56" t="s">
        <v>1522</v>
      </c>
      <c r="AB163" s="56" t="s">
        <v>1174</v>
      </c>
      <c r="AC163" s="56" t="s">
        <v>1057</v>
      </c>
      <c r="AD163" s="56" t="s">
        <v>1523</v>
      </c>
      <c r="AE163" s="56" t="s">
        <v>1524</v>
      </c>
      <c r="AF163" s="56" t="s">
        <v>1060</v>
      </c>
      <c r="AG163" s="56" t="s">
        <v>1525</v>
      </c>
      <c r="AH163" s="56"/>
      <c r="AI163" s="56"/>
      <c r="AJ163" s="56"/>
      <c r="AK163" s="56"/>
      <c r="AL163" s="56"/>
      <c r="AM163" s="56"/>
      <c r="AN163" s="56"/>
      <c r="AO163" s="56"/>
      <c r="AP163" s="56"/>
      <c r="AQ163" s="131"/>
      <c r="AR163" s="130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</row>
    <row r="164" spans="1:56" x14ac:dyDescent="0.2">
      <c r="A164" s="56">
        <v>14122618</v>
      </c>
      <c r="B164" s="56">
        <v>175381627</v>
      </c>
      <c r="C164" s="56" t="s">
        <v>1906</v>
      </c>
      <c r="D164" s="56" t="s">
        <v>1709</v>
      </c>
      <c r="E164" s="56" t="s">
        <v>1047</v>
      </c>
      <c r="F164" s="56">
        <v>25</v>
      </c>
      <c r="G164" s="56">
        <v>15320</v>
      </c>
      <c r="H164" s="56" t="s">
        <v>1048</v>
      </c>
      <c r="I164" s="56" t="s">
        <v>1172</v>
      </c>
      <c r="J164" s="129">
        <v>46234</v>
      </c>
      <c r="K164" s="130">
        <v>0.22916666666666666</v>
      </c>
      <c r="L164" s="130">
        <v>0.23472222222222222</v>
      </c>
      <c r="M164" s="56" t="s">
        <v>1050</v>
      </c>
      <c r="N164" s="129">
        <v>46234</v>
      </c>
      <c r="O164" s="130">
        <v>0.28125</v>
      </c>
      <c r="P164" s="130">
        <v>0.27525462962962965</v>
      </c>
      <c r="Q164" s="56" t="s">
        <v>1050</v>
      </c>
      <c r="R164" s="56" t="s">
        <v>430</v>
      </c>
      <c r="S164" s="56">
        <v>31</v>
      </c>
      <c r="T164" s="131">
        <v>5.5555555555555636E-3</v>
      </c>
      <c r="U164" s="130">
        <v>-5.9953703703703454E-3</v>
      </c>
      <c r="V164" s="56" t="s">
        <v>1051</v>
      </c>
      <c r="W164" s="56" t="s">
        <v>1052</v>
      </c>
      <c r="X164" s="56" t="s">
        <v>1053</v>
      </c>
      <c r="Y164" s="56">
        <v>31</v>
      </c>
      <c r="Z164" s="56" t="s">
        <v>1054</v>
      </c>
      <c r="AA164" s="56" t="s">
        <v>1710</v>
      </c>
      <c r="AB164" s="56" t="s">
        <v>1174</v>
      </c>
      <c r="AC164" s="56" t="s">
        <v>1057</v>
      </c>
      <c r="AD164" s="56" t="s">
        <v>1711</v>
      </c>
      <c r="AE164" s="56" t="s">
        <v>1712</v>
      </c>
      <c r="AF164" s="56" t="s">
        <v>1060</v>
      </c>
      <c r="AG164" s="56" t="s">
        <v>1907</v>
      </c>
      <c r="AH164" s="56"/>
      <c r="AI164" s="56"/>
      <c r="AJ164" s="56"/>
      <c r="AK164" s="56"/>
      <c r="AL164" s="56"/>
      <c r="AM164" s="56"/>
      <c r="AN164" s="56"/>
      <c r="AO164" s="56"/>
      <c r="AP164" s="56"/>
      <c r="AQ164" s="131"/>
      <c r="AR164" s="130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</row>
    <row r="165" spans="1:56" x14ac:dyDescent="0.2">
      <c r="A165" s="56">
        <v>14116723</v>
      </c>
      <c r="B165" s="56">
        <v>175382870</v>
      </c>
      <c r="C165" s="56" t="s">
        <v>1908</v>
      </c>
      <c r="D165" s="56" t="s">
        <v>1909</v>
      </c>
      <c r="E165" s="56" t="s">
        <v>1047</v>
      </c>
      <c r="F165" s="56">
        <v>30</v>
      </c>
      <c r="G165" s="56">
        <v>15341</v>
      </c>
      <c r="H165" s="56" t="s">
        <v>1048</v>
      </c>
      <c r="I165" s="56" t="s">
        <v>1049</v>
      </c>
      <c r="J165" s="129">
        <v>46234</v>
      </c>
      <c r="K165" s="130">
        <v>0.22916666666666666</v>
      </c>
      <c r="L165" s="130">
        <v>0.39305555555555555</v>
      </c>
      <c r="M165" s="56" t="s">
        <v>1050</v>
      </c>
      <c r="N165" s="129">
        <v>46234</v>
      </c>
      <c r="O165" s="130">
        <v>0.3125</v>
      </c>
      <c r="P165" s="56"/>
      <c r="Q165" s="56" t="s">
        <v>1286</v>
      </c>
      <c r="R165" s="56" t="s">
        <v>168</v>
      </c>
      <c r="S165" s="56">
        <v>31</v>
      </c>
      <c r="T165" s="131">
        <v>0.16388888888888889</v>
      </c>
      <c r="U165" s="130">
        <v>-0.3125</v>
      </c>
      <c r="V165" s="56" t="s">
        <v>1051</v>
      </c>
      <c r="W165" s="56" t="s">
        <v>1052</v>
      </c>
      <c r="X165" s="56" t="s">
        <v>1053</v>
      </c>
      <c r="Y165" s="56">
        <v>31</v>
      </c>
      <c r="Z165" s="56" t="s">
        <v>1054</v>
      </c>
      <c r="AA165" s="56" t="s">
        <v>1910</v>
      </c>
      <c r="AB165" s="56" t="s">
        <v>1056</v>
      </c>
      <c r="AC165" s="56" t="s">
        <v>1057</v>
      </c>
      <c r="AD165" s="56" t="s">
        <v>1911</v>
      </c>
      <c r="AE165" s="56" t="s">
        <v>1912</v>
      </c>
      <c r="AF165" s="56" t="s">
        <v>1060</v>
      </c>
      <c r="AG165" s="56" t="s">
        <v>1913</v>
      </c>
      <c r="AH165" s="56"/>
      <c r="AI165" s="56"/>
      <c r="AJ165" s="56"/>
      <c r="AK165" s="56"/>
      <c r="AL165" s="56"/>
      <c r="AM165" s="56"/>
      <c r="AN165" s="56"/>
      <c r="AO165" s="56"/>
      <c r="AP165" s="56"/>
      <c r="AQ165" s="131"/>
      <c r="AR165" s="130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</row>
    <row r="166" spans="1:56" x14ac:dyDescent="0.2">
      <c r="A166" s="56">
        <v>14111754</v>
      </c>
      <c r="B166" s="56">
        <v>175383355</v>
      </c>
      <c r="C166" s="56" t="s">
        <v>1914</v>
      </c>
      <c r="D166" s="56" t="s">
        <v>1445</v>
      </c>
      <c r="E166" s="56" t="s">
        <v>1047</v>
      </c>
      <c r="F166" s="56">
        <v>63</v>
      </c>
      <c r="G166" s="56">
        <v>17089</v>
      </c>
      <c r="H166" s="56" t="s">
        <v>1048</v>
      </c>
      <c r="I166" s="56" t="s">
        <v>1172</v>
      </c>
      <c r="J166" s="129">
        <v>46234</v>
      </c>
      <c r="K166" s="130">
        <v>0.22916666666666666</v>
      </c>
      <c r="L166" s="130">
        <v>0.2326388888888889</v>
      </c>
      <c r="M166" s="56" t="s">
        <v>1050</v>
      </c>
      <c r="N166" s="129">
        <v>46234</v>
      </c>
      <c r="O166" s="130">
        <v>0.28125</v>
      </c>
      <c r="P166" s="130">
        <v>0.25983796296296297</v>
      </c>
      <c r="Q166" s="56" t="s">
        <v>1050</v>
      </c>
      <c r="R166" s="56" t="s">
        <v>311</v>
      </c>
      <c r="S166" s="56">
        <v>31</v>
      </c>
      <c r="T166" s="131">
        <v>3.4722222222222376E-3</v>
      </c>
      <c r="U166" s="130">
        <v>-2.1412037037037035E-2</v>
      </c>
      <c r="V166" s="56" t="s">
        <v>1051</v>
      </c>
      <c r="W166" s="56" t="s">
        <v>1052</v>
      </c>
      <c r="X166" s="56" t="s">
        <v>1053</v>
      </c>
      <c r="Y166" s="56">
        <v>31</v>
      </c>
      <c r="Z166" s="56" t="s">
        <v>1054</v>
      </c>
      <c r="AA166" s="56" t="s">
        <v>1915</v>
      </c>
      <c r="AB166" s="56" t="s">
        <v>1210</v>
      </c>
      <c r="AC166" s="56" t="s">
        <v>1057</v>
      </c>
      <c r="AD166" s="56" t="s">
        <v>1916</v>
      </c>
      <c r="AE166" s="56" t="s">
        <v>1917</v>
      </c>
      <c r="AF166" s="56" t="s">
        <v>1060</v>
      </c>
      <c r="AG166" s="56" t="s">
        <v>1918</v>
      </c>
      <c r="AH166" s="56"/>
      <c r="AI166" s="56"/>
      <c r="AJ166" s="56"/>
      <c r="AK166" s="56"/>
      <c r="AL166" s="56"/>
      <c r="AM166" s="56"/>
      <c r="AN166" s="56"/>
      <c r="AO166" s="56"/>
      <c r="AP166" s="56"/>
      <c r="AQ166" s="131"/>
      <c r="AR166" s="130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</row>
    <row r="167" spans="1:56" x14ac:dyDescent="0.2">
      <c r="A167" s="56">
        <v>14103936</v>
      </c>
      <c r="B167" s="56">
        <v>175385346</v>
      </c>
      <c r="C167" s="56" t="s">
        <v>1919</v>
      </c>
      <c r="D167" s="56" t="s">
        <v>1920</v>
      </c>
      <c r="E167" s="56" t="s">
        <v>1047</v>
      </c>
      <c r="F167" s="56">
        <v>81</v>
      </c>
      <c r="G167" s="56">
        <v>6566</v>
      </c>
      <c r="H167" s="56" t="s">
        <v>1048</v>
      </c>
      <c r="I167" s="56" t="s">
        <v>1172</v>
      </c>
      <c r="J167" s="129">
        <v>46234</v>
      </c>
      <c r="K167" s="130">
        <v>0.22916666666666666</v>
      </c>
      <c r="L167" s="130">
        <v>0.23541666666666666</v>
      </c>
      <c r="M167" s="56" t="s">
        <v>1050</v>
      </c>
      <c r="N167" s="129">
        <v>46234</v>
      </c>
      <c r="O167" s="130">
        <v>0.28125</v>
      </c>
      <c r="P167" s="130">
        <v>0.26598379629629632</v>
      </c>
      <c r="Q167" s="56" t="s">
        <v>1050</v>
      </c>
      <c r="R167" s="56" t="s">
        <v>1921</v>
      </c>
      <c r="S167" s="56">
        <v>31</v>
      </c>
      <c r="T167" s="131">
        <v>6.2500000000000056E-3</v>
      </c>
      <c r="U167" s="130">
        <v>-1.5266203703703685E-2</v>
      </c>
      <c r="V167" s="56" t="s">
        <v>1051</v>
      </c>
      <c r="W167" s="56" t="s">
        <v>1052</v>
      </c>
      <c r="X167" s="56" t="s">
        <v>1053</v>
      </c>
      <c r="Y167" s="56">
        <v>31</v>
      </c>
      <c r="Z167" s="56" t="s">
        <v>1054</v>
      </c>
      <c r="AA167" s="56" t="s">
        <v>1922</v>
      </c>
      <c r="AB167" s="56" t="s">
        <v>1174</v>
      </c>
      <c r="AC167" s="56" t="s">
        <v>1057</v>
      </c>
      <c r="AD167" s="56" t="s">
        <v>1923</v>
      </c>
      <c r="AE167" s="56" t="s">
        <v>1924</v>
      </c>
      <c r="AF167" s="56" t="s">
        <v>1060</v>
      </c>
      <c r="AG167" s="56" t="s">
        <v>1925</v>
      </c>
      <c r="AH167" s="56"/>
      <c r="AI167" s="56"/>
      <c r="AJ167" s="56"/>
      <c r="AK167" s="56"/>
      <c r="AL167" s="56"/>
      <c r="AM167" s="56"/>
      <c r="AN167" s="56"/>
      <c r="AO167" s="56"/>
      <c r="AP167" s="56"/>
      <c r="AQ167" s="131"/>
      <c r="AR167" s="130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</row>
    <row r="168" spans="1:56" x14ac:dyDescent="0.2">
      <c r="A168" s="56">
        <v>14123725</v>
      </c>
      <c r="B168" s="56">
        <v>175387771</v>
      </c>
      <c r="C168" s="56" t="s">
        <v>1170</v>
      </c>
      <c r="D168" s="56" t="s">
        <v>1171</v>
      </c>
      <c r="E168" s="56" t="s">
        <v>1047</v>
      </c>
      <c r="F168" s="56">
        <v>98</v>
      </c>
      <c r="G168" s="56">
        <v>13371</v>
      </c>
      <c r="H168" s="56" t="s">
        <v>1048</v>
      </c>
      <c r="I168" s="56" t="s">
        <v>1172</v>
      </c>
      <c r="J168" s="129">
        <v>46234</v>
      </c>
      <c r="K168" s="130">
        <v>0.22916666666666666</v>
      </c>
      <c r="L168" s="130">
        <v>0.23958333333333334</v>
      </c>
      <c r="M168" s="56" t="s">
        <v>1050</v>
      </c>
      <c r="N168" s="129">
        <v>46234</v>
      </c>
      <c r="O168" s="130">
        <v>0.28125</v>
      </c>
      <c r="P168" s="130">
        <v>0.27148148148148149</v>
      </c>
      <c r="Q168" s="56" t="s">
        <v>1050</v>
      </c>
      <c r="R168" s="56" t="s">
        <v>956</v>
      </c>
      <c r="S168" s="56">
        <v>31</v>
      </c>
      <c r="T168" s="131">
        <v>1.0416666666666685E-2</v>
      </c>
      <c r="U168" s="130">
        <v>-9.7685185185185097E-3</v>
      </c>
      <c r="V168" s="56" t="s">
        <v>1051</v>
      </c>
      <c r="W168" s="56" t="s">
        <v>1052</v>
      </c>
      <c r="X168" s="56" t="s">
        <v>1053</v>
      </c>
      <c r="Y168" s="56">
        <v>31</v>
      </c>
      <c r="Z168" s="56" t="s">
        <v>1054</v>
      </c>
      <c r="AA168" s="56" t="s">
        <v>1173</v>
      </c>
      <c r="AB168" s="56" t="s">
        <v>1174</v>
      </c>
      <c r="AC168" s="56" t="s">
        <v>1057</v>
      </c>
      <c r="AD168" s="56" t="s">
        <v>1175</v>
      </c>
      <c r="AE168" s="56" t="s">
        <v>1176</v>
      </c>
      <c r="AF168" s="56" t="s">
        <v>1060</v>
      </c>
      <c r="AG168" s="56" t="s">
        <v>1177</v>
      </c>
      <c r="AH168" s="56"/>
      <c r="AI168" s="56"/>
      <c r="AJ168" s="56"/>
      <c r="AK168" s="56"/>
      <c r="AL168" s="56"/>
      <c r="AM168" s="56"/>
      <c r="AN168" s="56"/>
      <c r="AO168" s="56"/>
      <c r="AP168" s="56"/>
      <c r="AQ168" s="131"/>
      <c r="AR168" s="130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</row>
    <row r="169" spans="1:56" x14ac:dyDescent="0.2">
      <c r="A169" s="56">
        <v>14122419</v>
      </c>
      <c r="B169" s="56">
        <v>175382343</v>
      </c>
      <c r="C169" s="56" t="s">
        <v>1526</v>
      </c>
      <c r="D169" s="56" t="s">
        <v>1527</v>
      </c>
      <c r="E169" s="56" t="s">
        <v>1047</v>
      </c>
      <c r="F169" s="56">
        <v>32</v>
      </c>
      <c r="G169" s="56">
        <v>15315</v>
      </c>
      <c r="H169" s="56" t="s">
        <v>1048</v>
      </c>
      <c r="I169" s="56" t="s">
        <v>1172</v>
      </c>
      <c r="J169" s="129">
        <v>46234</v>
      </c>
      <c r="K169" s="130">
        <v>0.23194444444444445</v>
      </c>
      <c r="L169" s="130">
        <v>0.24374999999999999</v>
      </c>
      <c r="M169" s="56" t="s">
        <v>1050</v>
      </c>
      <c r="N169" s="129">
        <v>46234</v>
      </c>
      <c r="O169" s="130">
        <v>0.28125</v>
      </c>
      <c r="P169" s="130">
        <v>0.27687499999999998</v>
      </c>
      <c r="Q169" s="56" t="s">
        <v>1050</v>
      </c>
      <c r="R169" s="56" t="s">
        <v>1528</v>
      </c>
      <c r="S169" s="56">
        <v>31</v>
      </c>
      <c r="T169" s="131">
        <v>1.1805555555555541E-2</v>
      </c>
      <c r="U169" s="130">
        <v>-4.3750000000000178E-3</v>
      </c>
      <c r="V169" s="56" t="s">
        <v>1051</v>
      </c>
      <c r="W169" s="56" t="s">
        <v>1052</v>
      </c>
      <c r="X169" s="56" t="s">
        <v>1053</v>
      </c>
      <c r="Y169" s="56">
        <v>31</v>
      </c>
      <c r="Z169" s="56" t="s">
        <v>1054</v>
      </c>
      <c r="AA169" s="56" t="s">
        <v>1529</v>
      </c>
      <c r="AB169" s="56" t="s">
        <v>1210</v>
      </c>
      <c r="AC169" s="56" t="s">
        <v>1057</v>
      </c>
      <c r="AD169" s="56" t="s">
        <v>1530</v>
      </c>
      <c r="AE169" s="56" t="s">
        <v>1531</v>
      </c>
      <c r="AF169" s="56" t="s">
        <v>1060</v>
      </c>
      <c r="AG169" s="56" t="s">
        <v>1532</v>
      </c>
      <c r="AH169" s="56"/>
      <c r="AI169" s="56"/>
      <c r="AJ169" s="56"/>
      <c r="AK169" s="56"/>
      <c r="AL169" s="56"/>
      <c r="AM169" s="56"/>
      <c r="AN169" s="56"/>
      <c r="AO169" s="56"/>
      <c r="AP169" s="56"/>
      <c r="AQ169" s="131"/>
      <c r="AR169" s="130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</row>
    <row r="170" spans="1:56" x14ac:dyDescent="0.2">
      <c r="A170" s="56">
        <v>14112026</v>
      </c>
      <c r="B170" s="56">
        <v>175389237</v>
      </c>
      <c r="C170" s="56" t="s">
        <v>1539</v>
      </c>
      <c r="D170" s="56" t="s">
        <v>1540</v>
      </c>
      <c r="E170" s="56" t="s">
        <v>1047</v>
      </c>
      <c r="F170" s="56">
        <v>139</v>
      </c>
      <c r="G170" s="56">
        <v>10359</v>
      </c>
      <c r="H170" s="56" t="s">
        <v>1048</v>
      </c>
      <c r="I170" s="56" t="s">
        <v>1172</v>
      </c>
      <c r="J170" s="129">
        <v>46234</v>
      </c>
      <c r="K170" s="130">
        <v>0.2361111111111111</v>
      </c>
      <c r="L170" s="130">
        <v>0.24305555555555555</v>
      </c>
      <c r="M170" s="56" t="s">
        <v>1050</v>
      </c>
      <c r="N170" s="129">
        <v>46234</v>
      </c>
      <c r="O170" s="130">
        <v>0.28125</v>
      </c>
      <c r="P170" s="130">
        <v>0.27349537037037036</v>
      </c>
      <c r="Q170" s="56" t="s">
        <v>1050</v>
      </c>
      <c r="R170" s="56" t="s">
        <v>1541</v>
      </c>
      <c r="S170" s="56">
        <v>31</v>
      </c>
      <c r="T170" s="131">
        <v>6.9444444444444475E-3</v>
      </c>
      <c r="U170" s="130">
        <v>-7.7546296296296391E-3</v>
      </c>
      <c r="V170" s="56" t="s">
        <v>1051</v>
      </c>
      <c r="W170" s="56" t="s">
        <v>1052</v>
      </c>
      <c r="X170" s="56" t="s">
        <v>1053</v>
      </c>
      <c r="Y170" s="56">
        <v>31</v>
      </c>
      <c r="Z170" s="56" t="s">
        <v>1054</v>
      </c>
      <c r="AA170" s="56" t="s">
        <v>1542</v>
      </c>
      <c r="AB170" s="56" t="s">
        <v>1210</v>
      </c>
      <c r="AC170" s="56" t="s">
        <v>1057</v>
      </c>
      <c r="AD170" s="56" t="s">
        <v>1543</v>
      </c>
      <c r="AE170" s="56" t="s">
        <v>1544</v>
      </c>
      <c r="AF170" s="56" t="s">
        <v>1060</v>
      </c>
      <c r="AG170" s="56" t="s">
        <v>1545</v>
      </c>
      <c r="AH170" s="56"/>
      <c r="AI170" s="56"/>
      <c r="AJ170" s="56"/>
      <c r="AK170" s="56"/>
      <c r="AL170" s="56"/>
      <c r="AM170" s="56"/>
      <c r="AN170" s="56"/>
      <c r="AO170" s="56"/>
      <c r="AP170" s="56"/>
      <c r="AQ170" s="131"/>
      <c r="AR170" s="130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</row>
    <row r="171" spans="1:56" x14ac:dyDescent="0.2">
      <c r="A171" s="56">
        <v>14118745</v>
      </c>
      <c r="B171" s="56">
        <v>175388651</v>
      </c>
      <c r="C171" s="56" t="s">
        <v>1926</v>
      </c>
      <c r="D171" s="56" t="s">
        <v>1927</v>
      </c>
      <c r="E171" s="56" t="s">
        <v>1047</v>
      </c>
      <c r="F171" s="56">
        <v>116</v>
      </c>
      <c r="G171" s="56">
        <v>14693</v>
      </c>
      <c r="H171" s="56" t="s">
        <v>1048</v>
      </c>
      <c r="I171" s="56" t="s">
        <v>1172</v>
      </c>
      <c r="J171" s="129">
        <v>46234</v>
      </c>
      <c r="K171" s="130">
        <v>0.24097222222222223</v>
      </c>
      <c r="L171" s="130">
        <v>0.24583333333333332</v>
      </c>
      <c r="M171" s="56" t="s">
        <v>1050</v>
      </c>
      <c r="N171" s="129">
        <v>46234</v>
      </c>
      <c r="O171" s="130">
        <v>0.28125</v>
      </c>
      <c r="P171" s="130">
        <v>0.26693287037037039</v>
      </c>
      <c r="Q171" s="56" t="s">
        <v>1050</v>
      </c>
      <c r="R171" s="56" t="s">
        <v>209</v>
      </c>
      <c r="S171" s="56">
        <v>31</v>
      </c>
      <c r="T171" s="131">
        <v>4.8611111111110938E-3</v>
      </c>
      <c r="U171" s="130">
        <v>-1.431712962962961E-2</v>
      </c>
      <c r="V171" s="56" t="s">
        <v>1051</v>
      </c>
      <c r="W171" s="56" t="s">
        <v>1052</v>
      </c>
      <c r="X171" s="56" t="s">
        <v>1053</v>
      </c>
      <c r="Y171" s="56">
        <v>31</v>
      </c>
      <c r="Z171" s="56" t="s">
        <v>1054</v>
      </c>
      <c r="AA171" s="56" t="s">
        <v>1928</v>
      </c>
      <c r="AB171" s="56" t="s">
        <v>1174</v>
      </c>
      <c r="AC171" s="56" t="s">
        <v>1057</v>
      </c>
      <c r="AD171" s="56" t="s">
        <v>1929</v>
      </c>
      <c r="AE171" s="56" t="s">
        <v>1930</v>
      </c>
      <c r="AF171" s="56" t="s">
        <v>1060</v>
      </c>
      <c r="AG171" s="56" t="s">
        <v>1931</v>
      </c>
      <c r="AH171" s="56"/>
      <c r="AI171" s="56"/>
      <c r="AJ171" s="56"/>
      <c r="AK171" s="56"/>
      <c r="AL171" s="56"/>
      <c r="AM171" s="56"/>
      <c r="AN171" s="56"/>
      <c r="AO171" s="56"/>
      <c r="AP171" s="56"/>
      <c r="AQ171" s="131"/>
      <c r="AR171" s="130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</row>
    <row r="172" spans="1:56" x14ac:dyDescent="0.2">
      <c r="A172" s="56">
        <v>14110604</v>
      </c>
      <c r="B172" s="56">
        <v>175382868</v>
      </c>
      <c r="C172" s="56" t="s">
        <v>1932</v>
      </c>
      <c r="D172" s="56" t="s">
        <v>1933</v>
      </c>
      <c r="E172" s="56" t="s">
        <v>1047</v>
      </c>
      <c r="F172" s="56">
        <v>28</v>
      </c>
      <c r="G172" s="56">
        <v>15485</v>
      </c>
      <c r="H172" s="56" t="s">
        <v>1048</v>
      </c>
      <c r="I172" s="56" t="s">
        <v>1049</v>
      </c>
      <c r="J172" s="129">
        <v>46234</v>
      </c>
      <c r="K172" s="130">
        <v>0.26041666666666669</v>
      </c>
      <c r="L172" s="130">
        <v>0.26666666666666666</v>
      </c>
      <c r="M172" s="56" t="s">
        <v>1050</v>
      </c>
      <c r="N172" s="129">
        <v>46234</v>
      </c>
      <c r="O172" s="130">
        <v>0.3125</v>
      </c>
      <c r="P172" s="130">
        <v>0.29940972222222223</v>
      </c>
      <c r="Q172" s="56" t="s">
        <v>1050</v>
      </c>
      <c r="R172" s="56" t="s">
        <v>330</v>
      </c>
      <c r="S172" s="56">
        <v>31</v>
      </c>
      <c r="T172" s="131">
        <v>6.2499999999999778E-3</v>
      </c>
      <c r="U172" s="130">
        <v>-1.309027777777777E-2</v>
      </c>
      <c r="V172" s="56" t="s">
        <v>1051</v>
      </c>
      <c r="W172" s="56" t="s">
        <v>1052</v>
      </c>
      <c r="X172" s="56" t="s">
        <v>1053</v>
      </c>
      <c r="Y172" s="56">
        <v>31</v>
      </c>
      <c r="Z172" s="56" t="s">
        <v>1054</v>
      </c>
      <c r="AA172" s="56" t="s">
        <v>1934</v>
      </c>
      <c r="AB172" s="56" t="s">
        <v>1056</v>
      </c>
      <c r="AC172" s="56" t="s">
        <v>1057</v>
      </c>
      <c r="AD172" s="56" t="s">
        <v>1935</v>
      </c>
      <c r="AE172" s="56" t="s">
        <v>1936</v>
      </c>
      <c r="AF172" s="56" t="s">
        <v>1060</v>
      </c>
      <c r="AG172" s="56" t="s">
        <v>1937</v>
      </c>
      <c r="AH172" s="56"/>
      <c r="AI172" s="56"/>
      <c r="AJ172" s="56"/>
      <c r="AK172" s="56"/>
      <c r="AL172" s="56"/>
      <c r="AM172" s="56"/>
      <c r="AN172" s="56"/>
      <c r="AO172" s="56"/>
      <c r="AP172" s="56"/>
      <c r="AQ172" s="131"/>
      <c r="AR172" s="130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</row>
    <row r="173" spans="1:56" x14ac:dyDescent="0.2">
      <c r="A173" s="56">
        <v>14119271</v>
      </c>
      <c r="B173" s="56">
        <v>175376909</v>
      </c>
      <c r="C173" s="56" t="s">
        <v>1938</v>
      </c>
      <c r="D173" s="56" t="s">
        <v>1939</v>
      </c>
      <c r="E173" s="56" t="s">
        <v>1047</v>
      </c>
      <c r="F173" s="56">
        <v>1</v>
      </c>
      <c r="G173" s="56">
        <v>15991</v>
      </c>
      <c r="H173" s="56" t="s">
        <v>1048</v>
      </c>
      <c r="I173" s="56" t="s">
        <v>1118</v>
      </c>
      <c r="J173" s="129">
        <v>46234</v>
      </c>
      <c r="K173" s="130">
        <v>0.27430555555555558</v>
      </c>
      <c r="L173" s="130">
        <v>0.28333333333333333</v>
      </c>
      <c r="M173" s="56" t="s">
        <v>1050</v>
      </c>
      <c r="N173" s="129">
        <v>46234</v>
      </c>
      <c r="O173" s="130">
        <v>0.33333333333333331</v>
      </c>
      <c r="P173" s="130">
        <v>0.32318287037037036</v>
      </c>
      <c r="Q173" s="56" t="s">
        <v>1050</v>
      </c>
      <c r="R173" s="56" t="s">
        <v>1940</v>
      </c>
      <c r="S173" s="56">
        <v>31</v>
      </c>
      <c r="T173" s="131">
        <v>9.0277777777777457E-3</v>
      </c>
      <c r="U173" s="130">
        <v>-1.0150462962962958E-2</v>
      </c>
      <c r="V173" s="56" t="s">
        <v>1051</v>
      </c>
      <c r="W173" s="56" t="s">
        <v>1052</v>
      </c>
      <c r="X173" s="56" t="s">
        <v>1053</v>
      </c>
      <c r="Y173" s="56">
        <v>31</v>
      </c>
      <c r="Z173" s="56" t="s">
        <v>1054</v>
      </c>
      <c r="AA173" s="56" t="s">
        <v>1941</v>
      </c>
      <c r="AB173" s="56" t="s">
        <v>1120</v>
      </c>
      <c r="AC173" s="56" t="s">
        <v>1078</v>
      </c>
      <c r="AD173" s="56" t="s">
        <v>1942</v>
      </c>
      <c r="AE173" s="56" t="s">
        <v>1943</v>
      </c>
      <c r="AF173" s="56" t="s">
        <v>1060</v>
      </c>
      <c r="AG173" s="56" t="s">
        <v>1944</v>
      </c>
      <c r="AH173" s="56"/>
      <c r="AI173" s="56"/>
      <c r="AJ173" s="56"/>
      <c r="AK173" s="56"/>
      <c r="AL173" s="56"/>
      <c r="AM173" s="56"/>
      <c r="AN173" s="56"/>
      <c r="AO173" s="56"/>
      <c r="AP173" s="56"/>
      <c r="AQ173" s="131"/>
      <c r="AR173" s="130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</row>
    <row r="174" spans="1:56" x14ac:dyDescent="0.2">
      <c r="A174" s="56">
        <v>14108111</v>
      </c>
      <c r="B174" s="56">
        <v>175384517</v>
      </c>
      <c r="C174" s="56" t="s">
        <v>1945</v>
      </c>
      <c r="D174" s="56" t="s">
        <v>1946</v>
      </c>
      <c r="E174" s="56" t="s">
        <v>1047</v>
      </c>
      <c r="F174" s="56">
        <v>105</v>
      </c>
      <c r="G174" s="56">
        <v>17340</v>
      </c>
      <c r="H174" s="56" t="s">
        <v>1048</v>
      </c>
      <c r="I174" s="56" t="s">
        <v>1947</v>
      </c>
      <c r="J174" s="129">
        <v>46234</v>
      </c>
      <c r="K174" s="130">
        <v>0.27777777777777779</v>
      </c>
      <c r="L174" s="130">
        <v>0.28611111111111109</v>
      </c>
      <c r="M174" s="56" t="s">
        <v>1050</v>
      </c>
      <c r="N174" s="129">
        <v>46234</v>
      </c>
      <c r="O174" s="130">
        <v>0.34722222222222221</v>
      </c>
      <c r="P174" s="130">
        <v>0.3235763888888889</v>
      </c>
      <c r="Q174" s="56" t="s">
        <v>1050</v>
      </c>
      <c r="R174" s="56" t="s">
        <v>69</v>
      </c>
      <c r="S174" s="56">
        <v>31</v>
      </c>
      <c r="T174" s="131">
        <v>8.3333333333333037E-3</v>
      </c>
      <c r="U174" s="130">
        <v>-2.364583333333331E-2</v>
      </c>
      <c r="V174" s="56" t="s">
        <v>1051</v>
      </c>
      <c r="W174" s="56" t="s">
        <v>1052</v>
      </c>
      <c r="X174" s="56" t="s">
        <v>1053</v>
      </c>
      <c r="Y174" s="56">
        <v>31</v>
      </c>
      <c r="Z174" s="56" t="s">
        <v>1054</v>
      </c>
      <c r="AA174" s="56" t="s">
        <v>1948</v>
      </c>
      <c r="AB174" s="56" t="s">
        <v>1949</v>
      </c>
      <c r="AC174" s="56" t="s">
        <v>1078</v>
      </c>
      <c r="AD174" s="56" t="s">
        <v>1950</v>
      </c>
      <c r="AE174" s="56" t="s">
        <v>1951</v>
      </c>
      <c r="AF174" s="56" t="s">
        <v>1060</v>
      </c>
      <c r="AG174" s="56" t="s">
        <v>1952</v>
      </c>
      <c r="AH174" s="56"/>
      <c r="AI174" s="56"/>
      <c r="AJ174" s="56"/>
      <c r="AK174" s="56"/>
      <c r="AL174" s="56"/>
      <c r="AM174" s="56"/>
      <c r="AN174" s="56"/>
      <c r="AO174" s="56"/>
      <c r="AP174" s="56"/>
      <c r="AQ174" s="131"/>
      <c r="AR174" s="130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</row>
    <row r="175" spans="1:56" x14ac:dyDescent="0.2">
      <c r="A175" s="56">
        <v>14123446</v>
      </c>
      <c r="B175" s="56">
        <v>175384529</v>
      </c>
      <c r="C175" s="56" t="s">
        <v>1953</v>
      </c>
      <c r="D175" s="56" t="s">
        <v>1185</v>
      </c>
      <c r="E175" s="56" t="s">
        <v>1047</v>
      </c>
      <c r="F175" s="56">
        <v>117</v>
      </c>
      <c r="G175" s="56">
        <v>5531</v>
      </c>
      <c r="H175" s="56" t="s">
        <v>1048</v>
      </c>
      <c r="I175" s="56" t="s">
        <v>1947</v>
      </c>
      <c r="J175" s="129">
        <v>46234</v>
      </c>
      <c r="K175" s="130">
        <v>0.27777777777777779</v>
      </c>
      <c r="L175" s="130">
        <v>0.34375</v>
      </c>
      <c r="M175" s="56" t="s">
        <v>1050</v>
      </c>
      <c r="N175" s="129">
        <v>46234</v>
      </c>
      <c r="O175" s="130">
        <v>0.34722222222222221</v>
      </c>
      <c r="P175" s="130">
        <v>0.31518518518518518</v>
      </c>
      <c r="Q175" s="56" t="s">
        <v>1050</v>
      </c>
      <c r="R175" s="56" t="s">
        <v>507</v>
      </c>
      <c r="S175" s="56">
        <v>31</v>
      </c>
      <c r="T175" s="131">
        <v>6.597222222222221E-2</v>
      </c>
      <c r="U175" s="130">
        <v>-3.2037037037037031E-2</v>
      </c>
      <c r="V175" s="56" t="s">
        <v>1051</v>
      </c>
      <c r="W175" s="56" t="s">
        <v>1052</v>
      </c>
      <c r="X175" s="56" t="s">
        <v>1053</v>
      </c>
      <c r="Y175" s="56">
        <v>31</v>
      </c>
      <c r="Z175" s="56" t="s">
        <v>1054</v>
      </c>
      <c r="AA175" s="56" t="s">
        <v>1954</v>
      </c>
      <c r="AB175" s="56" t="s">
        <v>1949</v>
      </c>
      <c r="AC175" s="56" t="s">
        <v>1078</v>
      </c>
      <c r="AD175" s="56" t="s">
        <v>1955</v>
      </c>
      <c r="AE175" s="56" t="s">
        <v>1956</v>
      </c>
      <c r="AF175" s="56" t="s">
        <v>1060</v>
      </c>
      <c r="AG175" s="56" t="s">
        <v>1957</v>
      </c>
      <c r="AH175" s="56"/>
      <c r="AI175" s="56"/>
      <c r="AJ175" s="56"/>
      <c r="AK175" s="56"/>
      <c r="AL175" s="56"/>
      <c r="AM175" s="56"/>
      <c r="AN175" s="56"/>
      <c r="AO175" s="56"/>
      <c r="AP175" s="56"/>
      <c r="AQ175" s="131"/>
      <c r="AR175" s="130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</row>
    <row r="176" spans="1:56" x14ac:dyDescent="0.2">
      <c r="A176" s="56">
        <v>14120925</v>
      </c>
      <c r="B176" s="56">
        <v>175384515</v>
      </c>
      <c r="C176" s="56" t="s">
        <v>1958</v>
      </c>
      <c r="D176" s="56" t="s">
        <v>1959</v>
      </c>
      <c r="E176" s="56" t="s">
        <v>1047</v>
      </c>
      <c r="F176" s="56">
        <v>103</v>
      </c>
      <c r="G176" s="56">
        <v>5530</v>
      </c>
      <c r="H176" s="56" t="s">
        <v>1048</v>
      </c>
      <c r="I176" s="56" t="s">
        <v>1947</v>
      </c>
      <c r="J176" s="129">
        <v>46234</v>
      </c>
      <c r="K176" s="130">
        <v>0.28333333333333333</v>
      </c>
      <c r="L176" s="130">
        <v>0.29097222222222224</v>
      </c>
      <c r="M176" s="56" t="s">
        <v>1050</v>
      </c>
      <c r="N176" s="129">
        <v>46234</v>
      </c>
      <c r="O176" s="130">
        <v>0.34722222222222221</v>
      </c>
      <c r="P176" s="130">
        <v>0.32920138888888889</v>
      </c>
      <c r="Q176" s="56" t="s">
        <v>1050</v>
      </c>
      <c r="R176" s="56" t="s">
        <v>304</v>
      </c>
      <c r="S176" s="56">
        <v>31</v>
      </c>
      <c r="T176" s="131">
        <v>7.6388888888889173E-3</v>
      </c>
      <c r="U176" s="130">
        <v>-1.8020833333333319E-2</v>
      </c>
      <c r="V176" s="56" t="s">
        <v>1051</v>
      </c>
      <c r="W176" s="56" t="s">
        <v>1052</v>
      </c>
      <c r="X176" s="56" t="s">
        <v>1053</v>
      </c>
      <c r="Y176" s="56">
        <v>31</v>
      </c>
      <c r="Z176" s="56" t="s">
        <v>1054</v>
      </c>
      <c r="AA176" s="56" t="s">
        <v>1960</v>
      </c>
      <c r="AB176" s="56" t="s">
        <v>1949</v>
      </c>
      <c r="AC176" s="56" t="s">
        <v>1078</v>
      </c>
      <c r="AD176" s="56" t="s">
        <v>1961</v>
      </c>
      <c r="AE176" s="56" t="s">
        <v>1962</v>
      </c>
      <c r="AF176" s="56" t="s">
        <v>1060</v>
      </c>
      <c r="AG176" s="56" t="s">
        <v>1963</v>
      </c>
      <c r="AH176" s="56"/>
      <c r="AI176" s="56"/>
      <c r="AJ176" s="56"/>
      <c r="AK176" s="56"/>
      <c r="AL176" s="56"/>
      <c r="AM176" s="56"/>
      <c r="AN176" s="56"/>
      <c r="AO176" s="56"/>
      <c r="AP176" s="56"/>
      <c r="AQ176" s="131"/>
      <c r="AR176" s="130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</row>
    <row r="177" spans="1:56" x14ac:dyDescent="0.2">
      <c r="A177" s="56">
        <v>14100740</v>
      </c>
      <c r="B177" s="56">
        <v>175384525</v>
      </c>
      <c r="C177" s="56" t="s">
        <v>1964</v>
      </c>
      <c r="D177" s="56" t="s">
        <v>1965</v>
      </c>
      <c r="E177" s="56" t="s">
        <v>1047</v>
      </c>
      <c r="F177" s="56">
        <v>113</v>
      </c>
      <c r="G177" s="56">
        <v>16736</v>
      </c>
      <c r="H177" s="56" t="s">
        <v>1048</v>
      </c>
      <c r="I177" s="56" t="s">
        <v>1947</v>
      </c>
      <c r="J177" s="129">
        <v>46234</v>
      </c>
      <c r="K177" s="130">
        <v>0.28333333333333333</v>
      </c>
      <c r="L177" s="130">
        <v>0.29305555555555557</v>
      </c>
      <c r="M177" s="56" t="s">
        <v>1050</v>
      </c>
      <c r="N177" s="129">
        <v>46234</v>
      </c>
      <c r="O177" s="130">
        <v>0.34722222222222221</v>
      </c>
      <c r="P177" s="130">
        <v>0.32559027777777777</v>
      </c>
      <c r="Q177" s="56" t="s">
        <v>1050</v>
      </c>
      <c r="R177" s="56" t="s">
        <v>18</v>
      </c>
      <c r="S177" s="56">
        <v>31</v>
      </c>
      <c r="T177" s="131">
        <v>9.7222222222222432E-3</v>
      </c>
      <c r="U177" s="130">
        <v>-2.163194444444444E-2</v>
      </c>
      <c r="V177" s="56" t="s">
        <v>1051</v>
      </c>
      <c r="W177" s="56" t="s">
        <v>1052</v>
      </c>
      <c r="X177" s="56" t="s">
        <v>1053</v>
      </c>
      <c r="Y177" s="56">
        <v>31</v>
      </c>
      <c r="Z177" s="56" t="s">
        <v>1054</v>
      </c>
      <c r="AA177" s="56" t="s">
        <v>1966</v>
      </c>
      <c r="AB177" s="56" t="s">
        <v>1949</v>
      </c>
      <c r="AC177" s="56" t="s">
        <v>1078</v>
      </c>
      <c r="AD177" s="56" t="s">
        <v>1967</v>
      </c>
      <c r="AE177" s="56" t="s">
        <v>1968</v>
      </c>
      <c r="AF177" s="56" t="s">
        <v>1060</v>
      </c>
      <c r="AG177" s="56" t="s">
        <v>1969</v>
      </c>
      <c r="AH177" s="56"/>
      <c r="AI177" s="56"/>
      <c r="AJ177" s="56"/>
      <c r="AK177" s="56"/>
      <c r="AL177" s="56"/>
      <c r="AM177" s="56"/>
      <c r="AN177" s="56"/>
      <c r="AO177" s="56"/>
      <c r="AP177" s="56"/>
      <c r="AQ177" s="131"/>
      <c r="AR177" s="130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</row>
    <row r="178" spans="1:56" x14ac:dyDescent="0.2">
      <c r="A178" s="56">
        <v>14123559</v>
      </c>
      <c r="B178" s="56">
        <v>175384488</v>
      </c>
      <c r="C178" s="56" t="s">
        <v>1970</v>
      </c>
      <c r="D178" s="56" t="s">
        <v>1971</v>
      </c>
      <c r="E178" s="56" t="s">
        <v>1047</v>
      </c>
      <c r="F178" s="56">
        <v>76</v>
      </c>
      <c r="G178" s="56">
        <v>13408</v>
      </c>
      <c r="H178" s="56" t="s">
        <v>1048</v>
      </c>
      <c r="I178" s="56" t="s">
        <v>1947</v>
      </c>
      <c r="J178" s="129">
        <v>46234</v>
      </c>
      <c r="K178" s="130">
        <v>0.28472222222222221</v>
      </c>
      <c r="L178" s="130">
        <v>0.29236111111111113</v>
      </c>
      <c r="M178" s="56" t="s">
        <v>1050</v>
      </c>
      <c r="N178" s="129">
        <v>46234</v>
      </c>
      <c r="O178" s="130">
        <v>0.34722222222222221</v>
      </c>
      <c r="P178" s="130">
        <v>0.32571759259259259</v>
      </c>
      <c r="Q178" s="56" t="s">
        <v>1050</v>
      </c>
      <c r="R178" s="56" t="s">
        <v>531</v>
      </c>
      <c r="S178" s="56">
        <v>31</v>
      </c>
      <c r="T178" s="131">
        <v>7.6388888888889173E-3</v>
      </c>
      <c r="U178" s="130">
        <v>-2.1504629629629624E-2</v>
      </c>
      <c r="V178" s="56" t="s">
        <v>1051</v>
      </c>
      <c r="W178" s="56" t="s">
        <v>1052</v>
      </c>
      <c r="X178" s="56" t="s">
        <v>1053</v>
      </c>
      <c r="Y178" s="56">
        <v>31</v>
      </c>
      <c r="Z178" s="56" t="s">
        <v>1054</v>
      </c>
      <c r="AA178" s="56" t="s">
        <v>1972</v>
      </c>
      <c r="AB178" s="56" t="s">
        <v>1949</v>
      </c>
      <c r="AC178" s="56" t="s">
        <v>1078</v>
      </c>
      <c r="AD178" s="56" t="s">
        <v>1973</v>
      </c>
      <c r="AE178" s="56" t="s">
        <v>1974</v>
      </c>
      <c r="AF178" s="56" t="s">
        <v>1060</v>
      </c>
      <c r="AG178" s="56" t="s">
        <v>1975</v>
      </c>
      <c r="AH178" s="56"/>
      <c r="AI178" s="56"/>
      <c r="AJ178" s="56"/>
      <c r="AK178" s="56"/>
      <c r="AL178" s="56"/>
      <c r="AM178" s="56"/>
      <c r="AN178" s="56"/>
      <c r="AO178" s="56"/>
      <c r="AP178" s="56"/>
      <c r="AQ178" s="131"/>
      <c r="AR178" s="130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</row>
    <row r="179" spans="1:56" x14ac:dyDescent="0.2">
      <c r="A179" s="56">
        <v>14106368</v>
      </c>
      <c r="B179" s="56">
        <v>175384537</v>
      </c>
      <c r="C179" s="56" t="s">
        <v>1976</v>
      </c>
      <c r="D179" s="56" t="s">
        <v>1709</v>
      </c>
      <c r="E179" s="56" t="s">
        <v>1047</v>
      </c>
      <c r="F179" s="56">
        <v>126</v>
      </c>
      <c r="G179" s="56">
        <v>16000</v>
      </c>
      <c r="H179" s="56" t="s">
        <v>1048</v>
      </c>
      <c r="I179" s="56" t="s">
        <v>1947</v>
      </c>
      <c r="J179" s="129">
        <v>46234</v>
      </c>
      <c r="K179" s="130">
        <v>0.28472222222222221</v>
      </c>
      <c r="L179" s="130">
        <v>0.29166666666666669</v>
      </c>
      <c r="M179" s="56" t="s">
        <v>1050</v>
      </c>
      <c r="N179" s="129">
        <v>46234</v>
      </c>
      <c r="O179" s="130">
        <v>0.34722222222222221</v>
      </c>
      <c r="P179" s="130">
        <v>0.32848379629629632</v>
      </c>
      <c r="Q179" s="56" t="s">
        <v>1050</v>
      </c>
      <c r="R179" s="56" t="s">
        <v>50</v>
      </c>
      <c r="S179" s="56">
        <v>31</v>
      </c>
      <c r="T179" s="131">
        <v>6.9444444444444753E-3</v>
      </c>
      <c r="U179" s="130">
        <v>-1.8738425925925895E-2</v>
      </c>
      <c r="V179" s="56" t="s">
        <v>1051</v>
      </c>
      <c r="W179" s="56" t="s">
        <v>1052</v>
      </c>
      <c r="X179" s="56" t="s">
        <v>1053</v>
      </c>
      <c r="Y179" s="56">
        <v>31</v>
      </c>
      <c r="Z179" s="56" t="s">
        <v>1054</v>
      </c>
      <c r="AA179" s="56" t="s">
        <v>1977</v>
      </c>
      <c r="AB179" s="56" t="s">
        <v>1949</v>
      </c>
      <c r="AC179" s="56" t="s">
        <v>1078</v>
      </c>
      <c r="AD179" s="56" t="s">
        <v>1978</v>
      </c>
      <c r="AE179" s="56" t="s">
        <v>1979</v>
      </c>
      <c r="AF179" s="56" t="s">
        <v>1060</v>
      </c>
      <c r="AG179" s="56" t="s">
        <v>1980</v>
      </c>
      <c r="AH179" s="56"/>
      <c r="AI179" s="56"/>
      <c r="AJ179" s="56"/>
      <c r="AK179" s="56"/>
      <c r="AL179" s="56"/>
      <c r="AM179" s="56"/>
      <c r="AN179" s="56"/>
      <c r="AO179" s="56"/>
      <c r="AP179" s="56"/>
      <c r="AQ179" s="131"/>
      <c r="AR179" s="130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</row>
    <row r="180" spans="1:56" x14ac:dyDescent="0.2">
      <c r="A180" s="56">
        <v>14121809</v>
      </c>
      <c r="B180" s="56">
        <v>175366263</v>
      </c>
      <c r="C180" s="56" t="s">
        <v>1981</v>
      </c>
      <c r="D180" s="56" t="s">
        <v>1982</v>
      </c>
      <c r="E180" s="56" t="s">
        <v>1047</v>
      </c>
      <c r="F180" s="56">
        <v>3</v>
      </c>
      <c r="G180" s="56">
        <v>13009</v>
      </c>
      <c r="H180" s="56" t="s">
        <v>1048</v>
      </c>
      <c r="I180" s="56" t="s">
        <v>1983</v>
      </c>
      <c r="J180" s="129">
        <v>46234</v>
      </c>
      <c r="K180" s="130">
        <v>0.29166666666666669</v>
      </c>
      <c r="L180" s="130">
        <v>0.29930555555555555</v>
      </c>
      <c r="M180" s="56" t="s">
        <v>1050</v>
      </c>
      <c r="N180" s="129">
        <v>46234</v>
      </c>
      <c r="O180" s="130">
        <v>0.3263888888888889</v>
      </c>
      <c r="P180" s="130">
        <v>0.32825231481481482</v>
      </c>
      <c r="Q180" s="56" t="s">
        <v>1050</v>
      </c>
      <c r="R180" s="56" t="s">
        <v>355</v>
      </c>
      <c r="S180" s="56">
        <v>31</v>
      </c>
      <c r="T180" s="131">
        <v>7.6388888888888618E-3</v>
      </c>
      <c r="U180" s="130">
        <v>1.8634259259259212E-3</v>
      </c>
      <c r="V180" s="56" t="s">
        <v>1051</v>
      </c>
      <c r="W180" s="56" t="s">
        <v>1052</v>
      </c>
      <c r="X180" s="56" t="s">
        <v>1053</v>
      </c>
      <c r="Y180" s="56">
        <v>31</v>
      </c>
      <c r="Z180" s="56" t="s">
        <v>1054</v>
      </c>
      <c r="AA180" s="56" t="s">
        <v>1984</v>
      </c>
      <c r="AB180" s="56" t="s">
        <v>1985</v>
      </c>
      <c r="AC180" s="56" t="s">
        <v>1057</v>
      </c>
      <c r="AD180" s="56" t="s">
        <v>1986</v>
      </c>
      <c r="AE180" s="56" t="s">
        <v>1987</v>
      </c>
      <c r="AF180" s="56" t="s">
        <v>1060</v>
      </c>
      <c r="AG180" s="56" t="s">
        <v>1988</v>
      </c>
      <c r="AH180" s="56"/>
      <c r="AI180" s="56"/>
      <c r="AJ180" s="56"/>
      <c r="AK180" s="56"/>
      <c r="AL180" s="56"/>
      <c r="AM180" s="56"/>
      <c r="AN180" s="56"/>
      <c r="AO180" s="56"/>
      <c r="AP180" s="56"/>
      <c r="AQ180" s="131"/>
      <c r="AR180" s="130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</row>
    <row r="181" spans="1:56" x14ac:dyDescent="0.2">
      <c r="A181" s="56">
        <v>14121015</v>
      </c>
      <c r="B181" s="56">
        <v>175384521</v>
      </c>
      <c r="C181" s="56" t="s">
        <v>1989</v>
      </c>
      <c r="D181" s="56" t="s">
        <v>1990</v>
      </c>
      <c r="E181" s="56" t="s">
        <v>1047</v>
      </c>
      <c r="F181" s="56">
        <v>109</v>
      </c>
      <c r="G181" s="56">
        <v>15995</v>
      </c>
      <c r="H181" s="56" t="s">
        <v>1048</v>
      </c>
      <c r="I181" s="56" t="s">
        <v>1947</v>
      </c>
      <c r="J181" s="129">
        <v>46234</v>
      </c>
      <c r="K181" s="130">
        <v>0.2951388888888889</v>
      </c>
      <c r="L181" s="130">
        <v>0.30208333333333331</v>
      </c>
      <c r="M181" s="56" t="s">
        <v>1050</v>
      </c>
      <c r="N181" s="129">
        <v>46234</v>
      </c>
      <c r="O181" s="130">
        <v>0.34722222222222221</v>
      </c>
      <c r="P181" s="130">
        <v>0.3291203703703704</v>
      </c>
      <c r="Q181" s="56" t="s">
        <v>1050</v>
      </c>
      <c r="R181" s="56" t="s">
        <v>306</v>
      </c>
      <c r="S181" s="56">
        <v>31</v>
      </c>
      <c r="T181" s="131">
        <v>6.9444444444444198E-3</v>
      </c>
      <c r="U181" s="130">
        <v>-1.8101851851851813E-2</v>
      </c>
      <c r="V181" s="56" t="s">
        <v>1051</v>
      </c>
      <c r="W181" s="56" t="s">
        <v>1052</v>
      </c>
      <c r="X181" s="56" t="s">
        <v>1053</v>
      </c>
      <c r="Y181" s="56">
        <v>31</v>
      </c>
      <c r="Z181" s="56" t="s">
        <v>1054</v>
      </c>
      <c r="AA181" s="56" t="s">
        <v>1991</v>
      </c>
      <c r="AB181" s="56" t="s">
        <v>1949</v>
      </c>
      <c r="AC181" s="56" t="s">
        <v>1078</v>
      </c>
      <c r="AD181" s="56" t="s">
        <v>1992</v>
      </c>
      <c r="AE181" s="56" t="s">
        <v>1993</v>
      </c>
      <c r="AF181" s="56" t="s">
        <v>1060</v>
      </c>
      <c r="AG181" s="56" t="s">
        <v>1994</v>
      </c>
      <c r="AH181" s="56"/>
      <c r="AI181" s="56"/>
      <c r="AJ181" s="56"/>
      <c r="AK181" s="56"/>
      <c r="AL181" s="56"/>
      <c r="AM181" s="56"/>
      <c r="AN181" s="56"/>
      <c r="AO181" s="56"/>
      <c r="AP181" s="56"/>
      <c r="AQ181" s="131"/>
      <c r="AR181" s="130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</row>
    <row r="182" spans="1:56" x14ac:dyDescent="0.2">
      <c r="A182" s="56"/>
      <c r="B182" s="56">
        <v>175391642</v>
      </c>
      <c r="C182" s="56" t="s">
        <v>1995</v>
      </c>
      <c r="D182" s="56" t="s">
        <v>1996</v>
      </c>
      <c r="E182" s="56" t="s">
        <v>1047</v>
      </c>
      <c r="F182" s="56">
        <v>15</v>
      </c>
      <c r="G182" s="56">
        <v>17193</v>
      </c>
      <c r="H182" s="56" t="s">
        <v>1048</v>
      </c>
      <c r="I182" s="56" t="s">
        <v>1983</v>
      </c>
      <c r="J182" s="129">
        <v>46234</v>
      </c>
      <c r="K182" s="130">
        <v>0.375</v>
      </c>
      <c r="L182" s="130">
        <v>0.37986111111111109</v>
      </c>
      <c r="M182" s="56" t="s">
        <v>1050</v>
      </c>
      <c r="N182" s="129">
        <v>46234</v>
      </c>
      <c r="O182" s="130">
        <v>0.40972222222222221</v>
      </c>
      <c r="P182" s="130">
        <v>0.3988888888888889</v>
      </c>
      <c r="Q182" s="56" t="s">
        <v>1050</v>
      </c>
      <c r="R182" s="56" t="s">
        <v>1414</v>
      </c>
      <c r="S182" s="56">
        <v>31</v>
      </c>
      <c r="T182" s="131">
        <v>4.8611111111110938E-3</v>
      </c>
      <c r="U182" s="130">
        <v>-1.0833333333333306E-2</v>
      </c>
      <c r="V182" s="56" t="s">
        <v>1051</v>
      </c>
      <c r="W182" s="56" t="s">
        <v>1052</v>
      </c>
      <c r="X182" s="56" t="s">
        <v>1053</v>
      </c>
      <c r="Y182" s="56">
        <v>31</v>
      </c>
      <c r="Z182" s="56" t="s">
        <v>1054</v>
      </c>
      <c r="AA182" s="56" t="s">
        <v>1997</v>
      </c>
      <c r="AB182" s="56" t="s">
        <v>1985</v>
      </c>
      <c r="AC182" s="56" t="s">
        <v>1057</v>
      </c>
      <c r="AD182" s="56" t="s">
        <v>1998</v>
      </c>
      <c r="AE182" s="56" t="e">
        <v>#N/A</v>
      </c>
      <c r="AF182" s="56" t="s">
        <v>1060</v>
      </c>
      <c r="AG182" s="56" t="s">
        <v>1999</v>
      </c>
      <c r="AH182" s="56"/>
      <c r="AI182" s="56"/>
      <c r="AJ182" s="56"/>
      <c r="AK182" s="56"/>
      <c r="AL182" s="56"/>
      <c r="AM182" s="56"/>
      <c r="AN182" s="56"/>
      <c r="AO182" s="56"/>
      <c r="AP182" s="56"/>
      <c r="AQ182" s="131"/>
      <c r="AR182" s="130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</row>
    <row r="183" spans="1:56" x14ac:dyDescent="0.2">
      <c r="A183" s="56">
        <v>14103470</v>
      </c>
      <c r="B183" s="56">
        <v>175431219</v>
      </c>
      <c r="C183" s="56" t="s">
        <v>2000</v>
      </c>
      <c r="D183" s="56" t="s">
        <v>1866</v>
      </c>
      <c r="E183" s="56" t="s">
        <v>1047</v>
      </c>
      <c r="F183" s="56">
        <v>13</v>
      </c>
      <c r="G183" s="56">
        <v>4442</v>
      </c>
      <c r="H183" s="56" t="s">
        <v>1048</v>
      </c>
      <c r="I183" s="56" t="s">
        <v>1427</v>
      </c>
      <c r="J183" s="129">
        <v>46234</v>
      </c>
      <c r="K183" s="130">
        <v>0.46527777777777779</v>
      </c>
      <c r="L183" s="130">
        <v>0.47152777777777777</v>
      </c>
      <c r="M183" s="56" t="s">
        <v>1050</v>
      </c>
      <c r="N183" s="129">
        <v>46234</v>
      </c>
      <c r="O183" s="130">
        <v>0.60416666666666663</v>
      </c>
      <c r="P183" s="130">
        <v>0.53607638888888887</v>
      </c>
      <c r="Q183" s="56" t="s">
        <v>1050</v>
      </c>
      <c r="R183" s="56" t="s">
        <v>518</v>
      </c>
      <c r="S183" s="56">
        <v>31</v>
      </c>
      <c r="T183" s="131">
        <v>6.2499999999999778E-3</v>
      </c>
      <c r="U183" s="130">
        <v>-6.8090277777777763E-2</v>
      </c>
      <c r="V183" s="56" t="s">
        <v>1051</v>
      </c>
      <c r="W183" s="56" t="s">
        <v>1052</v>
      </c>
      <c r="X183" s="56" t="s">
        <v>1053</v>
      </c>
      <c r="Y183" s="56">
        <v>31</v>
      </c>
      <c r="Z183" s="56" t="s">
        <v>1054</v>
      </c>
      <c r="AA183" s="56" t="s">
        <v>1867</v>
      </c>
      <c r="AB183" s="56" t="s">
        <v>1194</v>
      </c>
      <c r="AC183" s="56" t="s">
        <v>1057</v>
      </c>
      <c r="AD183" s="56" t="s">
        <v>1868</v>
      </c>
      <c r="AE183" s="56" t="s">
        <v>1869</v>
      </c>
      <c r="AF183" s="56" t="s">
        <v>2001</v>
      </c>
      <c r="AG183" s="56" t="s">
        <v>2002</v>
      </c>
      <c r="AH183" s="56"/>
      <c r="AI183" s="56"/>
      <c r="AJ183" s="56"/>
      <c r="AK183" s="56"/>
      <c r="AL183" s="56"/>
      <c r="AM183" s="56"/>
      <c r="AN183" s="56"/>
      <c r="AO183" s="56"/>
      <c r="AP183" s="56"/>
      <c r="AQ183" s="131"/>
      <c r="AR183" s="130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</row>
    <row r="184" spans="1:56" x14ac:dyDescent="0.2">
      <c r="A184" s="56">
        <v>14123573</v>
      </c>
      <c r="B184" s="56">
        <v>175366812</v>
      </c>
      <c r="C184" s="56" t="s">
        <v>2003</v>
      </c>
      <c r="D184" s="56" t="s">
        <v>2004</v>
      </c>
      <c r="E184" s="56" t="s">
        <v>1047</v>
      </c>
      <c r="F184" s="56">
        <v>7</v>
      </c>
      <c r="G184" s="56">
        <v>5722</v>
      </c>
      <c r="H184" s="56" t="s">
        <v>1048</v>
      </c>
      <c r="I184" s="56" t="s">
        <v>1192</v>
      </c>
      <c r="J184" s="129">
        <v>46234</v>
      </c>
      <c r="K184" s="130">
        <v>0.51388888888888884</v>
      </c>
      <c r="L184" s="130">
        <v>0.52500000000000002</v>
      </c>
      <c r="M184" s="56" t="s">
        <v>1050</v>
      </c>
      <c r="N184" s="129">
        <v>46234</v>
      </c>
      <c r="O184" s="130">
        <v>0.60416666666666663</v>
      </c>
      <c r="P184" s="130">
        <v>0.58975694444444449</v>
      </c>
      <c r="Q184" s="56" t="s">
        <v>1050</v>
      </c>
      <c r="R184" s="56" t="s">
        <v>538</v>
      </c>
      <c r="S184" s="56">
        <v>31</v>
      </c>
      <c r="T184" s="131">
        <v>1.1111111111111183E-2</v>
      </c>
      <c r="U184" s="130">
        <v>-1.4409722222222143E-2</v>
      </c>
      <c r="V184" s="56" t="s">
        <v>1051</v>
      </c>
      <c r="W184" s="56" t="s">
        <v>1052</v>
      </c>
      <c r="X184" s="56" t="s">
        <v>1053</v>
      </c>
      <c r="Y184" s="56">
        <v>31</v>
      </c>
      <c r="Z184" s="56" t="s">
        <v>1054</v>
      </c>
      <c r="AA184" s="56" t="s">
        <v>2005</v>
      </c>
      <c r="AB184" s="56" t="s">
        <v>1194</v>
      </c>
      <c r="AC184" s="56" t="s">
        <v>1057</v>
      </c>
      <c r="AD184" s="56" t="s">
        <v>2006</v>
      </c>
      <c r="AE184" s="56" t="s">
        <v>2007</v>
      </c>
      <c r="AF184" s="56" t="s">
        <v>1237</v>
      </c>
      <c r="AG184" s="56" t="s">
        <v>2008</v>
      </c>
      <c r="AH184" s="56"/>
      <c r="AI184" s="56"/>
      <c r="AJ184" s="56"/>
      <c r="AK184" s="56"/>
      <c r="AL184" s="56"/>
      <c r="AM184" s="56"/>
      <c r="AN184" s="56"/>
      <c r="AO184" s="56"/>
      <c r="AP184" s="56"/>
      <c r="AQ184" s="131"/>
      <c r="AR184" s="130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</row>
    <row r="185" spans="1:56" x14ac:dyDescent="0.2">
      <c r="A185" s="56"/>
      <c r="B185" s="56">
        <v>175379042</v>
      </c>
      <c r="C185" s="56" t="s">
        <v>2009</v>
      </c>
      <c r="D185" s="56" t="s">
        <v>2010</v>
      </c>
      <c r="E185" s="56" t="s">
        <v>1047</v>
      </c>
      <c r="F185" s="56">
        <v>33</v>
      </c>
      <c r="G185" s="56">
        <v>11387</v>
      </c>
      <c r="H185" s="56" t="s">
        <v>1048</v>
      </c>
      <c r="I185" s="56" t="s">
        <v>2011</v>
      </c>
      <c r="J185" s="129">
        <v>46234</v>
      </c>
      <c r="K185" s="130">
        <v>0.52083333333333337</v>
      </c>
      <c r="L185" s="130">
        <v>0.52430555555555558</v>
      </c>
      <c r="M185" s="56" t="s">
        <v>1050</v>
      </c>
      <c r="N185" s="129">
        <v>46234</v>
      </c>
      <c r="O185" s="130">
        <v>0.57291666666666663</v>
      </c>
      <c r="P185" s="130">
        <v>0.57460648148148152</v>
      </c>
      <c r="Q185" s="56" t="s">
        <v>1050</v>
      </c>
      <c r="R185" s="56" t="s">
        <v>1414</v>
      </c>
      <c r="S185" s="56">
        <v>31</v>
      </c>
      <c r="T185" s="131">
        <v>3.4722222222222099E-3</v>
      </c>
      <c r="U185" s="130">
        <v>1.6898148148148939E-3</v>
      </c>
      <c r="V185" s="56" t="s">
        <v>1051</v>
      </c>
      <c r="W185" s="56" t="s">
        <v>1052</v>
      </c>
      <c r="X185" s="56" t="s">
        <v>1053</v>
      </c>
      <c r="Y185" s="56">
        <v>31</v>
      </c>
      <c r="Z185" s="56" t="s">
        <v>1054</v>
      </c>
      <c r="AA185" s="56" t="s">
        <v>2012</v>
      </c>
      <c r="AB185" s="56" t="s">
        <v>1605</v>
      </c>
      <c r="AC185" s="56" t="s">
        <v>1069</v>
      </c>
      <c r="AD185" s="56" t="s">
        <v>2013</v>
      </c>
      <c r="AE185" s="56" t="s">
        <v>2014</v>
      </c>
      <c r="AF185" s="56" t="s">
        <v>1237</v>
      </c>
      <c r="AG185" s="56" t="s">
        <v>2015</v>
      </c>
      <c r="AH185" s="56"/>
      <c r="AI185" s="56"/>
      <c r="AJ185" s="56"/>
      <c r="AK185" s="56"/>
      <c r="AL185" s="56"/>
      <c r="AM185" s="56"/>
      <c r="AN185" s="56"/>
      <c r="AO185" s="56"/>
      <c r="AP185" s="56"/>
      <c r="AQ185" s="131"/>
      <c r="AR185" s="130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</row>
    <row r="186" spans="1:56" x14ac:dyDescent="0.2">
      <c r="A186" s="56">
        <v>14120489</v>
      </c>
      <c r="B186" s="56">
        <v>175372547</v>
      </c>
      <c r="C186" s="56" t="s">
        <v>2016</v>
      </c>
      <c r="D186" s="56" t="s">
        <v>2017</v>
      </c>
      <c r="E186" s="56" t="s">
        <v>1047</v>
      </c>
      <c r="F186" s="56">
        <v>38</v>
      </c>
      <c r="G186" s="56">
        <v>5877</v>
      </c>
      <c r="H186" s="56" t="s">
        <v>1048</v>
      </c>
      <c r="I186" s="56" t="s">
        <v>1192</v>
      </c>
      <c r="J186" s="129">
        <v>46234</v>
      </c>
      <c r="K186" s="130">
        <v>0.52777777777777779</v>
      </c>
      <c r="L186" s="130">
        <v>0.53125</v>
      </c>
      <c r="M186" s="56" t="s">
        <v>1050</v>
      </c>
      <c r="N186" s="129">
        <v>46234</v>
      </c>
      <c r="O186" s="130">
        <v>0.60416666666666663</v>
      </c>
      <c r="P186" s="130">
        <v>0.61267361111111107</v>
      </c>
      <c r="Q186" s="56" t="s">
        <v>1050</v>
      </c>
      <c r="R186" s="56" t="s">
        <v>288</v>
      </c>
      <c r="S186" s="56">
        <v>31</v>
      </c>
      <c r="T186" s="131">
        <v>3.4722222222222099E-3</v>
      </c>
      <c r="U186" s="130">
        <v>8.506944444444442E-3</v>
      </c>
      <c r="V186" s="56" t="s">
        <v>1051</v>
      </c>
      <c r="W186" s="56" t="s">
        <v>1065</v>
      </c>
      <c r="X186" s="56" t="s">
        <v>1066</v>
      </c>
      <c r="Y186" s="56">
        <v>31</v>
      </c>
      <c r="Z186" s="56" t="s">
        <v>1054</v>
      </c>
      <c r="AA186" s="56" t="s">
        <v>2018</v>
      </c>
      <c r="AB186" s="56" t="s">
        <v>1194</v>
      </c>
      <c r="AC186" s="56" t="s">
        <v>1057</v>
      </c>
      <c r="AD186" s="56" t="s">
        <v>2019</v>
      </c>
      <c r="AE186" s="56" t="s">
        <v>2020</v>
      </c>
      <c r="AF186" s="56" t="s">
        <v>1237</v>
      </c>
      <c r="AG186" s="56" t="s">
        <v>2021</v>
      </c>
      <c r="AH186" s="56"/>
      <c r="AI186" s="56"/>
      <c r="AJ186" s="56"/>
      <c r="AK186" s="56"/>
      <c r="AL186" s="56"/>
      <c r="AM186" s="56"/>
      <c r="AN186" s="56"/>
      <c r="AO186" s="56"/>
      <c r="AP186" s="56"/>
      <c r="AQ186" s="131"/>
      <c r="AR186" s="130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</row>
    <row r="187" spans="1:56" x14ac:dyDescent="0.2">
      <c r="A187" s="56"/>
      <c r="B187" s="56">
        <v>175377212</v>
      </c>
      <c r="C187" s="56" t="s">
        <v>2022</v>
      </c>
      <c r="D187" s="56" t="s">
        <v>1413</v>
      </c>
      <c r="E187" s="56" t="s">
        <v>1047</v>
      </c>
      <c r="F187" s="56">
        <v>101</v>
      </c>
      <c r="G187" s="56">
        <v>10747</v>
      </c>
      <c r="H187" s="56" t="s">
        <v>1048</v>
      </c>
      <c r="I187" s="56" t="s">
        <v>1104</v>
      </c>
      <c r="J187" s="129">
        <v>46234</v>
      </c>
      <c r="K187" s="130">
        <v>0.52777777777777779</v>
      </c>
      <c r="L187" s="130">
        <v>0.53402777777777777</v>
      </c>
      <c r="M187" s="56" t="s">
        <v>1050</v>
      </c>
      <c r="N187" s="129">
        <v>46234</v>
      </c>
      <c r="O187" s="130">
        <v>0.60069444444444442</v>
      </c>
      <c r="P187" s="130">
        <v>0.58575231481481482</v>
      </c>
      <c r="Q187" s="56" t="s">
        <v>1050</v>
      </c>
      <c r="R187" s="56" t="s">
        <v>1414</v>
      </c>
      <c r="S187" s="56">
        <v>31</v>
      </c>
      <c r="T187" s="131">
        <v>6.2499999999999778E-3</v>
      </c>
      <c r="U187" s="130">
        <v>-1.4942129629629597E-2</v>
      </c>
      <c r="V187" s="56" t="s">
        <v>1051</v>
      </c>
      <c r="W187" s="56" t="s">
        <v>1052</v>
      </c>
      <c r="X187" s="56" t="s">
        <v>1053</v>
      </c>
      <c r="Y187" s="56">
        <v>31</v>
      </c>
      <c r="Z187" s="56" t="s">
        <v>1054</v>
      </c>
      <c r="AA187" s="56" t="s">
        <v>1415</v>
      </c>
      <c r="AB187" s="56" t="s">
        <v>1106</v>
      </c>
      <c r="AC187" s="56" t="s">
        <v>1078</v>
      </c>
      <c r="AD187" s="56" t="s">
        <v>1416</v>
      </c>
      <c r="AE187" s="56" t="s">
        <v>1417</v>
      </c>
      <c r="AF187" s="56" t="s">
        <v>1237</v>
      </c>
      <c r="AG187" s="56" t="s">
        <v>2023</v>
      </c>
      <c r="AH187" s="56"/>
      <c r="AI187" s="56"/>
      <c r="AJ187" s="56"/>
      <c r="AK187" s="56"/>
      <c r="AL187" s="56"/>
      <c r="AM187" s="56"/>
      <c r="AN187" s="56"/>
      <c r="AO187" s="56"/>
      <c r="AP187" s="56"/>
      <c r="AQ187" s="131"/>
      <c r="AR187" s="130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</row>
    <row r="188" spans="1:56" x14ac:dyDescent="0.2">
      <c r="A188" s="56">
        <v>14122320</v>
      </c>
      <c r="B188" s="56">
        <v>175386701</v>
      </c>
      <c r="C188" s="56" t="s">
        <v>2024</v>
      </c>
      <c r="D188" s="56" t="s">
        <v>2025</v>
      </c>
      <c r="E188" s="56" t="s">
        <v>1047</v>
      </c>
      <c r="F188" s="56">
        <v>68</v>
      </c>
      <c r="G188" s="56">
        <v>6983</v>
      </c>
      <c r="H188" s="56" t="s">
        <v>1048</v>
      </c>
      <c r="I188" s="56" t="s">
        <v>1118</v>
      </c>
      <c r="J188" s="129">
        <v>46234</v>
      </c>
      <c r="K188" s="130">
        <v>0.53125</v>
      </c>
      <c r="L188" s="130">
        <v>0.54583333333333328</v>
      </c>
      <c r="M188" s="56" t="s">
        <v>1050</v>
      </c>
      <c r="N188" s="129">
        <v>46234</v>
      </c>
      <c r="O188" s="130">
        <v>0.60069444444444442</v>
      </c>
      <c r="P188" s="130">
        <v>0.59453703703703709</v>
      </c>
      <c r="Q188" s="56" t="s">
        <v>1050</v>
      </c>
      <c r="R188" s="56" t="s">
        <v>405</v>
      </c>
      <c r="S188" s="56">
        <v>31</v>
      </c>
      <c r="T188" s="131">
        <v>1.4583333333333282E-2</v>
      </c>
      <c r="U188" s="130">
        <v>-6.1574074074073337E-3</v>
      </c>
      <c r="V188" s="56" t="s">
        <v>1051</v>
      </c>
      <c r="W188" s="56" t="s">
        <v>1052</v>
      </c>
      <c r="X188" s="56" t="s">
        <v>1053</v>
      </c>
      <c r="Y188" s="56">
        <v>31</v>
      </c>
      <c r="Z188" s="56" t="s">
        <v>1054</v>
      </c>
      <c r="AA188" s="56" t="s">
        <v>2026</v>
      </c>
      <c r="AB188" s="56" t="s">
        <v>1120</v>
      </c>
      <c r="AC188" s="56" t="s">
        <v>1078</v>
      </c>
      <c r="AD188" s="56" t="s">
        <v>2027</v>
      </c>
      <c r="AE188" s="56" t="s">
        <v>2028</v>
      </c>
      <c r="AF188" s="56" t="s">
        <v>1237</v>
      </c>
      <c r="AG188" s="56" t="s">
        <v>2029</v>
      </c>
      <c r="AH188" s="56"/>
      <c r="AI188" s="56"/>
      <c r="AJ188" s="56"/>
      <c r="AK188" s="56"/>
      <c r="AL188" s="56"/>
      <c r="AM188" s="56"/>
      <c r="AN188" s="56"/>
      <c r="AO188" s="56"/>
      <c r="AP188" s="56"/>
      <c r="AQ188" s="131"/>
      <c r="AR188" s="130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</row>
    <row r="189" spans="1:56" x14ac:dyDescent="0.2">
      <c r="A189" s="56">
        <v>14100727</v>
      </c>
      <c r="B189" s="56">
        <v>175367474</v>
      </c>
      <c r="C189" s="56" t="s">
        <v>1626</v>
      </c>
      <c r="D189" s="56" t="s">
        <v>1627</v>
      </c>
      <c r="E189" s="56" t="s">
        <v>1047</v>
      </c>
      <c r="F189" s="56">
        <v>68</v>
      </c>
      <c r="G189" s="56">
        <v>17360</v>
      </c>
      <c r="H189" s="56" t="s">
        <v>1048</v>
      </c>
      <c r="I189" s="56" t="s">
        <v>1075</v>
      </c>
      <c r="J189" s="129">
        <v>46234</v>
      </c>
      <c r="K189" s="130">
        <v>0.53472222222222221</v>
      </c>
      <c r="L189" s="130">
        <v>0.56666666666666665</v>
      </c>
      <c r="M189" s="56" t="s">
        <v>1050</v>
      </c>
      <c r="N189" s="129">
        <v>46234</v>
      </c>
      <c r="O189" s="130">
        <v>0.60069444444444442</v>
      </c>
      <c r="P189" s="130">
        <v>0.61694444444444441</v>
      </c>
      <c r="Q189" s="56" t="s">
        <v>1050</v>
      </c>
      <c r="R189" s="56" t="s">
        <v>13</v>
      </c>
      <c r="S189" s="56">
        <v>31</v>
      </c>
      <c r="T189" s="131">
        <v>3.1944444444444442E-2</v>
      </c>
      <c r="U189" s="130">
        <v>1.6249999999999987E-2</v>
      </c>
      <c r="V189" s="56" t="s">
        <v>1051</v>
      </c>
      <c r="W189" s="56" t="s">
        <v>1065</v>
      </c>
      <c r="X189" s="56" t="s">
        <v>1066</v>
      </c>
      <c r="Y189" s="56">
        <v>31</v>
      </c>
      <c r="Z189" s="56" t="s">
        <v>1054</v>
      </c>
      <c r="AA189" s="56" t="s">
        <v>1628</v>
      </c>
      <c r="AB189" s="56" t="s">
        <v>1077</v>
      </c>
      <c r="AC189" s="56" t="s">
        <v>1078</v>
      </c>
      <c r="AD189" s="56" t="s">
        <v>1629</v>
      </c>
      <c r="AE189" s="56" t="s">
        <v>1630</v>
      </c>
      <c r="AF189" s="56" t="s">
        <v>1237</v>
      </c>
      <c r="AG189" s="56" t="s">
        <v>1631</v>
      </c>
      <c r="AH189" s="56"/>
      <c r="AI189" s="56"/>
      <c r="AJ189" s="56"/>
      <c r="AK189" s="56"/>
      <c r="AL189" s="56"/>
      <c r="AM189" s="56"/>
      <c r="AN189" s="56"/>
      <c r="AO189" s="56"/>
      <c r="AP189" s="56"/>
      <c r="AQ189" s="131"/>
      <c r="AR189" s="130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</row>
    <row r="190" spans="1:56" x14ac:dyDescent="0.2">
      <c r="A190" s="56">
        <v>14123925</v>
      </c>
      <c r="B190" s="56">
        <v>175377158</v>
      </c>
      <c r="C190" s="56" t="s">
        <v>1638</v>
      </c>
      <c r="D190" s="56" t="s">
        <v>1639</v>
      </c>
      <c r="E190" s="56" t="s">
        <v>1047</v>
      </c>
      <c r="F190" s="56">
        <v>82</v>
      </c>
      <c r="G190" s="56">
        <v>13537</v>
      </c>
      <c r="H190" s="56" t="s">
        <v>1048</v>
      </c>
      <c r="I190" s="56" t="s">
        <v>1104</v>
      </c>
      <c r="J190" s="129">
        <v>46234</v>
      </c>
      <c r="K190" s="130">
        <v>0.53472222222222221</v>
      </c>
      <c r="L190" s="130">
        <v>0.54097222222222219</v>
      </c>
      <c r="M190" s="56" t="s">
        <v>1050</v>
      </c>
      <c r="N190" s="129">
        <v>46234</v>
      </c>
      <c r="O190" s="130">
        <v>0.60069444444444442</v>
      </c>
      <c r="P190" s="130">
        <v>0.58574074074074078</v>
      </c>
      <c r="Q190" s="56" t="s">
        <v>1050</v>
      </c>
      <c r="R190" s="56" t="s">
        <v>994</v>
      </c>
      <c r="S190" s="56">
        <v>31</v>
      </c>
      <c r="T190" s="131">
        <v>6.2499999999999778E-3</v>
      </c>
      <c r="U190" s="130">
        <v>-1.4953703703703636E-2</v>
      </c>
      <c r="V190" s="56" t="s">
        <v>1051</v>
      </c>
      <c r="W190" s="56" t="s">
        <v>1052</v>
      </c>
      <c r="X190" s="56" t="s">
        <v>1053</v>
      </c>
      <c r="Y190" s="56">
        <v>31</v>
      </c>
      <c r="Z190" s="56" t="s">
        <v>1054</v>
      </c>
      <c r="AA190" s="56" t="s">
        <v>1640</v>
      </c>
      <c r="AB190" s="56" t="s">
        <v>1106</v>
      </c>
      <c r="AC190" s="56" t="s">
        <v>1078</v>
      </c>
      <c r="AD190" s="56" t="s">
        <v>1641</v>
      </c>
      <c r="AE190" s="56" t="s">
        <v>1642</v>
      </c>
      <c r="AF190" s="56" t="s">
        <v>1237</v>
      </c>
      <c r="AG190" s="56" t="s">
        <v>1643</v>
      </c>
      <c r="AH190" s="56"/>
      <c r="AI190" s="56"/>
      <c r="AJ190" s="56"/>
      <c r="AK190" s="56"/>
      <c r="AL190" s="56"/>
      <c r="AM190" s="56"/>
      <c r="AN190" s="56"/>
      <c r="AO190" s="56"/>
      <c r="AP190" s="56"/>
      <c r="AQ190" s="131"/>
      <c r="AR190" s="130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</row>
    <row r="191" spans="1:56" x14ac:dyDescent="0.2">
      <c r="A191" s="56">
        <v>14110339</v>
      </c>
      <c r="B191" s="56">
        <v>175387939</v>
      </c>
      <c r="C191" s="56" t="s">
        <v>2030</v>
      </c>
      <c r="D191" s="56" t="s">
        <v>2031</v>
      </c>
      <c r="E191" s="56" t="s">
        <v>1047</v>
      </c>
      <c r="F191" s="56">
        <v>83</v>
      </c>
      <c r="G191" s="56">
        <v>5437</v>
      </c>
      <c r="H191" s="56" t="s">
        <v>1048</v>
      </c>
      <c r="I191" s="56" t="s">
        <v>1118</v>
      </c>
      <c r="J191" s="129">
        <v>46234</v>
      </c>
      <c r="K191" s="130">
        <v>0.53680555555555554</v>
      </c>
      <c r="L191" s="130">
        <v>0.5541666666666667</v>
      </c>
      <c r="M191" s="56" t="s">
        <v>1050</v>
      </c>
      <c r="N191" s="129">
        <v>46234</v>
      </c>
      <c r="O191" s="130">
        <v>0.60069444444444442</v>
      </c>
      <c r="P191" s="56"/>
      <c r="Q191" s="56" t="s">
        <v>1286</v>
      </c>
      <c r="R191" s="56" t="s">
        <v>101</v>
      </c>
      <c r="S191" s="56">
        <v>31</v>
      </c>
      <c r="T191" s="131">
        <v>1.736111111111116E-2</v>
      </c>
      <c r="U191" s="130">
        <v>-0.60069444444444442</v>
      </c>
      <c r="V191" s="56" t="s">
        <v>1051</v>
      </c>
      <c r="W191" s="56" t="s">
        <v>1052</v>
      </c>
      <c r="X191" s="56" t="s">
        <v>1053</v>
      </c>
      <c r="Y191" s="56">
        <v>31</v>
      </c>
      <c r="Z191" s="56" t="s">
        <v>1054</v>
      </c>
      <c r="AA191" s="56" t="s">
        <v>2032</v>
      </c>
      <c r="AB191" s="56" t="s">
        <v>1120</v>
      </c>
      <c r="AC191" s="56" t="s">
        <v>1078</v>
      </c>
      <c r="AD191" s="56" t="s">
        <v>2033</v>
      </c>
      <c r="AE191" s="56" t="s">
        <v>2034</v>
      </c>
      <c r="AF191" s="56" t="s">
        <v>1237</v>
      </c>
      <c r="AG191" s="56" t="s">
        <v>2035</v>
      </c>
      <c r="AH191" s="56"/>
      <c r="AI191" s="56"/>
      <c r="AJ191" s="56"/>
      <c r="AK191" s="56"/>
      <c r="AL191" s="56"/>
      <c r="AM191" s="56"/>
      <c r="AN191" s="56"/>
      <c r="AO191" s="56"/>
      <c r="AP191" s="56"/>
      <c r="AQ191" s="131"/>
      <c r="AR191" s="130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</row>
    <row r="192" spans="1:56" x14ac:dyDescent="0.2">
      <c r="A192" s="56">
        <v>14123530</v>
      </c>
      <c r="B192" s="56">
        <v>175367453</v>
      </c>
      <c r="C192" s="56" t="s">
        <v>2036</v>
      </c>
      <c r="D192" s="56" t="s">
        <v>2037</v>
      </c>
      <c r="E192" s="56" t="s">
        <v>1047</v>
      </c>
      <c r="F192" s="56">
        <v>58</v>
      </c>
      <c r="G192" s="56">
        <v>13900</v>
      </c>
      <c r="H192" s="56" t="s">
        <v>1048</v>
      </c>
      <c r="I192" s="56" t="s">
        <v>1075</v>
      </c>
      <c r="J192" s="129">
        <v>46234</v>
      </c>
      <c r="K192" s="130">
        <v>0.53819444444444442</v>
      </c>
      <c r="L192" s="130">
        <v>0.54513888888888884</v>
      </c>
      <c r="M192" s="56" t="s">
        <v>1050</v>
      </c>
      <c r="N192" s="129">
        <v>46234</v>
      </c>
      <c r="O192" s="130">
        <v>0.60069444444444442</v>
      </c>
      <c r="P192" s="130">
        <v>0.58543981481481477</v>
      </c>
      <c r="Q192" s="56" t="s">
        <v>1050</v>
      </c>
      <c r="R192" s="56" t="s">
        <v>527</v>
      </c>
      <c r="S192" s="56">
        <v>31</v>
      </c>
      <c r="T192" s="131">
        <v>6.9444444444444198E-3</v>
      </c>
      <c r="U192" s="130">
        <v>-1.5254629629629646E-2</v>
      </c>
      <c r="V192" s="56" t="s">
        <v>1051</v>
      </c>
      <c r="W192" s="56" t="s">
        <v>1052</v>
      </c>
      <c r="X192" s="56" t="s">
        <v>1053</v>
      </c>
      <c r="Y192" s="56">
        <v>31</v>
      </c>
      <c r="Z192" s="56" t="s">
        <v>1054</v>
      </c>
      <c r="AA192" s="56" t="s">
        <v>2038</v>
      </c>
      <c r="AB192" s="56" t="s">
        <v>1077</v>
      </c>
      <c r="AC192" s="56" t="s">
        <v>1078</v>
      </c>
      <c r="AD192" s="56" t="s">
        <v>2039</v>
      </c>
      <c r="AE192" s="56" t="s">
        <v>2040</v>
      </c>
      <c r="AF192" s="56" t="s">
        <v>1237</v>
      </c>
      <c r="AG192" s="56" t="s">
        <v>2041</v>
      </c>
      <c r="AH192" s="56"/>
      <c r="AI192" s="56"/>
      <c r="AJ192" s="56"/>
      <c r="AK192" s="56"/>
      <c r="AL192" s="56"/>
      <c r="AM192" s="56"/>
      <c r="AN192" s="56"/>
      <c r="AO192" s="56"/>
      <c r="AP192" s="56"/>
      <c r="AQ192" s="131"/>
      <c r="AR192" s="130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</row>
    <row r="193" spans="1:56" x14ac:dyDescent="0.2">
      <c r="A193" s="56">
        <v>14121238</v>
      </c>
      <c r="B193" s="56">
        <v>175381619</v>
      </c>
      <c r="C193" s="56" t="s">
        <v>1661</v>
      </c>
      <c r="D193" s="56" t="s">
        <v>1521</v>
      </c>
      <c r="E193" s="56" t="s">
        <v>1047</v>
      </c>
      <c r="F193" s="56">
        <v>22</v>
      </c>
      <c r="G193" s="56">
        <v>15337</v>
      </c>
      <c r="H193" s="56" t="s">
        <v>1048</v>
      </c>
      <c r="I193" s="56" t="s">
        <v>1172</v>
      </c>
      <c r="J193" s="129">
        <v>46234</v>
      </c>
      <c r="K193" s="130">
        <v>0.53819444444444442</v>
      </c>
      <c r="L193" s="130">
        <v>0.54583333333333328</v>
      </c>
      <c r="M193" s="56" t="s">
        <v>1050</v>
      </c>
      <c r="N193" s="129">
        <v>46234</v>
      </c>
      <c r="O193" s="130">
        <v>0.61458333333333337</v>
      </c>
      <c r="P193" s="130">
        <v>0.6018634259259259</v>
      </c>
      <c r="Q193" s="56" t="s">
        <v>1050</v>
      </c>
      <c r="R193" s="56" t="s">
        <v>322</v>
      </c>
      <c r="S193" s="56">
        <v>31</v>
      </c>
      <c r="T193" s="131">
        <v>7.6388888888888618E-3</v>
      </c>
      <c r="U193" s="130">
        <v>-1.2719907407407471E-2</v>
      </c>
      <c r="V193" s="56" t="s">
        <v>1051</v>
      </c>
      <c r="W193" s="56" t="s">
        <v>1052</v>
      </c>
      <c r="X193" s="56" t="s">
        <v>1053</v>
      </c>
      <c r="Y193" s="56">
        <v>31</v>
      </c>
      <c r="Z193" s="56" t="s">
        <v>1054</v>
      </c>
      <c r="AA193" s="56" t="s">
        <v>1522</v>
      </c>
      <c r="AB193" s="56" t="s">
        <v>1174</v>
      </c>
      <c r="AC193" s="56" t="s">
        <v>1057</v>
      </c>
      <c r="AD193" s="56" t="s">
        <v>1523</v>
      </c>
      <c r="AE193" s="56" t="s">
        <v>1524</v>
      </c>
      <c r="AF193" s="56" t="s">
        <v>1237</v>
      </c>
      <c r="AG193" s="56" t="s">
        <v>1662</v>
      </c>
      <c r="AH193" s="56"/>
      <c r="AI193" s="56"/>
      <c r="AJ193" s="56"/>
      <c r="AK193" s="56"/>
      <c r="AL193" s="56"/>
      <c r="AM193" s="56"/>
      <c r="AN193" s="56"/>
      <c r="AO193" s="56"/>
      <c r="AP193" s="56"/>
      <c r="AQ193" s="131"/>
      <c r="AR193" s="130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</row>
    <row r="194" spans="1:56" x14ac:dyDescent="0.2">
      <c r="A194" s="56">
        <v>14103106</v>
      </c>
      <c r="B194" s="56">
        <v>175376967</v>
      </c>
      <c r="C194" s="56" t="s">
        <v>1261</v>
      </c>
      <c r="D194" s="56" t="s">
        <v>1117</v>
      </c>
      <c r="E194" s="56" t="s">
        <v>1047</v>
      </c>
      <c r="F194" s="56">
        <v>28</v>
      </c>
      <c r="G194" s="56">
        <v>16733</v>
      </c>
      <c r="H194" s="56" t="s">
        <v>1048</v>
      </c>
      <c r="I194" s="56" t="s">
        <v>1118</v>
      </c>
      <c r="J194" s="129">
        <v>46234</v>
      </c>
      <c r="K194" s="130">
        <v>0.5395833333333333</v>
      </c>
      <c r="L194" s="130">
        <v>0.5444444444444444</v>
      </c>
      <c r="M194" s="56" t="s">
        <v>1050</v>
      </c>
      <c r="N194" s="129">
        <v>46234</v>
      </c>
      <c r="O194" s="130">
        <v>0.60069444444444442</v>
      </c>
      <c r="P194" s="130">
        <v>0.58743055555555557</v>
      </c>
      <c r="Q194" s="56" t="s">
        <v>1050</v>
      </c>
      <c r="R194" s="56" t="s">
        <v>34</v>
      </c>
      <c r="S194" s="56">
        <v>31</v>
      </c>
      <c r="T194" s="131">
        <v>4.8611111111110938E-3</v>
      </c>
      <c r="U194" s="130">
        <v>-1.3263888888888853E-2</v>
      </c>
      <c r="V194" s="56" t="s">
        <v>1051</v>
      </c>
      <c r="W194" s="56" t="s">
        <v>1052</v>
      </c>
      <c r="X194" s="56" t="s">
        <v>1053</v>
      </c>
      <c r="Y194" s="56">
        <v>31</v>
      </c>
      <c r="Z194" s="56" t="s">
        <v>1054</v>
      </c>
      <c r="AA194" s="56" t="s">
        <v>1119</v>
      </c>
      <c r="AB194" s="56" t="s">
        <v>1120</v>
      </c>
      <c r="AC194" s="56" t="s">
        <v>1078</v>
      </c>
      <c r="AD194" s="56" t="s">
        <v>1121</v>
      </c>
      <c r="AE194" s="56" t="s">
        <v>1122</v>
      </c>
      <c r="AF194" s="56" t="s">
        <v>1237</v>
      </c>
      <c r="AG194" s="56" t="s">
        <v>1262</v>
      </c>
      <c r="AH194" s="56"/>
      <c r="AI194" s="56"/>
      <c r="AJ194" s="56"/>
      <c r="AK194" s="56"/>
      <c r="AL194" s="56"/>
      <c r="AM194" s="56"/>
      <c r="AN194" s="56"/>
      <c r="AO194" s="56"/>
      <c r="AP194" s="56"/>
      <c r="AQ194" s="131"/>
      <c r="AR194" s="130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</row>
    <row r="195" spans="1:56" x14ac:dyDescent="0.2">
      <c r="A195" s="56">
        <v>14123651</v>
      </c>
      <c r="B195" s="56">
        <v>175386702</v>
      </c>
      <c r="C195" s="56" t="s">
        <v>2042</v>
      </c>
      <c r="D195" s="56" t="s">
        <v>2043</v>
      </c>
      <c r="E195" s="56" t="s">
        <v>1047</v>
      </c>
      <c r="F195" s="56">
        <v>69</v>
      </c>
      <c r="G195" s="56">
        <v>13901</v>
      </c>
      <c r="H195" s="56" t="s">
        <v>1048</v>
      </c>
      <c r="I195" s="56" t="s">
        <v>1118</v>
      </c>
      <c r="J195" s="129">
        <v>46234</v>
      </c>
      <c r="K195" s="130">
        <v>0.54166666666666663</v>
      </c>
      <c r="L195" s="130">
        <v>0.55972222222222223</v>
      </c>
      <c r="M195" s="56" t="s">
        <v>1050</v>
      </c>
      <c r="N195" s="129">
        <v>46234</v>
      </c>
      <c r="O195" s="130">
        <v>0.60069444444444442</v>
      </c>
      <c r="P195" s="130">
        <v>0.63886574074074076</v>
      </c>
      <c r="Q195" s="56" t="s">
        <v>1050</v>
      </c>
      <c r="R195" s="56" t="s">
        <v>904</v>
      </c>
      <c r="S195" s="56">
        <v>31</v>
      </c>
      <c r="T195" s="131">
        <v>1.8055555555555602E-2</v>
      </c>
      <c r="U195" s="130">
        <v>3.8171296296296342E-2</v>
      </c>
      <c r="V195" s="56" t="s">
        <v>1051</v>
      </c>
      <c r="W195" s="56" t="s">
        <v>1065</v>
      </c>
      <c r="X195" s="56" t="s">
        <v>1066</v>
      </c>
      <c r="Y195" s="56">
        <v>31</v>
      </c>
      <c r="Z195" s="56" t="s">
        <v>1054</v>
      </c>
      <c r="AA195" s="56" t="s">
        <v>2044</v>
      </c>
      <c r="AB195" s="56" t="s">
        <v>1120</v>
      </c>
      <c r="AC195" s="56" t="s">
        <v>1078</v>
      </c>
      <c r="AD195" s="56" t="s">
        <v>2045</v>
      </c>
      <c r="AE195" s="56" t="s">
        <v>2046</v>
      </c>
      <c r="AF195" s="56" t="s">
        <v>1237</v>
      </c>
      <c r="AG195" s="56" t="s">
        <v>2047</v>
      </c>
      <c r="AH195" s="56"/>
      <c r="AI195" s="56"/>
      <c r="AJ195" s="56"/>
      <c r="AK195" s="56"/>
      <c r="AL195" s="56"/>
      <c r="AM195" s="56"/>
      <c r="AN195" s="56"/>
      <c r="AO195" s="56"/>
      <c r="AP195" s="56"/>
      <c r="AQ195" s="131"/>
      <c r="AR195" s="130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</row>
    <row r="196" spans="1:56" x14ac:dyDescent="0.2">
      <c r="A196" s="56">
        <v>14122673</v>
      </c>
      <c r="B196" s="56">
        <v>175387935</v>
      </c>
      <c r="C196" s="56" t="s">
        <v>1276</v>
      </c>
      <c r="D196" s="56" t="s">
        <v>1277</v>
      </c>
      <c r="E196" s="56" t="s">
        <v>1047</v>
      </c>
      <c r="F196" s="56">
        <v>79</v>
      </c>
      <c r="G196" s="56">
        <v>6352</v>
      </c>
      <c r="H196" s="56" t="s">
        <v>1048</v>
      </c>
      <c r="I196" s="56" t="s">
        <v>1118</v>
      </c>
      <c r="J196" s="129">
        <v>46234</v>
      </c>
      <c r="K196" s="130">
        <v>0.54166666666666663</v>
      </c>
      <c r="L196" s="130">
        <v>0.54791666666666672</v>
      </c>
      <c r="M196" s="56" t="s">
        <v>1050</v>
      </c>
      <c r="N196" s="129">
        <v>46234</v>
      </c>
      <c r="O196" s="130">
        <v>0.60069444444444442</v>
      </c>
      <c r="P196" s="130">
        <v>0.59745370370370365</v>
      </c>
      <c r="Q196" s="56" t="s">
        <v>1050</v>
      </c>
      <c r="R196" s="56" t="s">
        <v>432</v>
      </c>
      <c r="S196" s="56">
        <v>31</v>
      </c>
      <c r="T196" s="131">
        <v>6.2500000000000888E-3</v>
      </c>
      <c r="U196" s="130">
        <v>-3.2407407407407662E-3</v>
      </c>
      <c r="V196" s="56" t="s">
        <v>1051</v>
      </c>
      <c r="W196" s="56" t="s">
        <v>1052</v>
      </c>
      <c r="X196" s="56" t="s">
        <v>1053</v>
      </c>
      <c r="Y196" s="56">
        <v>31</v>
      </c>
      <c r="Z196" s="56" t="s">
        <v>1054</v>
      </c>
      <c r="AA196" s="56" t="s">
        <v>1278</v>
      </c>
      <c r="AB196" s="56" t="s">
        <v>1120</v>
      </c>
      <c r="AC196" s="56" t="s">
        <v>1078</v>
      </c>
      <c r="AD196" s="56" t="s">
        <v>1279</v>
      </c>
      <c r="AE196" s="56" t="s">
        <v>1280</v>
      </c>
      <c r="AF196" s="56" t="s">
        <v>1237</v>
      </c>
      <c r="AG196" s="56" t="s">
        <v>1281</v>
      </c>
      <c r="AH196" s="56"/>
      <c r="AI196" s="56"/>
      <c r="AJ196" s="56"/>
      <c r="AK196" s="56"/>
      <c r="AL196" s="56"/>
      <c r="AM196" s="56"/>
      <c r="AN196" s="56"/>
      <c r="AO196" s="56"/>
      <c r="AP196" s="56"/>
      <c r="AQ196" s="131"/>
      <c r="AR196" s="130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</row>
    <row r="197" spans="1:56" x14ac:dyDescent="0.2">
      <c r="A197" s="56">
        <v>14123238</v>
      </c>
      <c r="B197" s="56">
        <v>175389162</v>
      </c>
      <c r="C197" s="56" t="s">
        <v>1282</v>
      </c>
      <c r="D197" s="56" t="s">
        <v>1145</v>
      </c>
      <c r="E197" s="56" t="s">
        <v>1047</v>
      </c>
      <c r="F197" s="56">
        <v>91</v>
      </c>
      <c r="G197" s="56">
        <v>13409</v>
      </c>
      <c r="H197" s="56" t="s">
        <v>1048</v>
      </c>
      <c r="I197" s="56" t="s">
        <v>1118</v>
      </c>
      <c r="J197" s="129">
        <v>46234</v>
      </c>
      <c r="K197" s="130">
        <v>0.54166666666666663</v>
      </c>
      <c r="L197" s="130">
        <v>0.55833333333333335</v>
      </c>
      <c r="M197" s="56" t="s">
        <v>1050</v>
      </c>
      <c r="N197" s="129">
        <v>46234</v>
      </c>
      <c r="O197" s="130">
        <v>0.60069444444444442</v>
      </c>
      <c r="P197" s="130">
        <v>0.60194444444444439</v>
      </c>
      <c r="Q197" s="56" t="s">
        <v>1050</v>
      </c>
      <c r="R197" s="56" t="s">
        <v>487</v>
      </c>
      <c r="S197" s="56">
        <v>31</v>
      </c>
      <c r="T197" s="131">
        <v>1.6666666666666718E-2</v>
      </c>
      <c r="U197" s="130">
        <v>1.2499999999999734E-3</v>
      </c>
      <c r="V197" s="56" t="s">
        <v>1051</v>
      </c>
      <c r="W197" s="56" t="s">
        <v>1052</v>
      </c>
      <c r="X197" s="56" t="s">
        <v>1053</v>
      </c>
      <c r="Y197" s="56">
        <v>31</v>
      </c>
      <c r="Z197" s="56" t="s">
        <v>1054</v>
      </c>
      <c r="AA197" s="56" t="s">
        <v>1146</v>
      </c>
      <c r="AB197" s="56" t="s">
        <v>1120</v>
      </c>
      <c r="AC197" s="56" t="s">
        <v>1078</v>
      </c>
      <c r="AD197" s="56" t="s">
        <v>1147</v>
      </c>
      <c r="AE197" s="56" t="s">
        <v>1148</v>
      </c>
      <c r="AF197" s="56" t="s">
        <v>1237</v>
      </c>
      <c r="AG197" s="56" t="s">
        <v>1283</v>
      </c>
      <c r="AH197" s="56"/>
      <c r="AI197" s="56"/>
      <c r="AJ197" s="56"/>
      <c r="AK197" s="56"/>
      <c r="AL197" s="56"/>
      <c r="AM197" s="56"/>
      <c r="AN197" s="56"/>
      <c r="AO197" s="56"/>
      <c r="AP197" s="56"/>
      <c r="AQ197" s="131"/>
      <c r="AR197" s="130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</row>
    <row r="198" spans="1:56" x14ac:dyDescent="0.2">
      <c r="A198" s="56">
        <v>14103183</v>
      </c>
      <c r="B198" s="56">
        <v>175373007</v>
      </c>
      <c r="C198" s="56" t="s">
        <v>2048</v>
      </c>
      <c r="D198" s="56" t="s">
        <v>1339</v>
      </c>
      <c r="E198" s="56" t="s">
        <v>1047</v>
      </c>
      <c r="F198" s="56">
        <v>1</v>
      </c>
      <c r="G198" s="56">
        <v>15313</v>
      </c>
      <c r="H198" s="56" t="s">
        <v>1048</v>
      </c>
      <c r="I198" s="56" t="s">
        <v>1340</v>
      </c>
      <c r="J198" s="129">
        <v>46234</v>
      </c>
      <c r="K198" s="130">
        <v>0.55208333333333337</v>
      </c>
      <c r="L198" s="130">
        <v>0.55555555555555558</v>
      </c>
      <c r="M198" s="56" t="s">
        <v>1050</v>
      </c>
      <c r="N198" s="129">
        <v>46234</v>
      </c>
      <c r="O198" s="130">
        <v>0.57291666666666663</v>
      </c>
      <c r="P198" s="130">
        <v>0.5685069444444445</v>
      </c>
      <c r="Q198" s="56" t="s">
        <v>1050</v>
      </c>
      <c r="R198" s="56" t="s">
        <v>35</v>
      </c>
      <c r="S198" s="56">
        <v>31</v>
      </c>
      <c r="T198" s="131">
        <v>3.4722222222222099E-3</v>
      </c>
      <c r="U198" s="130">
        <v>-4.4097222222221344E-3</v>
      </c>
      <c r="V198" s="56" t="s">
        <v>1051</v>
      </c>
      <c r="W198" s="56" t="s">
        <v>1052</v>
      </c>
      <c r="X198" s="56" t="s">
        <v>1053</v>
      </c>
      <c r="Y198" s="56">
        <v>31</v>
      </c>
      <c r="Z198" s="56" t="s">
        <v>1054</v>
      </c>
      <c r="AA198" s="56" t="s">
        <v>1341</v>
      </c>
      <c r="AB198" s="56" t="s">
        <v>1342</v>
      </c>
      <c r="AC198" s="56" t="s">
        <v>1069</v>
      </c>
      <c r="AD198" s="56" t="s">
        <v>1343</v>
      </c>
      <c r="AE198" s="56" t="s">
        <v>1344</v>
      </c>
      <c r="AF198" s="56" t="s">
        <v>1237</v>
      </c>
      <c r="AG198" s="56" t="s">
        <v>2049</v>
      </c>
      <c r="AH198" s="56"/>
      <c r="AI198" s="56"/>
      <c r="AJ198" s="56"/>
      <c r="AK198" s="56"/>
      <c r="AL198" s="56"/>
      <c r="AM198" s="56"/>
      <c r="AN198" s="56"/>
      <c r="AO198" s="56"/>
      <c r="AP198" s="56"/>
      <c r="AQ198" s="131"/>
      <c r="AR198" s="130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</row>
    <row r="199" spans="1:56" x14ac:dyDescent="0.2">
      <c r="A199" s="56">
        <v>14123725</v>
      </c>
      <c r="B199" s="56">
        <v>175387772</v>
      </c>
      <c r="C199" s="56" t="s">
        <v>1720</v>
      </c>
      <c r="D199" s="56" t="s">
        <v>1171</v>
      </c>
      <c r="E199" s="56" t="s">
        <v>1047</v>
      </c>
      <c r="F199" s="56">
        <v>98</v>
      </c>
      <c r="G199" s="56">
        <v>13371</v>
      </c>
      <c r="H199" s="56" t="s">
        <v>1048</v>
      </c>
      <c r="I199" s="56" t="s">
        <v>1172</v>
      </c>
      <c r="J199" s="129">
        <v>46234</v>
      </c>
      <c r="K199" s="130">
        <v>0.55208333333333337</v>
      </c>
      <c r="L199" s="130">
        <v>0.56041666666666667</v>
      </c>
      <c r="M199" s="56" t="s">
        <v>1050</v>
      </c>
      <c r="N199" s="129">
        <v>46234</v>
      </c>
      <c r="O199" s="130">
        <v>0.61458333333333337</v>
      </c>
      <c r="P199" s="130">
        <v>0.61922453703703706</v>
      </c>
      <c r="Q199" s="56" t="s">
        <v>1050</v>
      </c>
      <c r="R199" s="56" t="s">
        <v>956</v>
      </c>
      <c r="S199" s="56">
        <v>31</v>
      </c>
      <c r="T199" s="131">
        <v>8.3333333333333037E-3</v>
      </c>
      <c r="U199" s="130">
        <v>4.6412037037036891E-3</v>
      </c>
      <c r="V199" s="56" t="s">
        <v>1051</v>
      </c>
      <c r="W199" s="56" t="s">
        <v>1065</v>
      </c>
      <c r="X199" s="56" t="s">
        <v>1066</v>
      </c>
      <c r="Y199" s="56">
        <v>31</v>
      </c>
      <c r="Z199" s="56" t="s">
        <v>1054</v>
      </c>
      <c r="AA199" s="56" t="s">
        <v>1173</v>
      </c>
      <c r="AB199" s="56" t="s">
        <v>1174</v>
      </c>
      <c r="AC199" s="56" t="s">
        <v>1057</v>
      </c>
      <c r="AD199" s="56" t="s">
        <v>1175</v>
      </c>
      <c r="AE199" s="56" t="s">
        <v>1176</v>
      </c>
      <c r="AF199" s="56" t="s">
        <v>1237</v>
      </c>
      <c r="AG199" s="56" t="s">
        <v>1721</v>
      </c>
      <c r="AH199" s="56"/>
      <c r="AI199" s="56"/>
      <c r="AJ199" s="56"/>
      <c r="AK199" s="56"/>
      <c r="AL199" s="56"/>
      <c r="AM199" s="56"/>
      <c r="AN199" s="56"/>
      <c r="AO199" s="56"/>
      <c r="AP199" s="56"/>
      <c r="AQ199" s="131"/>
      <c r="AR199" s="130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</row>
    <row r="200" spans="1:56" x14ac:dyDescent="0.2">
      <c r="A200" s="56">
        <v>14123312</v>
      </c>
      <c r="B200" s="56">
        <v>175389692</v>
      </c>
      <c r="C200" s="56" t="s">
        <v>2050</v>
      </c>
      <c r="D200" s="56" t="s">
        <v>1534</v>
      </c>
      <c r="E200" s="56" t="s">
        <v>1047</v>
      </c>
      <c r="F200" s="56">
        <v>173</v>
      </c>
      <c r="G200" s="56">
        <v>6901</v>
      </c>
      <c r="H200" s="56" t="s">
        <v>1048</v>
      </c>
      <c r="I200" s="56" t="s">
        <v>1172</v>
      </c>
      <c r="J200" s="129">
        <v>46234</v>
      </c>
      <c r="K200" s="130">
        <v>0.55347222222222225</v>
      </c>
      <c r="L200" s="130">
        <v>0.56527777777777777</v>
      </c>
      <c r="M200" s="56" t="s">
        <v>1050</v>
      </c>
      <c r="N200" s="129">
        <v>46234</v>
      </c>
      <c r="O200" s="130">
        <v>0.61458333333333337</v>
      </c>
      <c r="P200" s="130">
        <v>0.60256944444444449</v>
      </c>
      <c r="Q200" s="56" t="s">
        <v>1050</v>
      </c>
      <c r="R200" s="56" t="s">
        <v>496</v>
      </c>
      <c r="S200" s="56">
        <v>31</v>
      </c>
      <c r="T200" s="131">
        <v>1.1805555555555514E-2</v>
      </c>
      <c r="U200" s="130">
        <v>-1.201388888888888E-2</v>
      </c>
      <c r="V200" s="56" t="s">
        <v>1051</v>
      </c>
      <c r="W200" s="56" t="s">
        <v>1052</v>
      </c>
      <c r="X200" s="56" t="s">
        <v>1053</v>
      </c>
      <c r="Y200" s="56">
        <v>31</v>
      </c>
      <c r="Z200" s="56" t="s">
        <v>1054</v>
      </c>
      <c r="AA200" s="56" t="s">
        <v>1535</v>
      </c>
      <c r="AB200" s="56" t="s">
        <v>1174</v>
      </c>
      <c r="AC200" s="56" t="s">
        <v>1057</v>
      </c>
      <c r="AD200" s="56" t="s">
        <v>1536</v>
      </c>
      <c r="AE200" s="56" t="s">
        <v>1537</v>
      </c>
      <c r="AF200" s="56" t="s">
        <v>1237</v>
      </c>
      <c r="AG200" s="56" t="s">
        <v>2051</v>
      </c>
      <c r="AH200" s="56"/>
      <c r="AI200" s="56"/>
      <c r="AJ200" s="56"/>
      <c r="AK200" s="56"/>
      <c r="AL200" s="56"/>
      <c r="AM200" s="56"/>
      <c r="AN200" s="56"/>
      <c r="AO200" s="56"/>
      <c r="AP200" s="56"/>
      <c r="AQ200" s="131"/>
      <c r="AR200" s="130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</row>
    <row r="201" spans="1:56" x14ac:dyDescent="0.2">
      <c r="A201" s="56">
        <v>14121015</v>
      </c>
      <c r="B201" s="56">
        <v>175377204</v>
      </c>
      <c r="C201" s="56" t="s">
        <v>1722</v>
      </c>
      <c r="D201" s="56" t="s">
        <v>1089</v>
      </c>
      <c r="E201" s="56" t="s">
        <v>1047</v>
      </c>
      <c r="F201" s="56">
        <v>99</v>
      </c>
      <c r="G201" s="56">
        <v>15995</v>
      </c>
      <c r="H201" s="56" t="s">
        <v>1048</v>
      </c>
      <c r="I201" s="56" t="s">
        <v>1104</v>
      </c>
      <c r="J201" s="129">
        <v>46234</v>
      </c>
      <c r="K201" s="130">
        <v>0.55902777777777779</v>
      </c>
      <c r="L201" s="130">
        <v>0.57152777777777775</v>
      </c>
      <c r="M201" s="56" t="s">
        <v>1050</v>
      </c>
      <c r="N201" s="129">
        <v>46234</v>
      </c>
      <c r="O201" s="130">
        <v>0.60069444444444442</v>
      </c>
      <c r="P201" s="130">
        <v>0.60206018518518523</v>
      </c>
      <c r="Q201" s="56" t="s">
        <v>1050</v>
      </c>
      <c r="R201" s="56" t="s">
        <v>306</v>
      </c>
      <c r="S201" s="56">
        <v>31</v>
      </c>
      <c r="T201" s="131">
        <v>1.2499999999999956E-2</v>
      </c>
      <c r="U201" s="130">
        <v>1.3657407407408062E-3</v>
      </c>
      <c r="V201" s="56" t="s">
        <v>1051</v>
      </c>
      <c r="W201" s="56" t="s">
        <v>1052</v>
      </c>
      <c r="X201" s="56" t="s">
        <v>1053</v>
      </c>
      <c r="Y201" s="56">
        <v>31</v>
      </c>
      <c r="Z201" s="56" t="s">
        <v>1054</v>
      </c>
      <c r="AA201" s="56" t="s">
        <v>1723</v>
      </c>
      <c r="AB201" s="56" t="s">
        <v>1106</v>
      </c>
      <c r="AC201" s="56" t="s">
        <v>1078</v>
      </c>
      <c r="AD201" s="56" t="s">
        <v>1724</v>
      </c>
      <c r="AE201" s="56" t="s">
        <v>1725</v>
      </c>
      <c r="AF201" s="56" t="s">
        <v>1237</v>
      </c>
      <c r="AG201" s="56" t="s">
        <v>1726</v>
      </c>
      <c r="AH201" s="56"/>
      <c r="AI201" s="56"/>
      <c r="AJ201" s="56"/>
      <c r="AK201" s="56"/>
      <c r="AL201" s="56"/>
      <c r="AM201" s="56"/>
      <c r="AN201" s="56"/>
      <c r="AO201" s="56"/>
      <c r="AP201" s="56"/>
      <c r="AQ201" s="131"/>
      <c r="AR201" s="130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</row>
    <row r="202" spans="1:56" x14ac:dyDescent="0.2">
      <c r="A202" s="56">
        <v>14122927</v>
      </c>
      <c r="B202" s="56">
        <v>175390790</v>
      </c>
      <c r="C202" s="56" t="s">
        <v>2052</v>
      </c>
      <c r="D202" s="56" t="s">
        <v>2053</v>
      </c>
      <c r="E202" s="56" t="s">
        <v>1047</v>
      </c>
      <c r="F202" s="56">
        <v>230</v>
      </c>
      <c r="G202" s="56">
        <v>6313</v>
      </c>
      <c r="H202" s="56" t="s">
        <v>1048</v>
      </c>
      <c r="I202" s="56" t="s">
        <v>1172</v>
      </c>
      <c r="J202" s="129">
        <v>46234</v>
      </c>
      <c r="K202" s="130">
        <v>0.56111111111111112</v>
      </c>
      <c r="L202" s="130">
        <v>0.56597222222222221</v>
      </c>
      <c r="M202" s="56" t="s">
        <v>1050</v>
      </c>
      <c r="N202" s="129">
        <v>46234</v>
      </c>
      <c r="O202" s="130">
        <v>0.61458333333333337</v>
      </c>
      <c r="P202" s="130">
        <v>0.62361111111111112</v>
      </c>
      <c r="Q202" s="56" t="s">
        <v>1050</v>
      </c>
      <c r="R202" s="56" t="s">
        <v>461</v>
      </c>
      <c r="S202" s="56">
        <v>31</v>
      </c>
      <c r="T202" s="131">
        <v>4.8611111111110938E-3</v>
      </c>
      <c r="U202" s="130">
        <v>9.0277777777777457E-3</v>
      </c>
      <c r="V202" s="56" t="s">
        <v>1051</v>
      </c>
      <c r="W202" s="56" t="s">
        <v>1065</v>
      </c>
      <c r="X202" s="56" t="s">
        <v>1066</v>
      </c>
      <c r="Y202" s="56">
        <v>31</v>
      </c>
      <c r="Z202" s="56" t="s">
        <v>1054</v>
      </c>
      <c r="AA202" s="56" t="s">
        <v>2054</v>
      </c>
      <c r="AB202" s="56" t="s">
        <v>1174</v>
      </c>
      <c r="AC202" s="56" t="s">
        <v>1057</v>
      </c>
      <c r="AD202" s="56" t="s">
        <v>2055</v>
      </c>
      <c r="AE202" s="56" t="s">
        <v>2056</v>
      </c>
      <c r="AF202" s="56" t="s">
        <v>1237</v>
      </c>
      <c r="AG202" s="56" t="s">
        <v>2057</v>
      </c>
      <c r="AH202" s="56"/>
      <c r="AI202" s="56"/>
      <c r="AJ202" s="56"/>
      <c r="AK202" s="56"/>
      <c r="AL202" s="56"/>
      <c r="AM202" s="56"/>
      <c r="AN202" s="56"/>
      <c r="AO202" s="56"/>
      <c r="AP202" s="56"/>
      <c r="AQ202" s="131"/>
      <c r="AR202" s="130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</row>
    <row r="203" spans="1:56" x14ac:dyDescent="0.2">
      <c r="A203" s="56"/>
      <c r="B203" s="56">
        <v>175390796</v>
      </c>
      <c r="C203" s="56" t="s">
        <v>2058</v>
      </c>
      <c r="D203" s="56" t="s">
        <v>2059</v>
      </c>
      <c r="E203" s="56" t="s">
        <v>1047</v>
      </c>
      <c r="F203" s="56">
        <v>232</v>
      </c>
      <c r="G203" s="56">
        <v>4203</v>
      </c>
      <c r="H203" s="56" t="s">
        <v>1048</v>
      </c>
      <c r="I203" s="56" t="s">
        <v>1172</v>
      </c>
      <c r="J203" s="129">
        <v>46234</v>
      </c>
      <c r="K203" s="130">
        <v>0.56944444444444442</v>
      </c>
      <c r="L203" s="130">
        <v>0.57291666666666663</v>
      </c>
      <c r="M203" s="56" t="s">
        <v>1050</v>
      </c>
      <c r="N203" s="129">
        <v>46234</v>
      </c>
      <c r="O203" s="130">
        <v>0.61458333333333337</v>
      </c>
      <c r="P203" s="130">
        <v>0.61057870370370371</v>
      </c>
      <c r="Q203" s="56" t="s">
        <v>1050</v>
      </c>
      <c r="R203" s="56" t="s">
        <v>2060</v>
      </c>
      <c r="S203" s="56">
        <v>31</v>
      </c>
      <c r="T203" s="131">
        <v>3.4722222222222099E-3</v>
      </c>
      <c r="U203" s="130">
        <v>-4.0046296296296635E-3</v>
      </c>
      <c r="V203" s="56" t="s">
        <v>1051</v>
      </c>
      <c r="W203" s="56" t="s">
        <v>1052</v>
      </c>
      <c r="X203" s="56" t="s">
        <v>1053</v>
      </c>
      <c r="Y203" s="56">
        <v>31</v>
      </c>
      <c r="Z203" s="56" t="s">
        <v>1054</v>
      </c>
      <c r="AA203" s="56" t="s">
        <v>2061</v>
      </c>
      <c r="AB203" s="56" t="s">
        <v>1174</v>
      </c>
      <c r="AC203" s="56" t="s">
        <v>1057</v>
      </c>
      <c r="AD203" s="56" t="s">
        <v>2062</v>
      </c>
      <c r="AE203" s="56" t="s">
        <v>2063</v>
      </c>
      <c r="AF203" s="56" t="s">
        <v>1237</v>
      </c>
      <c r="AG203" s="56" t="s">
        <v>2064</v>
      </c>
      <c r="AH203" s="56"/>
      <c r="AI203" s="56"/>
      <c r="AJ203" s="56"/>
      <c r="AK203" s="56"/>
      <c r="AL203" s="56"/>
      <c r="AM203" s="56"/>
      <c r="AN203" s="56"/>
      <c r="AO203" s="56"/>
      <c r="AP203" s="56"/>
      <c r="AQ203" s="131"/>
      <c r="AR203" s="130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</row>
    <row r="204" spans="1:56" x14ac:dyDescent="0.2">
      <c r="A204" s="56">
        <v>14122094</v>
      </c>
      <c r="B204" s="56">
        <v>175379647</v>
      </c>
      <c r="C204" s="56" t="s">
        <v>2065</v>
      </c>
      <c r="D204" s="56" t="s">
        <v>2066</v>
      </c>
      <c r="E204" s="56" t="s">
        <v>1047</v>
      </c>
      <c r="F204" s="56">
        <v>9</v>
      </c>
      <c r="G204" s="56">
        <v>6867</v>
      </c>
      <c r="H204" s="56" t="s">
        <v>1048</v>
      </c>
      <c r="I204" s="56" t="s">
        <v>1358</v>
      </c>
      <c r="J204" s="129">
        <v>46234</v>
      </c>
      <c r="K204" s="130">
        <v>0.61458333333333337</v>
      </c>
      <c r="L204" s="130">
        <v>0.61875000000000002</v>
      </c>
      <c r="M204" s="56" t="s">
        <v>1050</v>
      </c>
      <c r="N204" s="129">
        <v>46234</v>
      </c>
      <c r="O204" s="130">
        <v>0.65972222222222221</v>
      </c>
      <c r="P204" s="130">
        <v>0.65482638888888889</v>
      </c>
      <c r="Q204" s="56" t="s">
        <v>1050</v>
      </c>
      <c r="R204" s="56" t="s">
        <v>379</v>
      </c>
      <c r="S204" s="56">
        <v>31</v>
      </c>
      <c r="T204" s="131">
        <v>4.1666666666666519E-3</v>
      </c>
      <c r="U204" s="130">
        <v>-4.8958333333333215E-3</v>
      </c>
      <c r="V204" s="56" t="s">
        <v>1051</v>
      </c>
      <c r="W204" s="56" t="s">
        <v>1052</v>
      </c>
      <c r="X204" s="56" t="s">
        <v>1053</v>
      </c>
      <c r="Y204" s="56">
        <v>31</v>
      </c>
      <c r="Z204" s="56" t="s">
        <v>1054</v>
      </c>
      <c r="AA204" s="56" t="s">
        <v>2067</v>
      </c>
      <c r="AB204" s="56" t="s">
        <v>1361</v>
      </c>
      <c r="AC204" s="56" t="s">
        <v>1069</v>
      </c>
      <c r="AD204" s="56" t="s">
        <v>2068</v>
      </c>
      <c r="AE204" s="56" t="s">
        <v>2069</v>
      </c>
      <c r="AF204" s="56" t="s">
        <v>1237</v>
      </c>
      <c r="AG204" s="56" t="s">
        <v>2070</v>
      </c>
      <c r="AH204" s="56"/>
      <c r="AI204" s="56"/>
      <c r="AJ204" s="56"/>
      <c r="AK204" s="56"/>
      <c r="AL204" s="56"/>
      <c r="AM204" s="56"/>
      <c r="AN204" s="56"/>
      <c r="AO204" s="56"/>
      <c r="AP204" s="56"/>
      <c r="AQ204" s="131"/>
      <c r="AR204" s="130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</row>
    <row r="205" spans="1:56" x14ac:dyDescent="0.2">
      <c r="A205" s="56">
        <v>14122394</v>
      </c>
      <c r="B205" s="56">
        <v>175392899</v>
      </c>
      <c r="C205" s="56" t="s">
        <v>2071</v>
      </c>
      <c r="D205" s="56" t="s">
        <v>1563</v>
      </c>
      <c r="E205" s="56" t="s">
        <v>1047</v>
      </c>
      <c r="F205" s="56">
        <v>267</v>
      </c>
      <c r="G205" s="56">
        <v>5442</v>
      </c>
      <c r="H205" s="56" t="s">
        <v>1048</v>
      </c>
      <c r="I205" s="56" t="s">
        <v>1172</v>
      </c>
      <c r="J205" s="129">
        <v>46234</v>
      </c>
      <c r="K205" s="130">
        <v>0.63888888888888884</v>
      </c>
      <c r="L205" s="130">
        <v>0.64930555555555558</v>
      </c>
      <c r="M205" s="56" t="s">
        <v>1050</v>
      </c>
      <c r="N205" s="129">
        <v>46234</v>
      </c>
      <c r="O205" s="130">
        <v>0.64583333333333337</v>
      </c>
      <c r="P205" s="130">
        <v>0.65326388888888887</v>
      </c>
      <c r="Q205" s="56" t="s">
        <v>1050</v>
      </c>
      <c r="R205" s="56" t="s">
        <v>413</v>
      </c>
      <c r="S205" s="56">
        <v>31</v>
      </c>
      <c r="T205" s="131">
        <v>1.0416666666666741E-2</v>
      </c>
      <c r="U205" s="130">
        <v>7.4305555555554959E-3</v>
      </c>
      <c r="V205" s="56" t="s">
        <v>1051</v>
      </c>
      <c r="W205" s="56" t="s">
        <v>1065</v>
      </c>
      <c r="X205" s="56" t="s">
        <v>1066</v>
      </c>
      <c r="Y205" s="56">
        <v>31</v>
      </c>
      <c r="Z205" s="56" t="s">
        <v>1054</v>
      </c>
      <c r="AA205" s="56" t="s">
        <v>1564</v>
      </c>
      <c r="AB205" s="56" t="s">
        <v>1565</v>
      </c>
      <c r="AC205" s="56" t="s">
        <v>1057</v>
      </c>
      <c r="AD205" s="56" t="s">
        <v>1566</v>
      </c>
      <c r="AE205" s="56" t="e">
        <v>#N/A</v>
      </c>
      <c r="AF205" s="56" t="s">
        <v>1237</v>
      </c>
      <c r="AG205" s="56" t="s">
        <v>2072</v>
      </c>
      <c r="AH205" s="56"/>
      <c r="AI205" s="56"/>
      <c r="AJ205" s="56"/>
      <c r="AK205" s="56"/>
      <c r="AL205" s="56"/>
      <c r="AM205" s="56"/>
      <c r="AN205" s="56"/>
      <c r="AO205" s="56"/>
      <c r="AP205" s="56"/>
      <c r="AQ205" s="131"/>
      <c r="AR205" s="130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</row>
    <row r="206" spans="1:56" x14ac:dyDescent="0.2">
      <c r="A206" s="56">
        <v>14122809</v>
      </c>
      <c r="B206" s="56">
        <v>175380514</v>
      </c>
      <c r="C206" s="56" t="s">
        <v>2073</v>
      </c>
      <c r="D206" s="56" t="s">
        <v>2074</v>
      </c>
      <c r="E206" s="56" t="s">
        <v>1047</v>
      </c>
      <c r="F206" s="56">
        <v>21</v>
      </c>
      <c r="G206" s="56">
        <v>12897</v>
      </c>
      <c r="H206" s="56" t="s">
        <v>1048</v>
      </c>
      <c r="I206" s="56" t="s">
        <v>1200</v>
      </c>
      <c r="J206" s="129">
        <v>46234</v>
      </c>
      <c r="K206" s="130">
        <v>0.64861111111111114</v>
      </c>
      <c r="L206" s="130">
        <v>0.65694444444444444</v>
      </c>
      <c r="M206" s="56" t="s">
        <v>1050</v>
      </c>
      <c r="N206" s="129">
        <v>46234</v>
      </c>
      <c r="O206" s="130">
        <v>0.72916666666666663</v>
      </c>
      <c r="P206" s="130">
        <v>0.72188657407407408</v>
      </c>
      <c r="Q206" s="56" t="s">
        <v>1050</v>
      </c>
      <c r="R206" s="56" t="s">
        <v>446</v>
      </c>
      <c r="S206" s="56">
        <v>31</v>
      </c>
      <c r="T206" s="131">
        <v>8.3333333333333037E-3</v>
      </c>
      <c r="U206" s="130">
        <v>-7.2800925925925464E-3</v>
      </c>
      <c r="V206" s="56" t="s">
        <v>1051</v>
      </c>
      <c r="W206" s="56" t="s">
        <v>1052</v>
      </c>
      <c r="X206" s="56" t="s">
        <v>1053</v>
      </c>
      <c r="Y206" s="56">
        <v>31</v>
      </c>
      <c r="Z206" s="56" t="s">
        <v>1054</v>
      </c>
      <c r="AA206" s="56" t="s">
        <v>2075</v>
      </c>
      <c r="AB206" s="56" t="s">
        <v>1203</v>
      </c>
      <c r="AC206" s="56" t="s">
        <v>1057</v>
      </c>
      <c r="AD206" s="56" t="s">
        <v>2076</v>
      </c>
      <c r="AE206" s="56" t="s">
        <v>2077</v>
      </c>
      <c r="AF206" s="56" t="s">
        <v>1336</v>
      </c>
      <c r="AG206" s="56" t="s">
        <v>2078</v>
      </c>
      <c r="AH206" s="56"/>
      <c r="AI206" s="56"/>
      <c r="AJ206" s="56"/>
      <c r="AK206" s="56"/>
      <c r="AL206" s="56"/>
      <c r="AM206" s="56"/>
      <c r="AN206" s="56"/>
      <c r="AO206" s="56"/>
      <c r="AP206" s="56"/>
      <c r="AQ206" s="131"/>
      <c r="AR206" s="130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</row>
    <row r="207" spans="1:56" x14ac:dyDescent="0.2">
      <c r="A207" s="56">
        <v>14118640</v>
      </c>
      <c r="B207" s="56">
        <v>175384088</v>
      </c>
      <c r="C207" s="56" t="s">
        <v>2079</v>
      </c>
      <c r="D207" s="56" t="s">
        <v>1379</v>
      </c>
      <c r="E207" s="56" t="s">
        <v>1047</v>
      </c>
      <c r="F207" s="56">
        <v>38</v>
      </c>
      <c r="G207" s="56">
        <v>15865</v>
      </c>
      <c r="H207" s="56" t="s">
        <v>1048</v>
      </c>
      <c r="I207" s="56" t="s">
        <v>1049</v>
      </c>
      <c r="J207" s="129">
        <v>46234</v>
      </c>
      <c r="K207" s="130">
        <v>0.68055555555555558</v>
      </c>
      <c r="L207" s="130">
        <v>0.68611111111111112</v>
      </c>
      <c r="M207" s="56" t="s">
        <v>1050</v>
      </c>
      <c r="N207" s="129">
        <v>46234</v>
      </c>
      <c r="O207" s="130">
        <v>0.76041666666666663</v>
      </c>
      <c r="P207" s="130">
        <v>0.75059027777777776</v>
      </c>
      <c r="Q207" s="56" t="s">
        <v>1050</v>
      </c>
      <c r="R207" s="56" t="s">
        <v>205</v>
      </c>
      <c r="S207" s="56">
        <v>31</v>
      </c>
      <c r="T207" s="131">
        <v>5.5555555555555358E-3</v>
      </c>
      <c r="U207" s="130">
        <v>-9.8263888888888706E-3</v>
      </c>
      <c r="V207" s="56" t="s">
        <v>1051</v>
      </c>
      <c r="W207" s="56" t="s">
        <v>1052</v>
      </c>
      <c r="X207" s="56" t="s">
        <v>1053</v>
      </c>
      <c r="Y207" s="56">
        <v>31</v>
      </c>
      <c r="Z207" s="56" t="s">
        <v>1054</v>
      </c>
      <c r="AA207" s="56" t="s">
        <v>1380</v>
      </c>
      <c r="AB207" s="56" t="s">
        <v>1056</v>
      </c>
      <c r="AC207" s="56" t="s">
        <v>1057</v>
      </c>
      <c r="AD207" s="56" t="s">
        <v>1381</v>
      </c>
      <c r="AE207" s="56" t="s">
        <v>1382</v>
      </c>
      <c r="AF207" s="56" t="s">
        <v>1237</v>
      </c>
      <c r="AG207" s="56" t="s">
        <v>2080</v>
      </c>
      <c r="AH207" s="56"/>
      <c r="AI207" s="56"/>
      <c r="AJ207" s="56"/>
      <c r="AK207" s="56"/>
      <c r="AL207" s="56"/>
      <c r="AM207" s="56"/>
      <c r="AN207" s="56"/>
      <c r="AO207" s="56"/>
      <c r="AP207" s="56"/>
      <c r="AQ207" s="131"/>
      <c r="AR207" s="130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</row>
    <row r="208" spans="1:56" x14ac:dyDescent="0.2">
      <c r="A208" s="56">
        <v>14123473</v>
      </c>
      <c r="B208" s="56">
        <v>175388467</v>
      </c>
      <c r="C208" s="56" t="s">
        <v>1305</v>
      </c>
      <c r="D208" s="56" t="s">
        <v>1111</v>
      </c>
      <c r="E208" s="56" t="s">
        <v>1047</v>
      </c>
      <c r="F208" s="56">
        <v>19</v>
      </c>
      <c r="G208" s="56">
        <v>6906</v>
      </c>
      <c r="H208" s="56" t="s">
        <v>1048</v>
      </c>
      <c r="I208" s="56" t="s">
        <v>1090</v>
      </c>
      <c r="J208" s="129">
        <v>46234</v>
      </c>
      <c r="K208" s="130">
        <v>0.68402777777777779</v>
      </c>
      <c r="L208" s="130">
        <v>0.69236111111111109</v>
      </c>
      <c r="M208" s="56" t="s">
        <v>1050</v>
      </c>
      <c r="N208" s="129">
        <v>46234</v>
      </c>
      <c r="O208" s="130">
        <v>0.76736111111111116</v>
      </c>
      <c r="P208" s="130">
        <v>0.75024305555555559</v>
      </c>
      <c r="Q208" s="56" t="s">
        <v>1050</v>
      </c>
      <c r="R208" s="56" t="s">
        <v>514</v>
      </c>
      <c r="S208" s="56">
        <v>31</v>
      </c>
      <c r="T208" s="131">
        <v>8.3333333333333037E-3</v>
      </c>
      <c r="U208" s="130">
        <v>-1.7118055555555567E-2</v>
      </c>
      <c r="V208" s="56" t="s">
        <v>1051</v>
      </c>
      <c r="W208" s="56" t="s">
        <v>1052</v>
      </c>
      <c r="X208" s="56" t="s">
        <v>1053</v>
      </c>
      <c r="Y208" s="56">
        <v>31</v>
      </c>
      <c r="Z208" s="56" t="s">
        <v>1054</v>
      </c>
      <c r="AA208" s="56" t="s">
        <v>1112</v>
      </c>
      <c r="AB208" s="56" t="s">
        <v>1092</v>
      </c>
      <c r="AC208" s="56" t="s">
        <v>1078</v>
      </c>
      <c r="AD208" s="56" t="s">
        <v>1113</v>
      </c>
      <c r="AE208" s="56" t="s">
        <v>1114</v>
      </c>
      <c r="AF208" s="56" t="s">
        <v>1237</v>
      </c>
      <c r="AG208" s="56" t="s">
        <v>1306</v>
      </c>
      <c r="AH208" s="56"/>
      <c r="AI208" s="56"/>
      <c r="AJ208" s="56"/>
      <c r="AK208" s="56"/>
      <c r="AL208" s="56"/>
      <c r="AM208" s="56"/>
      <c r="AN208" s="56"/>
      <c r="AO208" s="56"/>
      <c r="AP208" s="56"/>
      <c r="AQ208" s="131"/>
      <c r="AR208" s="130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</row>
    <row r="209" spans="1:56" x14ac:dyDescent="0.2">
      <c r="A209" s="56">
        <v>14123080</v>
      </c>
      <c r="B209" s="56">
        <v>175389136</v>
      </c>
      <c r="C209" s="56" t="s">
        <v>2081</v>
      </c>
      <c r="D209" s="56" t="s">
        <v>1445</v>
      </c>
      <c r="E209" s="56" t="s">
        <v>1047</v>
      </c>
      <c r="F209" s="56">
        <v>89</v>
      </c>
      <c r="G209" s="56">
        <v>4411</v>
      </c>
      <c r="H209" s="56" t="s">
        <v>1048</v>
      </c>
      <c r="I209" s="56" t="s">
        <v>1090</v>
      </c>
      <c r="J209" s="129">
        <v>46234</v>
      </c>
      <c r="K209" s="130">
        <v>0.70833333333333337</v>
      </c>
      <c r="L209" s="130">
        <v>0.71180555555555558</v>
      </c>
      <c r="M209" s="56" t="s">
        <v>1050</v>
      </c>
      <c r="N209" s="129">
        <v>46234</v>
      </c>
      <c r="O209" s="130">
        <v>0.76736111111111116</v>
      </c>
      <c r="P209" s="130">
        <v>0.75267361111111108</v>
      </c>
      <c r="Q209" s="56" t="s">
        <v>1050</v>
      </c>
      <c r="R209" s="56" t="s">
        <v>475</v>
      </c>
      <c r="S209" s="56">
        <v>31</v>
      </c>
      <c r="T209" s="131">
        <v>3.4722222222222099E-3</v>
      </c>
      <c r="U209" s="130">
        <v>-1.4687500000000075E-2</v>
      </c>
      <c r="V209" s="56" t="s">
        <v>1051</v>
      </c>
      <c r="W209" s="56" t="s">
        <v>1052</v>
      </c>
      <c r="X209" s="56" t="s">
        <v>1053</v>
      </c>
      <c r="Y209" s="56">
        <v>31</v>
      </c>
      <c r="Z209" s="56" t="s">
        <v>1054</v>
      </c>
      <c r="AA209" s="56" t="s">
        <v>1446</v>
      </c>
      <c r="AB209" s="56" t="s">
        <v>1092</v>
      </c>
      <c r="AC209" s="56" t="s">
        <v>1078</v>
      </c>
      <c r="AD209" s="56" t="s">
        <v>1447</v>
      </c>
      <c r="AE209" s="56" t="s">
        <v>1448</v>
      </c>
      <c r="AF209" s="56" t="s">
        <v>1237</v>
      </c>
      <c r="AG209" s="56" t="s">
        <v>2082</v>
      </c>
      <c r="AH209" s="56"/>
      <c r="AI209" s="56"/>
      <c r="AJ209" s="56"/>
      <c r="AK209" s="56"/>
      <c r="AL209" s="56"/>
      <c r="AM209" s="56"/>
      <c r="AN209" s="56"/>
      <c r="AO209" s="56"/>
      <c r="AP209" s="56"/>
      <c r="AQ209" s="131"/>
      <c r="AR209" s="130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</row>
    <row r="210" spans="1:56" x14ac:dyDescent="0.2">
      <c r="A210" s="56">
        <v>14123336</v>
      </c>
      <c r="B210" s="56">
        <v>175388527</v>
      </c>
      <c r="C210" s="56" t="s">
        <v>1761</v>
      </c>
      <c r="D210" s="56" t="s">
        <v>1762</v>
      </c>
      <c r="E210" s="56" t="s">
        <v>1047</v>
      </c>
      <c r="F210" s="56">
        <v>49</v>
      </c>
      <c r="G210" s="56">
        <v>6063</v>
      </c>
      <c r="H210" s="56" t="s">
        <v>1048</v>
      </c>
      <c r="I210" s="56" t="s">
        <v>1090</v>
      </c>
      <c r="J210" s="129">
        <v>46234</v>
      </c>
      <c r="K210" s="130">
        <v>0.71180555555555558</v>
      </c>
      <c r="L210" s="130">
        <v>0.71666666666666667</v>
      </c>
      <c r="M210" s="56" t="s">
        <v>1050</v>
      </c>
      <c r="N210" s="129">
        <v>46234</v>
      </c>
      <c r="O210" s="130">
        <v>0.76736111111111116</v>
      </c>
      <c r="P210" s="130">
        <v>0.74854166666666666</v>
      </c>
      <c r="Q210" s="56" t="s">
        <v>1050</v>
      </c>
      <c r="R210" s="56" t="s">
        <v>1763</v>
      </c>
      <c r="S210" s="56">
        <v>31</v>
      </c>
      <c r="T210" s="131">
        <v>4.8611111111110938E-3</v>
      </c>
      <c r="U210" s="130">
        <v>-1.88194444444445E-2</v>
      </c>
      <c r="V210" s="56" t="s">
        <v>1051</v>
      </c>
      <c r="W210" s="56" t="s">
        <v>1052</v>
      </c>
      <c r="X210" s="56" t="s">
        <v>1053</v>
      </c>
      <c r="Y210" s="56">
        <v>31</v>
      </c>
      <c r="Z210" s="56" t="s">
        <v>1054</v>
      </c>
      <c r="AA210" s="56" t="s">
        <v>1764</v>
      </c>
      <c r="AB210" s="56" t="s">
        <v>1092</v>
      </c>
      <c r="AC210" s="56" t="s">
        <v>1078</v>
      </c>
      <c r="AD210" s="56" t="s">
        <v>1765</v>
      </c>
      <c r="AE210" s="56" t="s">
        <v>1766</v>
      </c>
      <c r="AF210" s="56" t="s">
        <v>1237</v>
      </c>
      <c r="AG210" s="56" t="s">
        <v>1767</v>
      </c>
      <c r="AH210" s="56"/>
      <c r="AI210" s="56"/>
      <c r="AJ210" s="56"/>
      <c r="AK210" s="56"/>
      <c r="AL210" s="56"/>
      <c r="AM210" s="56"/>
      <c r="AN210" s="56"/>
      <c r="AO210" s="56"/>
      <c r="AP210" s="56"/>
      <c r="AQ210" s="131"/>
      <c r="AR210" s="130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</row>
    <row r="211" spans="1:56" x14ac:dyDescent="0.2">
      <c r="A211" s="56"/>
      <c r="B211" s="56">
        <v>175366813</v>
      </c>
      <c r="C211" s="56" t="s">
        <v>2083</v>
      </c>
      <c r="D211" s="56" t="s">
        <v>2004</v>
      </c>
      <c r="E211" s="56" t="s">
        <v>1047</v>
      </c>
      <c r="F211" s="56">
        <v>7</v>
      </c>
      <c r="G211" s="56">
        <v>5722</v>
      </c>
      <c r="H211" s="56" t="s">
        <v>1048</v>
      </c>
      <c r="I211" s="56" t="s">
        <v>1192</v>
      </c>
      <c r="J211" s="129">
        <v>46234</v>
      </c>
      <c r="K211" s="130">
        <v>0.82986111111111116</v>
      </c>
      <c r="L211" s="130">
        <v>0.83402777777777781</v>
      </c>
      <c r="M211" s="56" t="s">
        <v>1050</v>
      </c>
      <c r="N211" s="129">
        <v>46234</v>
      </c>
      <c r="O211" s="130">
        <v>0.90277777777777779</v>
      </c>
      <c r="P211" s="130">
        <v>0.89290509259259254</v>
      </c>
      <c r="Q211" s="56" t="s">
        <v>1050</v>
      </c>
      <c r="R211" s="56"/>
      <c r="S211" s="56">
        <v>31</v>
      </c>
      <c r="T211" s="131">
        <v>4.1666666666666519E-3</v>
      </c>
      <c r="U211" s="130">
        <v>-9.8726851851852482E-3</v>
      </c>
      <c r="V211" s="56" t="s">
        <v>1051</v>
      </c>
      <c r="W211" s="56" t="s">
        <v>1052</v>
      </c>
      <c r="X211" s="56" t="s">
        <v>1053</v>
      </c>
      <c r="Y211" s="56">
        <v>31</v>
      </c>
      <c r="Z211" s="56" t="s">
        <v>1054</v>
      </c>
      <c r="AA211" s="56" t="s">
        <v>2005</v>
      </c>
      <c r="AB211" s="56" t="s">
        <v>1194</v>
      </c>
      <c r="AC211" s="56" t="s">
        <v>1057</v>
      </c>
      <c r="AD211" s="56" t="s">
        <v>2006</v>
      </c>
      <c r="AE211" s="56" t="s">
        <v>2007</v>
      </c>
      <c r="AF211" s="56" t="s">
        <v>1336</v>
      </c>
      <c r="AG211" s="56" t="s">
        <v>2084</v>
      </c>
      <c r="AH211" s="56"/>
      <c r="AI211" s="56"/>
      <c r="AJ211" s="56"/>
      <c r="AK211" s="56"/>
      <c r="AL211" s="56"/>
      <c r="AM211" s="56"/>
      <c r="AN211" s="56"/>
      <c r="AO211" s="56"/>
      <c r="AP211" s="56"/>
      <c r="AQ211" s="131"/>
      <c r="AR211" s="130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</row>
    <row r="212" spans="1:56" x14ac:dyDescent="0.2">
      <c r="A212" s="56">
        <v>14107552</v>
      </c>
      <c r="B212" s="56">
        <v>175389115</v>
      </c>
      <c r="C212" s="56" t="s">
        <v>2085</v>
      </c>
      <c r="D212" s="56" t="s">
        <v>1703</v>
      </c>
      <c r="E212" s="56" t="s">
        <v>1047</v>
      </c>
      <c r="F212" s="56">
        <v>136</v>
      </c>
      <c r="G212" s="56">
        <v>11945</v>
      </c>
      <c r="H212" s="56" t="s">
        <v>1048</v>
      </c>
      <c r="I212" s="56" t="s">
        <v>1172</v>
      </c>
      <c r="J212" s="129">
        <v>46234</v>
      </c>
      <c r="K212" s="130">
        <v>0.86319444444444449</v>
      </c>
      <c r="L212" s="130">
        <v>0.87083333333333335</v>
      </c>
      <c r="M212" s="56" t="s">
        <v>1050</v>
      </c>
      <c r="N212" s="129">
        <v>46234</v>
      </c>
      <c r="O212" s="130">
        <v>0.92708333333333337</v>
      </c>
      <c r="P212" s="130">
        <v>0.9262731481481481</v>
      </c>
      <c r="Q212" s="56" t="s">
        <v>1050</v>
      </c>
      <c r="R212" s="56" t="s">
        <v>63</v>
      </c>
      <c r="S212" s="56">
        <v>31</v>
      </c>
      <c r="T212" s="131">
        <v>7.6388888888888618E-3</v>
      </c>
      <c r="U212" s="130">
        <v>-8.1018518518527483E-4</v>
      </c>
      <c r="V212" s="56" t="s">
        <v>1051</v>
      </c>
      <c r="W212" s="56" t="s">
        <v>1052</v>
      </c>
      <c r="X212" s="56" t="s">
        <v>1053</v>
      </c>
      <c r="Y212" s="56">
        <v>31</v>
      </c>
      <c r="Z212" s="56" t="s">
        <v>1054</v>
      </c>
      <c r="AA212" s="56" t="s">
        <v>1704</v>
      </c>
      <c r="AB212" s="56" t="s">
        <v>1210</v>
      </c>
      <c r="AC212" s="56" t="s">
        <v>1057</v>
      </c>
      <c r="AD212" s="56" t="s">
        <v>1705</v>
      </c>
      <c r="AE212" s="56" t="s">
        <v>1706</v>
      </c>
      <c r="AF212" s="56" t="s">
        <v>1336</v>
      </c>
      <c r="AG212" s="56" t="s">
        <v>2086</v>
      </c>
      <c r="AH212" s="56"/>
      <c r="AI212" s="56"/>
      <c r="AJ212" s="56"/>
      <c r="AK212" s="56"/>
      <c r="AL212" s="56"/>
      <c r="AM212" s="56"/>
      <c r="AN212" s="56"/>
      <c r="AO212" s="56"/>
      <c r="AP212" s="56"/>
      <c r="AQ212" s="131"/>
      <c r="AR212" s="130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</row>
    <row r="213" spans="1:56" x14ac:dyDescent="0.2">
      <c r="A213" s="56">
        <v>14103183</v>
      </c>
      <c r="B213" s="56">
        <v>175373008</v>
      </c>
      <c r="C213" s="56" t="s">
        <v>1338</v>
      </c>
      <c r="D213" s="56" t="s">
        <v>1339</v>
      </c>
      <c r="E213" s="56" t="s">
        <v>1047</v>
      </c>
      <c r="F213" s="56">
        <v>1</v>
      </c>
      <c r="G213" s="56">
        <v>15313</v>
      </c>
      <c r="H213" s="56" t="s">
        <v>1048</v>
      </c>
      <c r="I213" s="56" t="s">
        <v>1340</v>
      </c>
      <c r="J213" s="129">
        <v>46234</v>
      </c>
      <c r="K213" s="130">
        <v>0.86805555555555558</v>
      </c>
      <c r="L213" s="130">
        <v>0.87222222222222223</v>
      </c>
      <c r="M213" s="56" t="s">
        <v>1050</v>
      </c>
      <c r="N213" s="129">
        <v>46234</v>
      </c>
      <c r="O213" s="130">
        <v>0.88888888888888884</v>
      </c>
      <c r="P213" s="130">
        <v>0.88521990740740741</v>
      </c>
      <c r="Q213" s="56" t="s">
        <v>1050</v>
      </c>
      <c r="R213" s="56" t="s">
        <v>35</v>
      </c>
      <c r="S213" s="56">
        <v>31</v>
      </c>
      <c r="T213" s="131">
        <v>4.1666666666666519E-3</v>
      </c>
      <c r="U213" s="130">
        <v>-3.6689814814814259E-3</v>
      </c>
      <c r="V213" s="56" t="s">
        <v>1051</v>
      </c>
      <c r="W213" s="56" t="s">
        <v>1052</v>
      </c>
      <c r="X213" s="56" t="s">
        <v>1053</v>
      </c>
      <c r="Y213" s="56">
        <v>31</v>
      </c>
      <c r="Z213" s="56" t="s">
        <v>1054</v>
      </c>
      <c r="AA213" s="56" t="s">
        <v>1341</v>
      </c>
      <c r="AB213" s="56" t="s">
        <v>1342</v>
      </c>
      <c r="AC213" s="56" t="s">
        <v>1069</v>
      </c>
      <c r="AD213" s="56" t="s">
        <v>1343</v>
      </c>
      <c r="AE213" s="56" t="s">
        <v>1344</v>
      </c>
      <c r="AF213" s="56" t="s">
        <v>1336</v>
      </c>
      <c r="AG213" s="56" t="s">
        <v>1345</v>
      </c>
      <c r="AH213" s="56"/>
      <c r="AI213" s="56"/>
      <c r="AJ213" s="56"/>
      <c r="AK213" s="56"/>
      <c r="AL213" s="56"/>
      <c r="AM213" s="56"/>
      <c r="AN213" s="56"/>
      <c r="AO213" s="56"/>
      <c r="AP213" s="56"/>
      <c r="AQ213" s="131"/>
      <c r="AR213" s="130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</row>
    <row r="214" spans="1:56" x14ac:dyDescent="0.2">
      <c r="A214" s="56">
        <v>14122320</v>
      </c>
      <c r="B214" s="56">
        <v>175377104</v>
      </c>
      <c r="C214" s="56" t="s">
        <v>1346</v>
      </c>
      <c r="D214" s="56" t="s">
        <v>1347</v>
      </c>
      <c r="E214" s="56" t="s">
        <v>1047</v>
      </c>
      <c r="F214" s="56">
        <v>42</v>
      </c>
      <c r="G214" s="56">
        <v>6983</v>
      </c>
      <c r="H214" s="56" t="s">
        <v>1048</v>
      </c>
      <c r="I214" s="56" t="s">
        <v>1118</v>
      </c>
      <c r="J214" s="129">
        <v>46234</v>
      </c>
      <c r="K214" s="130">
        <v>0.86805555555555558</v>
      </c>
      <c r="L214" s="130">
        <v>0.98750000000000004</v>
      </c>
      <c r="M214" s="56" t="s">
        <v>1050</v>
      </c>
      <c r="N214" s="129">
        <v>46234</v>
      </c>
      <c r="O214" s="130">
        <v>0.93402777777777779</v>
      </c>
      <c r="P214" s="130">
        <v>0.92436342592592591</v>
      </c>
      <c r="Q214" s="56" t="s">
        <v>1050</v>
      </c>
      <c r="R214" s="56" t="s">
        <v>405</v>
      </c>
      <c r="S214" s="56">
        <v>31</v>
      </c>
      <c r="T214" s="131">
        <v>0.11944444444444446</v>
      </c>
      <c r="U214" s="130">
        <v>-9.6643518518518823E-3</v>
      </c>
      <c r="V214" s="56" t="s">
        <v>1051</v>
      </c>
      <c r="W214" s="56" t="s">
        <v>1052</v>
      </c>
      <c r="X214" s="56" t="s">
        <v>1053</v>
      </c>
      <c r="Y214" s="56">
        <v>31</v>
      </c>
      <c r="Z214" s="56" t="s">
        <v>1054</v>
      </c>
      <c r="AA214" s="56" t="s">
        <v>1348</v>
      </c>
      <c r="AB214" s="56" t="s">
        <v>1120</v>
      </c>
      <c r="AC214" s="56" t="s">
        <v>1078</v>
      </c>
      <c r="AD214" s="56" t="s">
        <v>1349</v>
      </c>
      <c r="AE214" s="56" t="s">
        <v>1350</v>
      </c>
      <c r="AF214" s="56" t="s">
        <v>1336</v>
      </c>
      <c r="AG214" s="56" t="s">
        <v>1351</v>
      </c>
      <c r="AH214" s="56"/>
      <c r="AI214" s="56"/>
      <c r="AJ214" s="56"/>
      <c r="AK214" s="56"/>
      <c r="AL214" s="56"/>
      <c r="AM214" s="56"/>
      <c r="AN214" s="56"/>
      <c r="AO214" s="56"/>
      <c r="AP214" s="56"/>
      <c r="AQ214" s="131"/>
      <c r="AR214" s="130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</row>
    <row r="215" spans="1:56" x14ac:dyDescent="0.2">
      <c r="A215" s="56">
        <v>14113198</v>
      </c>
      <c r="B215" s="56">
        <v>175380719</v>
      </c>
      <c r="C215" s="56" t="s">
        <v>2087</v>
      </c>
      <c r="D215" s="56" t="s">
        <v>1392</v>
      </c>
      <c r="E215" s="56" t="s">
        <v>1047</v>
      </c>
      <c r="F215" s="56">
        <v>7</v>
      </c>
      <c r="G215" s="56">
        <v>15765</v>
      </c>
      <c r="H215" s="56" t="s">
        <v>1048</v>
      </c>
      <c r="I215" s="56" t="s">
        <v>1064</v>
      </c>
      <c r="J215" s="129">
        <v>46234</v>
      </c>
      <c r="K215" s="130">
        <v>0.86805555555555558</v>
      </c>
      <c r="L215" s="130">
        <v>0.87152777777777779</v>
      </c>
      <c r="M215" s="56" t="s">
        <v>1050</v>
      </c>
      <c r="N215" s="129">
        <v>46234</v>
      </c>
      <c r="O215" s="130">
        <v>0.91666666666666663</v>
      </c>
      <c r="P215" s="130">
        <v>0.91298611111111116</v>
      </c>
      <c r="Q215" s="56" t="s">
        <v>1050</v>
      </c>
      <c r="R215" s="56" t="s">
        <v>1393</v>
      </c>
      <c r="S215" s="56">
        <v>31</v>
      </c>
      <c r="T215" s="131">
        <v>3.4722222222222099E-3</v>
      </c>
      <c r="U215" s="130">
        <v>-3.6805555555554648E-3</v>
      </c>
      <c r="V215" s="56" t="s">
        <v>1051</v>
      </c>
      <c r="W215" s="56" t="s">
        <v>1052</v>
      </c>
      <c r="X215" s="56" t="s">
        <v>1053</v>
      </c>
      <c r="Y215" s="56">
        <v>31</v>
      </c>
      <c r="Z215" s="56" t="s">
        <v>1054</v>
      </c>
      <c r="AA215" s="56" t="s">
        <v>1394</v>
      </c>
      <c r="AB215" s="56" t="s">
        <v>1068</v>
      </c>
      <c r="AC215" s="56" t="s">
        <v>1069</v>
      </c>
      <c r="AD215" s="56" t="s">
        <v>1395</v>
      </c>
      <c r="AE215" s="56" t="s">
        <v>1396</v>
      </c>
      <c r="AF215" s="56" t="s">
        <v>1336</v>
      </c>
      <c r="AG215" s="56" t="s">
        <v>2088</v>
      </c>
      <c r="AH215" s="56"/>
      <c r="AI215" s="56"/>
      <c r="AJ215" s="56"/>
      <c r="AK215" s="56"/>
      <c r="AL215" s="56"/>
      <c r="AM215" s="56"/>
      <c r="AN215" s="56"/>
      <c r="AO215" s="56"/>
      <c r="AP215" s="56"/>
      <c r="AQ215" s="131"/>
      <c r="AR215" s="130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</row>
    <row r="216" spans="1:56" x14ac:dyDescent="0.2">
      <c r="A216" s="56">
        <v>14116431</v>
      </c>
      <c r="B216" s="56">
        <v>175376971</v>
      </c>
      <c r="C216" s="56" t="s">
        <v>2089</v>
      </c>
      <c r="D216" s="56" t="s">
        <v>1527</v>
      </c>
      <c r="E216" s="56" t="s">
        <v>1047</v>
      </c>
      <c r="F216" s="56">
        <v>29</v>
      </c>
      <c r="G216" s="56">
        <v>13858</v>
      </c>
      <c r="H216" s="56" t="s">
        <v>1048</v>
      </c>
      <c r="I216" s="56" t="s">
        <v>1118</v>
      </c>
      <c r="J216" s="129">
        <v>46234</v>
      </c>
      <c r="K216" s="130">
        <v>0.875</v>
      </c>
      <c r="L216" s="130">
        <v>0.88055555555555554</v>
      </c>
      <c r="M216" s="56" t="s">
        <v>1050</v>
      </c>
      <c r="N216" s="129">
        <v>46234</v>
      </c>
      <c r="O216" s="130">
        <v>0.93402777777777779</v>
      </c>
      <c r="P216" s="130">
        <v>0.92195601851851849</v>
      </c>
      <c r="Q216" s="56" t="s">
        <v>1050</v>
      </c>
      <c r="R216" s="56" t="s">
        <v>1132</v>
      </c>
      <c r="S216" s="56">
        <v>31</v>
      </c>
      <c r="T216" s="131">
        <v>5.5555555555555358E-3</v>
      </c>
      <c r="U216" s="130">
        <v>-1.2071759259259296E-2</v>
      </c>
      <c r="V216" s="56" t="s">
        <v>1051</v>
      </c>
      <c r="W216" s="56" t="s">
        <v>1052</v>
      </c>
      <c r="X216" s="56" t="s">
        <v>1053</v>
      </c>
      <c r="Y216" s="56">
        <v>31</v>
      </c>
      <c r="Z216" s="56" t="s">
        <v>1054</v>
      </c>
      <c r="AA216" s="56" t="s">
        <v>1610</v>
      </c>
      <c r="AB216" s="56" t="s">
        <v>1120</v>
      </c>
      <c r="AC216" s="56" t="s">
        <v>1078</v>
      </c>
      <c r="AD216" s="56" t="s">
        <v>1611</v>
      </c>
      <c r="AE216" s="56" t="s">
        <v>1612</v>
      </c>
      <c r="AF216" s="56" t="s">
        <v>1336</v>
      </c>
      <c r="AG216" s="56" t="s">
        <v>2090</v>
      </c>
      <c r="AH216" s="56"/>
      <c r="AI216" s="56"/>
      <c r="AJ216" s="56"/>
      <c r="AK216" s="56"/>
      <c r="AL216" s="56"/>
      <c r="AM216" s="56"/>
      <c r="AN216" s="56"/>
      <c r="AO216" s="56"/>
      <c r="AP216" s="56"/>
      <c r="AQ216" s="131"/>
      <c r="AR216" s="130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</row>
    <row r="217" spans="1:56" x14ac:dyDescent="0.2">
      <c r="A217" s="56">
        <v>14109134</v>
      </c>
      <c r="B217" s="56">
        <v>175386774</v>
      </c>
      <c r="C217" s="56" t="s">
        <v>2091</v>
      </c>
      <c r="D217" s="56" t="s">
        <v>2092</v>
      </c>
      <c r="E217" s="56" t="s">
        <v>1047</v>
      </c>
      <c r="F217" s="56">
        <v>72</v>
      </c>
      <c r="G217" s="56">
        <v>17356</v>
      </c>
      <c r="H217" s="56" t="s">
        <v>1048</v>
      </c>
      <c r="I217" s="56" t="s">
        <v>1118</v>
      </c>
      <c r="J217" s="129">
        <v>46234</v>
      </c>
      <c r="K217" s="130">
        <v>0.87847222222222221</v>
      </c>
      <c r="L217" s="130">
        <v>0.88402777777777775</v>
      </c>
      <c r="M217" s="56" t="s">
        <v>1050</v>
      </c>
      <c r="N217" s="129">
        <v>46234</v>
      </c>
      <c r="O217" s="130">
        <v>0.93402777777777779</v>
      </c>
      <c r="P217" s="130">
        <v>0.92494212962962963</v>
      </c>
      <c r="Q217" s="56" t="s">
        <v>1050</v>
      </c>
      <c r="R217" s="56" t="s">
        <v>2093</v>
      </c>
      <c r="S217" s="56">
        <v>31</v>
      </c>
      <c r="T217" s="131">
        <v>5.5555555555555358E-3</v>
      </c>
      <c r="U217" s="130">
        <v>-9.0856481481481621E-3</v>
      </c>
      <c r="V217" s="56" t="s">
        <v>1051</v>
      </c>
      <c r="W217" s="56" t="s">
        <v>1052</v>
      </c>
      <c r="X217" s="56" t="s">
        <v>1053</v>
      </c>
      <c r="Y217" s="56">
        <v>31</v>
      </c>
      <c r="Z217" s="56" t="s">
        <v>1054</v>
      </c>
      <c r="AA217" s="56" t="s">
        <v>2094</v>
      </c>
      <c r="AB217" s="56" t="s">
        <v>1120</v>
      </c>
      <c r="AC217" s="56" t="s">
        <v>1078</v>
      </c>
      <c r="AD217" s="56" t="s">
        <v>2095</v>
      </c>
      <c r="AE217" s="56" t="s">
        <v>2096</v>
      </c>
      <c r="AF217" s="56" t="s">
        <v>1336</v>
      </c>
      <c r="AG217" s="56" t="s">
        <v>2097</v>
      </c>
      <c r="AH217" s="56"/>
      <c r="AI217" s="56"/>
      <c r="AJ217" s="56"/>
      <c r="AK217" s="56"/>
      <c r="AL217" s="56"/>
      <c r="AM217" s="56"/>
      <c r="AN217" s="56"/>
      <c r="AO217" s="56"/>
      <c r="AP217" s="56"/>
      <c r="AQ217" s="131"/>
      <c r="AR217" s="130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</row>
    <row r="218" spans="1:56" x14ac:dyDescent="0.2">
      <c r="A218" s="56">
        <v>14119517</v>
      </c>
      <c r="B218" s="56">
        <v>175390300</v>
      </c>
      <c r="C218" s="56" t="s">
        <v>2098</v>
      </c>
      <c r="D218" s="56" t="s">
        <v>2099</v>
      </c>
      <c r="E218" s="56" t="s">
        <v>1047</v>
      </c>
      <c r="F218" s="56">
        <v>218</v>
      </c>
      <c r="G218" s="56">
        <v>6780</v>
      </c>
      <c r="H218" s="56" t="s">
        <v>1048</v>
      </c>
      <c r="I218" s="56" t="s">
        <v>1172</v>
      </c>
      <c r="J218" s="129">
        <v>46234</v>
      </c>
      <c r="K218" s="130">
        <v>0.87916666666666665</v>
      </c>
      <c r="L218" s="130">
        <v>0.88402777777777775</v>
      </c>
      <c r="M218" s="56" t="s">
        <v>1050</v>
      </c>
      <c r="N218" s="129">
        <v>46234</v>
      </c>
      <c r="O218" s="130">
        <v>0.92708333333333337</v>
      </c>
      <c r="P218" s="130">
        <v>0.92483796296296295</v>
      </c>
      <c r="Q218" s="56" t="s">
        <v>1050</v>
      </c>
      <c r="R218" s="56" t="s">
        <v>251</v>
      </c>
      <c r="S218" s="56">
        <v>31</v>
      </c>
      <c r="T218" s="131">
        <v>4.8611111111110938E-3</v>
      </c>
      <c r="U218" s="130">
        <v>-2.2453703703704253E-3</v>
      </c>
      <c r="V218" s="56" t="s">
        <v>1051</v>
      </c>
      <c r="W218" s="56" t="s">
        <v>1052</v>
      </c>
      <c r="X218" s="56" t="s">
        <v>1053</v>
      </c>
      <c r="Y218" s="56">
        <v>31</v>
      </c>
      <c r="Z218" s="56" t="s">
        <v>1054</v>
      </c>
      <c r="AA218" s="56" t="s">
        <v>2100</v>
      </c>
      <c r="AB218" s="56" t="s">
        <v>1565</v>
      </c>
      <c r="AC218" s="56" t="s">
        <v>1057</v>
      </c>
      <c r="AD218" s="56" t="s">
        <v>2101</v>
      </c>
      <c r="AE218" s="56" t="s">
        <v>2102</v>
      </c>
      <c r="AF218" s="56" t="s">
        <v>1336</v>
      </c>
      <c r="AG218" s="56" t="s">
        <v>2103</v>
      </c>
      <c r="AH218" s="56"/>
      <c r="AI218" s="56"/>
      <c r="AJ218" s="56"/>
      <c r="AK218" s="56"/>
      <c r="AL218" s="56"/>
      <c r="AM218" s="56"/>
      <c r="AN218" s="56"/>
      <c r="AO218" s="56"/>
      <c r="AP218" s="56"/>
      <c r="AQ218" s="131"/>
      <c r="AR218" s="130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</row>
    <row r="219" spans="1:56" x14ac:dyDescent="0.2">
      <c r="A219" s="56">
        <v>14123725</v>
      </c>
      <c r="B219" s="56">
        <v>175387773</v>
      </c>
      <c r="C219" s="56" t="s">
        <v>2104</v>
      </c>
      <c r="D219" s="56" t="s">
        <v>1171</v>
      </c>
      <c r="E219" s="56" t="s">
        <v>1047</v>
      </c>
      <c r="F219" s="56">
        <v>98</v>
      </c>
      <c r="G219" s="56">
        <v>13371</v>
      </c>
      <c r="H219" s="56" t="s">
        <v>1048</v>
      </c>
      <c r="I219" s="56" t="s">
        <v>1172</v>
      </c>
      <c r="J219" s="129">
        <v>46234</v>
      </c>
      <c r="K219" s="130">
        <v>0.88194444444444442</v>
      </c>
      <c r="L219" s="130">
        <v>0.88958333333333328</v>
      </c>
      <c r="M219" s="56" t="s">
        <v>1050</v>
      </c>
      <c r="N219" s="129">
        <v>46234</v>
      </c>
      <c r="O219" s="130">
        <v>0.92708333333333337</v>
      </c>
      <c r="P219" s="130">
        <v>0.92657407407407411</v>
      </c>
      <c r="Q219" s="56" t="s">
        <v>1050</v>
      </c>
      <c r="R219" s="56" t="s">
        <v>956</v>
      </c>
      <c r="S219" s="56">
        <v>31</v>
      </c>
      <c r="T219" s="131">
        <v>7.6388888888888618E-3</v>
      </c>
      <c r="U219" s="130">
        <v>-5.0925925925926485E-4</v>
      </c>
      <c r="V219" s="56" t="s">
        <v>1051</v>
      </c>
      <c r="W219" s="56" t="s">
        <v>1052</v>
      </c>
      <c r="X219" s="56" t="s">
        <v>1053</v>
      </c>
      <c r="Y219" s="56">
        <v>31</v>
      </c>
      <c r="Z219" s="56" t="s">
        <v>1054</v>
      </c>
      <c r="AA219" s="56" t="s">
        <v>1173</v>
      </c>
      <c r="AB219" s="56" t="s">
        <v>1174</v>
      </c>
      <c r="AC219" s="56" t="s">
        <v>1057</v>
      </c>
      <c r="AD219" s="56" t="s">
        <v>1175</v>
      </c>
      <c r="AE219" s="56" t="s">
        <v>1176</v>
      </c>
      <c r="AF219" s="56" t="s">
        <v>1336</v>
      </c>
      <c r="AG219" s="56" t="s">
        <v>2105</v>
      </c>
      <c r="AH219" s="56"/>
      <c r="AI219" s="56"/>
      <c r="AJ219" s="56"/>
      <c r="AK219" s="56"/>
      <c r="AL219" s="56"/>
      <c r="AM219" s="56"/>
      <c r="AN219" s="56"/>
      <c r="AO219" s="56"/>
      <c r="AP219" s="56"/>
      <c r="AQ219" s="131"/>
      <c r="AR219" s="130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</row>
    <row r="220" spans="1:56" x14ac:dyDescent="0.2">
      <c r="A220" s="56">
        <v>14123276</v>
      </c>
      <c r="B220" s="56">
        <v>175388810</v>
      </c>
      <c r="C220" s="56" t="s">
        <v>2106</v>
      </c>
      <c r="D220" s="56" t="s">
        <v>2107</v>
      </c>
      <c r="E220" s="56" t="s">
        <v>1047</v>
      </c>
      <c r="F220" s="56">
        <v>121</v>
      </c>
      <c r="G220" s="56">
        <v>16363</v>
      </c>
      <c r="H220" s="56" t="s">
        <v>1048</v>
      </c>
      <c r="I220" s="56" t="s">
        <v>1172</v>
      </c>
      <c r="J220" s="129">
        <v>46234</v>
      </c>
      <c r="K220" s="130">
        <v>0.88194444444444442</v>
      </c>
      <c r="L220" s="130">
        <v>0.88541666666666663</v>
      </c>
      <c r="M220" s="56" t="s">
        <v>1050</v>
      </c>
      <c r="N220" s="129">
        <v>46234</v>
      </c>
      <c r="O220" s="130">
        <v>0.92708333333333337</v>
      </c>
      <c r="P220" s="130">
        <v>0.92009259259259257</v>
      </c>
      <c r="Q220" s="56" t="s">
        <v>1050</v>
      </c>
      <c r="R220" s="56" t="s">
        <v>494</v>
      </c>
      <c r="S220" s="56">
        <v>31</v>
      </c>
      <c r="T220" s="131">
        <v>3.4722222222222099E-3</v>
      </c>
      <c r="U220" s="130">
        <v>-6.9907407407407973E-3</v>
      </c>
      <c r="V220" s="56" t="s">
        <v>1051</v>
      </c>
      <c r="W220" s="56" t="s">
        <v>1052</v>
      </c>
      <c r="X220" s="56" t="s">
        <v>1053</v>
      </c>
      <c r="Y220" s="56">
        <v>31</v>
      </c>
      <c r="Z220" s="56" t="s">
        <v>1054</v>
      </c>
      <c r="AA220" s="56" t="s">
        <v>2108</v>
      </c>
      <c r="AB220" s="56" t="s">
        <v>1210</v>
      </c>
      <c r="AC220" s="56" t="s">
        <v>1057</v>
      </c>
      <c r="AD220" s="56" t="s">
        <v>2109</v>
      </c>
      <c r="AE220" s="56" t="s">
        <v>2110</v>
      </c>
      <c r="AF220" s="56" t="s">
        <v>1336</v>
      </c>
      <c r="AG220" s="56" t="s">
        <v>2111</v>
      </c>
      <c r="AH220" s="56"/>
      <c r="AI220" s="56"/>
      <c r="AJ220" s="56"/>
      <c r="AK220" s="56"/>
      <c r="AL220" s="56"/>
      <c r="AM220" s="56"/>
      <c r="AN220" s="56"/>
      <c r="AO220" s="56"/>
      <c r="AP220" s="56"/>
      <c r="AQ220" s="131"/>
      <c r="AR220" s="130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</row>
    <row r="221" spans="1:56" x14ac:dyDescent="0.2">
      <c r="A221" s="56">
        <v>14118811</v>
      </c>
      <c r="B221" s="56">
        <v>175388400</v>
      </c>
      <c r="C221" s="56" t="s">
        <v>1827</v>
      </c>
      <c r="D221" s="56" t="s">
        <v>1828</v>
      </c>
      <c r="E221" s="56" t="s">
        <v>1047</v>
      </c>
      <c r="F221" s="56">
        <v>87</v>
      </c>
      <c r="G221" s="56">
        <v>6158</v>
      </c>
      <c r="H221" s="56" t="s">
        <v>1048</v>
      </c>
      <c r="I221" s="56" t="s">
        <v>1118</v>
      </c>
      <c r="J221" s="129">
        <v>46234</v>
      </c>
      <c r="K221" s="130">
        <v>0.88541666666666663</v>
      </c>
      <c r="L221" s="130">
        <v>0.91736111111111107</v>
      </c>
      <c r="M221" s="56" t="s">
        <v>1050</v>
      </c>
      <c r="N221" s="129">
        <v>46234</v>
      </c>
      <c r="O221" s="130">
        <v>0.93402777777777779</v>
      </c>
      <c r="P221" s="130">
        <v>0.92258101851851848</v>
      </c>
      <c r="Q221" s="56" t="s">
        <v>1050</v>
      </c>
      <c r="R221" s="56" t="s">
        <v>214</v>
      </c>
      <c r="S221" s="56">
        <v>31</v>
      </c>
      <c r="T221" s="131">
        <v>3.1944444444444442E-2</v>
      </c>
      <c r="U221" s="130">
        <v>-1.1446759259259309E-2</v>
      </c>
      <c r="V221" s="56" t="s">
        <v>1051</v>
      </c>
      <c r="W221" s="56" t="s">
        <v>1052</v>
      </c>
      <c r="X221" s="56" t="s">
        <v>1053</v>
      </c>
      <c r="Y221" s="56">
        <v>31</v>
      </c>
      <c r="Z221" s="56" t="s">
        <v>1054</v>
      </c>
      <c r="AA221" s="56" t="s">
        <v>1829</v>
      </c>
      <c r="AB221" s="56" t="s">
        <v>1120</v>
      </c>
      <c r="AC221" s="56" t="s">
        <v>1078</v>
      </c>
      <c r="AD221" s="56" t="s">
        <v>1830</v>
      </c>
      <c r="AE221" s="56" t="s">
        <v>1831</v>
      </c>
      <c r="AF221" s="56" t="s">
        <v>1336</v>
      </c>
      <c r="AG221" s="56" t="s">
        <v>1832</v>
      </c>
      <c r="AH221" s="56"/>
      <c r="AI221" s="56"/>
      <c r="AJ221" s="56"/>
      <c r="AK221" s="56"/>
      <c r="AL221" s="56"/>
      <c r="AM221" s="56"/>
      <c r="AN221" s="56"/>
      <c r="AO221" s="56"/>
      <c r="AP221" s="56"/>
      <c r="AQ221" s="131"/>
      <c r="AR221" s="130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</row>
    <row r="222" spans="1:56" x14ac:dyDescent="0.2">
      <c r="A222" s="56">
        <v>14122136</v>
      </c>
      <c r="B222" s="56">
        <v>175391813</v>
      </c>
      <c r="C222" s="56" t="s">
        <v>2112</v>
      </c>
      <c r="D222" s="56" t="s">
        <v>2113</v>
      </c>
      <c r="E222" s="56" t="s">
        <v>1047</v>
      </c>
      <c r="F222" s="56">
        <v>258</v>
      </c>
      <c r="G222" s="56">
        <v>16740</v>
      </c>
      <c r="H222" s="56" t="s">
        <v>1048</v>
      </c>
      <c r="I222" s="56" t="s">
        <v>1172</v>
      </c>
      <c r="J222" s="129">
        <v>46234</v>
      </c>
      <c r="K222" s="130">
        <v>0.89027777777777772</v>
      </c>
      <c r="L222" s="130">
        <v>0.89375000000000004</v>
      </c>
      <c r="M222" s="56" t="s">
        <v>1050</v>
      </c>
      <c r="N222" s="129">
        <v>46234</v>
      </c>
      <c r="O222" s="130">
        <v>0.92708333333333337</v>
      </c>
      <c r="P222" s="130">
        <v>0.91700231481481487</v>
      </c>
      <c r="Q222" s="56" t="s">
        <v>1050</v>
      </c>
      <c r="R222" s="56" t="s">
        <v>386</v>
      </c>
      <c r="S222" s="56">
        <v>31</v>
      </c>
      <c r="T222" s="131">
        <v>3.4722222222223209E-3</v>
      </c>
      <c r="U222" s="130">
        <v>-1.0081018518518503E-2</v>
      </c>
      <c r="V222" s="56" t="s">
        <v>1051</v>
      </c>
      <c r="W222" s="56" t="s">
        <v>1052</v>
      </c>
      <c r="X222" s="56" t="s">
        <v>1053</v>
      </c>
      <c r="Y222" s="56">
        <v>31</v>
      </c>
      <c r="Z222" s="56" t="s">
        <v>1054</v>
      </c>
      <c r="AA222" s="56" t="s">
        <v>2114</v>
      </c>
      <c r="AB222" s="56" t="s">
        <v>1210</v>
      </c>
      <c r="AC222" s="56" t="s">
        <v>1057</v>
      </c>
      <c r="AD222" s="56" t="s">
        <v>2115</v>
      </c>
      <c r="AE222" s="56" t="s">
        <v>2116</v>
      </c>
      <c r="AF222" s="56" t="s">
        <v>1336</v>
      </c>
      <c r="AG222" s="56" t="s">
        <v>2117</v>
      </c>
      <c r="AH222" s="56"/>
      <c r="AI222" s="56"/>
      <c r="AJ222" s="56"/>
      <c r="AK222" s="56"/>
      <c r="AL222" s="56"/>
      <c r="AM222" s="56"/>
      <c r="AN222" s="56"/>
      <c r="AO222" s="56"/>
      <c r="AP222" s="56"/>
      <c r="AQ222" s="131"/>
      <c r="AR222" s="130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</row>
    <row r="223" spans="1:56" x14ac:dyDescent="0.2">
      <c r="A223" s="56">
        <v>14117969</v>
      </c>
      <c r="B223" s="56">
        <v>175390672</v>
      </c>
      <c r="C223" s="56" t="s">
        <v>1853</v>
      </c>
      <c r="D223" s="56" t="s">
        <v>1854</v>
      </c>
      <c r="E223" s="56" t="s">
        <v>1047</v>
      </c>
      <c r="F223" s="56">
        <v>225</v>
      </c>
      <c r="G223" s="56">
        <v>5004</v>
      </c>
      <c r="H223" s="56" t="s">
        <v>1048</v>
      </c>
      <c r="I223" s="56" t="s">
        <v>1172</v>
      </c>
      <c r="J223" s="129">
        <v>46234</v>
      </c>
      <c r="K223" s="130">
        <v>0.89236111111111116</v>
      </c>
      <c r="L223" s="130">
        <v>0.91527777777777775</v>
      </c>
      <c r="M223" s="56" t="s">
        <v>1050</v>
      </c>
      <c r="N223" s="129">
        <v>46234</v>
      </c>
      <c r="O223" s="130">
        <v>0.92708333333333337</v>
      </c>
      <c r="P223" s="130">
        <v>0.94111111111111112</v>
      </c>
      <c r="Q223" s="56" t="s">
        <v>1050</v>
      </c>
      <c r="R223" s="56" t="s">
        <v>399</v>
      </c>
      <c r="S223" s="56">
        <v>31</v>
      </c>
      <c r="T223" s="131">
        <v>2.2916666666666585E-2</v>
      </c>
      <c r="U223" s="130">
        <v>1.402777777777775E-2</v>
      </c>
      <c r="V223" s="56" t="s">
        <v>1051</v>
      </c>
      <c r="W223" s="56" t="s">
        <v>1065</v>
      </c>
      <c r="X223" s="56" t="s">
        <v>1066</v>
      </c>
      <c r="Y223" s="56">
        <v>31</v>
      </c>
      <c r="Z223" s="56" t="s">
        <v>1054</v>
      </c>
      <c r="AA223" s="56" t="s">
        <v>1855</v>
      </c>
      <c r="AB223" s="56" t="s">
        <v>1565</v>
      </c>
      <c r="AC223" s="56" t="s">
        <v>1057</v>
      </c>
      <c r="AD223" s="56" t="s">
        <v>1856</v>
      </c>
      <c r="AE223" s="56" t="s">
        <v>1857</v>
      </c>
      <c r="AF223" s="56" t="s">
        <v>1336</v>
      </c>
      <c r="AG223" s="56" t="s">
        <v>1858</v>
      </c>
      <c r="AH223" s="56"/>
      <c r="AI223" s="56"/>
      <c r="AJ223" s="56"/>
      <c r="AK223" s="56"/>
      <c r="AL223" s="56"/>
      <c r="AM223" s="56"/>
      <c r="AN223" s="56"/>
      <c r="AO223" s="56"/>
      <c r="AP223" s="56"/>
      <c r="AQ223" s="131"/>
      <c r="AR223" s="130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</row>
    <row r="224" spans="1:56" x14ac:dyDescent="0.2">
      <c r="A224" s="56">
        <v>14118743</v>
      </c>
      <c r="B224" s="56">
        <v>175380731</v>
      </c>
      <c r="C224" s="56" t="s">
        <v>2118</v>
      </c>
      <c r="D224" s="56" t="s">
        <v>1515</v>
      </c>
      <c r="E224" s="56" t="s">
        <v>1047</v>
      </c>
      <c r="F224" s="56">
        <v>11</v>
      </c>
      <c r="G224" s="56">
        <v>15185</v>
      </c>
      <c r="H224" s="56" t="s">
        <v>1048</v>
      </c>
      <c r="I224" s="56" t="s">
        <v>1064</v>
      </c>
      <c r="J224" s="129">
        <v>46234</v>
      </c>
      <c r="K224" s="130">
        <v>0.8930555555555556</v>
      </c>
      <c r="L224" s="130">
        <v>0.90069444444444446</v>
      </c>
      <c r="M224" s="56" t="s">
        <v>1050</v>
      </c>
      <c r="N224" s="129">
        <v>46234</v>
      </c>
      <c r="O224" s="130">
        <v>0.91666666666666663</v>
      </c>
      <c r="P224" s="130">
        <v>0.91318287037037038</v>
      </c>
      <c r="Q224" s="56" t="s">
        <v>1050</v>
      </c>
      <c r="R224" s="56" t="s">
        <v>208</v>
      </c>
      <c r="S224" s="56">
        <v>31</v>
      </c>
      <c r="T224" s="131">
        <v>7.6388888888888618E-3</v>
      </c>
      <c r="U224" s="130">
        <v>-3.4837962962962488E-3</v>
      </c>
      <c r="V224" s="56" t="s">
        <v>1051</v>
      </c>
      <c r="W224" s="56" t="s">
        <v>1052</v>
      </c>
      <c r="X224" s="56" t="s">
        <v>1053</v>
      </c>
      <c r="Y224" s="56">
        <v>31</v>
      </c>
      <c r="Z224" s="56" t="s">
        <v>1054</v>
      </c>
      <c r="AA224" s="56" t="s">
        <v>1516</v>
      </c>
      <c r="AB224" s="56" t="s">
        <v>1068</v>
      </c>
      <c r="AC224" s="56" t="s">
        <v>1069</v>
      </c>
      <c r="AD224" s="56" t="s">
        <v>1517</v>
      </c>
      <c r="AE224" s="56" t="s">
        <v>1518</v>
      </c>
      <c r="AF224" s="56" t="s">
        <v>1336</v>
      </c>
      <c r="AG224" s="56" t="s">
        <v>2119</v>
      </c>
      <c r="AH224" s="56"/>
      <c r="AI224" s="56"/>
      <c r="AJ224" s="56"/>
      <c r="AK224" s="56"/>
      <c r="AL224" s="56"/>
      <c r="AM224" s="56"/>
      <c r="AN224" s="56"/>
      <c r="AO224" s="56"/>
      <c r="AP224" s="56"/>
      <c r="AQ224" s="131"/>
      <c r="AR224" s="130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</row>
    <row r="225" spans="1:56" x14ac:dyDescent="0.2">
      <c r="A225" s="56">
        <v>14123571</v>
      </c>
      <c r="B225" s="56">
        <v>175378258</v>
      </c>
      <c r="C225" s="56" t="s">
        <v>2120</v>
      </c>
      <c r="D225" s="56" t="s">
        <v>2121</v>
      </c>
      <c r="E225" s="56" t="s">
        <v>1047</v>
      </c>
      <c r="F225" s="56">
        <v>13</v>
      </c>
      <c r="G225" s="56">
        <v>6891</v>
      </c>
      <c r="H225" s="56" t="s">
        <v>1048</v>
      </c>
      <c r="I225" s="56" t="s">
        <v>1503</v>
      </c>
      <c r="J225" s="129">
        <v>46234</v>
      </c>
      <c r="K225" s="130">
        <v>0.89583333333333337</v>
      </c>
      <c r="L225" s="130">
        <v>0.9</v>
      </c>
      <c r="M225" s="56" t="s">
        <v>1050</v>
      </c>
      <c r="N225" s="129">
        <v>46234</v>
      </c>
      <c r="O225" s="130">
        <v>0.93055555555555558</v>
      </c>
      <c r="P225" s="130">
        <v>0.93077546296296299</v>
      </c>
      <c r="Q225" s="56" t="s">
        <v>1050</v>
      </c>
      <c r="R225" s="56" t="s">
        <v>536</v>
      </c>
      <c r="S225" s="56">
        <v>31</v>
      </c>
      <c r="T225" s="131">
        <v>4.1666666666666519E-3</v>
      </c>
      <c r="U225" s="130">
        <v>2.1990740740740478E-4</v>
      </c>
      <c r="V225" s="56" t="s">
        <v>1051</v>
      </c>
      <c r="W225" s="56" t="s">
        <v>1052</v>
      </c>
      <c r="X225" s="56" t="s">
        <v>1053</v>
      </c>
      <c r="Y225" s="56">
        <v>31</v>
      </c>
      <c r="Z225" s="56" t="s">
        <v>1054</v>
      </c>
      <c r="AA225" s="56" t="s">
        <v>2122</v>
      </c>
      <c r="AB225" s="56" t="s">
        <v>1361</v>
      </c>
      <c r="AC225" s="56" t="s">
        <v>1069</v>
      </c>
      <c r="AD225" s="56" t="s">
        <v>2123</v>
      </c>
      <c r="AE225" s="56" t="s">
        <v>2124</v>
      </c>
      <c r="AF225" s="56" t="s">
        <v>1336</v>
      </c>
      <c r="AG225" s="56" t="s">
        <v>2125</v>
      </c>
      <c r="AH225" s="56"/>
      <c r="AI225" s="56"/>
      <c r="AJ225" s="56"/>
      <c r="AK225" s="56"/>
      <c r="AL225" s="56"/>
      <c r="AM225" s="56"/>
      <c r="AN225" s="56"/>
      <c r="AO225" s="56"/>
      <c r="AP225" s="56"/>
      <c r="AQ225" s="131"/>
      <c r="AR225" s="130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</row>
    <row r="226" spans="1:56" x14ac:dyDescent="0.2">
      <c r="A226" s="56">
        <v>14116295</v>
      </c>
      <c r="B226" s="56">
        <v>175379630</v>
      </c>
      <c r="C226" s="56" t="s">
        <v>2126</v>
      </c>
      <c r="D226" s="56" t="s">
        <v>2127</v>
      </c>
      <c r="E226" s="56" t="s">
        <v>1047</v>
      </c>
      <c r="F226" s="56">
        <v>1</v>
      </c>
      <c r="G226" s="56">
        <v>5924</v>
      </c>
      <c r="H226" s="56" t="s">
        <v>1048</v>
      </c>
      <c r="I226" s="56" t="s">
        <v>1358</v>
      </c>
      <c r="J226" s="129">
        <v>46234</v>
      </c>
      <c r="K226" s="130">
        <v>0.89930555555555558</v>
      </c>
      <c r="L226" s="130">
        <v>0.90347222222222223</v>
      </c>
      <c r="M226" s="56" t="s">
        <v>1050</v>
      </c>
      <c r="N226" s="129">
        <v>46234</v>
      </c>
      <c r="O226" s="130">
        <v>0.93055555555555558</v>
      </c>
      <c r="P226" s="130">
        <v>0.9263541666666667</v>
      </c>
      <c r="Q226" s="56" t="s">
        <v>1050</v>
      </c>
      <c r="R226" s="56" t="s">
        <v>158</v>
      </c>
      <c r="S226" s="56">
        <v>31</v>
      </c>
      <c r="T226" s="131">
        <v>4.1666666666666519E-3</v>
      </c>
      <c r="U226" s="130">
        <v>-4.2013888888888795E-3</v>
      </c>
      <c r="V226" s="56" t="s">
        <v>1051</v>
      </c>
      <c r="W226" s="56" t="s">
        <v>1052</v>
      </c>
      <c r="X226" s="56" t="s">
        <v>1053</v>
      </c>
      <c r="Y226" s="56">
        <v>31</v>
      </c>
      <c r="Z226" s="56" t="s">
        <v>1054</v>
      </c>
      <c r="AA226" s="56" t="s">
        <v>2128</v>
      </c>
      <c r="AB226" s="56" t="s">
        <v>1361</v>
      </c>
      <c r="AC226" s="56" t="s">
        <v>1069</v>
      </c>
      <c r="AD226" s="56" t="s">
        <v>2129</v>
      </c>
      <c r="AE226" s="56" t="s">
        <v>2130</v>
      </c>
      <c r="AF226" s="56" t="s">
        <v>1336</v>
      </c>
      <c r="AG226" s="56" t="s">
        <v>2131</v>
      </c>
      <c r="AH226" s="56"/>
      <c r="AI226" s="56"/>
      <c r="AJ226" s="56"/>
      <c r="AK226" s="56"/>
      <c r="AL226" s="56"/>
      <c r="AM226" s="56"/>
      <c r="AN226" s="56"/>
      <c r="AO226" s="56"/>
      <c r="AP226" s="56"/>
      <c r="AQ226" s="131"/>
      <c r="AR226" s="130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</row>
    <row r="227" spans="1:56" x14ac:dyDescent="0.2">
      <c r="A227" s="56">
        <v>14118640</v>
      </c>
      <c r="B227" s="56">
        <v>175342994</v>
      </c>
      <c r="C227" s="56" t="s">
        <v>1378</v>
      </c>
      <c r="D227" s="56" t="s">
        <v>1379</v>
      </c>
      <c r="E227" s="56" t="s">
        <v>1047</v>
      </c>
      <c r="F227" s="56">
        <v>38</v>
      </c>
      <c r="G227" s="56">
        <v>15865</v>
      </c>
      <c r="H227" s="56" t="s">
        <v>1048</v>
      </c>
      <c r="I227" s="56" t="s">
        <v>1049</v>
      </c>
      <c r="J227" s="129">
        <v>46233</v>
      </c>
      <c r="K227" s="130">
        <v>0.18055555555555555</v>
      </c>
      <c r="L227" s="130">
        <v>0.18402777777777779</v>
      </c>
      <c r="M227" s="56" t="s">
        <v>1050</v>
      </c>
      <c r="N227" s="129">
        <v>46233</v>
      </c>
      <c r="O227" s="130">
        <v>0.26041666666666669</v>
      </c>
      <c r="P227" s="130">
        <v>0.25035879629629632</v>
      </c>
      <c r="Q227" s="56" t="s">
        <v>1050</v>
      </c>
      <c r="R227" s="56" t="s">
        <v>205</v>
      </c>
      <c r="S227" s="56">
        <v>31</v>
      </c>
      <c r="T227" s="131">
        <v>3.4722222222222376E-3</v>
      </c>
      <c r="U227" s="130">
        <v>-1.005787037037037E-2</v>
      </c>
      <c r="V227" s="56" t="s">
        <v>1051</v>
      </c>
      <c r="W227" s="56" t="s">
        <v>1052</v>
      </c>
      <c r="X227" s="56" t="s">
        <v>1053</v>
      </c>
      <c r="Y227" s="56">
        <v>31</v>
      </c>
      <c r="Z227" s="56" t="s">
        <v>1054</v>
      </c>
      <c r="AA227" s="56" t="s">
        <v>1380</v>
      </c>
      <c r="AB227" s="56" t="s">
        <v>1056</v>
      </c>
      <c r="AC227" s="56" t="s">
        <v>1057</v>
      </c>
      <c r="AD227" s="56" t="s">
        <v>1381</v>
      </c>
      <c r="AE227" s="56" t="s">
        <v>1382</v>
      </c>
      <c r="AF227" s="56" t="s">
        <v>1060</v>
      </c>
      <c r="AG227" s="56" t="s">
        <v>1383</v>
      </c>
      <c r="AH227" s="56"/>
      <c r="AI227" s="56"/>
      <c r="AJ227" s="56"/>
      <c r="AK227" s="56"/>
      <c r="AL227" s="56"/>
      <c r="AM227" s="56"/>
      <c r="AN227" s="56"/>
      <c r="AO227" s="56"/>
      <c r="AP227" s="56"/>
      <c r="AQ227" s="131"/>
      <c r="AR227" s="130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</row>
    <row r="228" spans="1:56" x14ac:dyDescent="0.2">
      <c r="A228" s="56">
        <v>14109748</v>
      </c>
      <c r="B228" s="56">
        <v>175335109</v>
      </c>
      <c r="C228" s="56" t="s">
        <v>1384</v>
      </c>
      <c r="D228" s="56" t="s">
        <v>1385</v>
      </c>
      <c r="E228" s="56" t="s">
        <v>1047</v>
      </c>
      <c r="F228" s="56">
        <v>1</v>
      </c>
      <c r="G228" s="56">
        <v>16725</v>
      </c>
      <c r="H228" s="56" t="s">
        <v>1048</v>
      </c>
      <c r="I228" s="56" t="s">
        <v>1386</v>
      </c>
      <c r="J228" s="129">
        <v>46233</v>
      </c>
      <c r="K228" s="130">
        <v>0.19444444444444445</v>
      </c>
      <c r="L228" s="130">
        <v>0.2013888888888889</v>
      </c>
      <c r="M228" s="56" t="s">
        <v>1050</v>
      </c>
      <c r="N228" s="129">
        <v>46233</v>
      </c>
      <c r="O228" s="130">
        <v>0.24305555555555555</v>
      </c>
      <c r="P228" s="130">
        <v>0.23986111111111111</v>
      </c>
      <c r="Q228" s="56" t="s">
        <v>1050</v>
      </c>
      <c r="R228" s="56" t="s">
        <v>94</v>
      </c>
      <c r="S228" s="56">
        <v>31</v>
      </c>
      <c r="T228" s="131">
        <v>6.9444444444444475E-3</v>
      </c>
      <c r="U228" s="130">
        <v>-3.1944444444444442E-3</v>
      </c>
      <c r="V228" s="56" t="s">
        <v>1051</v>
      </c>
      <c r="W228" s="56" t="s">
        <v>1052</v>
      </c>
      <c r="X228" s="56" t="s">
        <v>1053</v>
      </c>
      <c r="Y228" s="56">
        <v>31</v>
      </c>
      <c r="Z228" s="56" t="s">
        <v>1054</v>
      </c>
      <c r="AA228" s="56" t="s">
        <v>1387</v>
      </c>
      <c r="AB228" s="56" t="s">
        <v>1257</v>
      </c>
      <c r="AC228" s="56" t="s">
        <v>1069</v>
      </c>
      <c r="AD228" s="56" t="s">
        <v>1388</v>
      </c>
      <c r="AE228" s="56" t="s">
        <v>1389</v>
      </c>
      <c r="AF228" s="56" t="s">
        <v>1060</v>
      </c>
      <c r="AG228" s="56" t="s">
        <v>1390</v>
      </c>
      <c r="AH228" s="56"/>
      <c r="AI228" s="56"/>
      <c r="AJ228" s="56"/>
      <c r="AK228" s="56"/>
      <c r="AL228" s="56"/>
      <c r="AM228" s="56"/>
      <c r="AN228" s="56"/>
      <c r="AO228" s="56"/>
      <c r="AP228" s="56"/>
      <c r="AQ228" s="131"/>
      <c r="AR228" s="130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</row>
    <row r="229" spans="1:56" x14ac:dyDescent="0.2">
      <c r="A229" s="56">
        <v>14122708</v>
      </c>
      <c r="B229" s="56">
        <v>175342674</v>
      </c>
      <c r="C229" s="56" t="s">
        <v>2132</v>
      </c>
      <c r="D229" s="56" t="s">
        <v>2133</v>
      </c>
      <c r="E229" s="56" t="s">
        <v>1047</v>
      </c>
      <c r="F229" s="56">
        <v>9</v>
      </c>
      <c r="G229" s="56">
        <v>14866</v>
      </c>
      <c r="H229" s="56" t="s">
        <v>1048</v>
      </c>
      <c r="I229" s="56" t="s">
        <v>2134</v>
      </c>
      <c r="J229" s="129">
        <v>46233</v>
      </c>
      <c r="K229" s="130">
        <v>0.19444444444444445</v>
      </c>
      <c r="L229" s="130">
        <v>0.25069444444444444</v>
      </c>
      <c r="M229" s="56" t="s">
        <v>1050</v>
      </c>
      <c r="N229" s="129">
        <v>46233</v>
      </c>
      <c r="O229" s="130">
        <v>0.29166666666666669</v>
      </c>
      <c r="P229" s="56"/>
      <c r="Q229" s="56" t="s">
        <v>1286</v>
      </c>
      <c r="R229" s="56" t="s">
        <v>440</v>
      </c>
      <c r="S229" s="56">
        <v>31</v>
      </c>
      <c r="T229" s="131">
        <v>5.6249999999999994E-2</v>
      </c>
      <c r="U229" s="130">
        <v>-0.29166666666666669</v>
      </c>
      <c r="V229" s="56" t="s">
        <v>1051</v>
      </c>
      <c r="W229" s="56" t="s">
        <v>1052</v>
      </c>
      <c r="X229" s="56" t="s">
        <v>1053</v>
      </c>
      <c r="Y229" s="56">
        <v>31</v>
      </c>
      <c r="Z229" s="56" t="s">
        <v>1054</v>
      </c>
      <c r="AA229" s="56" t="s">
        <v>2135</v>
      </c>
      <c r="AB229" s="56" t="s">
        <v>1342</v>
      </c>
      <c r="AC229" s="56" t="s">
        <v>1069</v>
      </c>
      <c r="AD229" s="56" t="s">
        <v>2136</v>
      </c>
      <c r="AE229" s="56" t="s">
        <v>2137</v>
      </c>
      <c r="AF229" s="56" t="s">
        <v>1060</v>
      </c>
      <c r="AG229" s="56" t="s">
        <v>2138</v>
      </c>
      <c r="AH229" s="56"/>
      <c r="AI229" s="56"/>
      <c r="AJ229" s="56"/>
      <c r="AK229" s="56"/>
      <c r="AL229" s="56"/>
      <c r="AM229" s="56"/>
      <c r="AN229" s="56"/>
      <c r="AO229" s="56"/>
      <c r="AP229" s="56"/>
      <c r="AQ229" s="131"/>
      <c r="AR229" s="130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</row>
    <row r="230" spans="1:56" x14ac:dyDescent="0.2">
      <c r="A230" s="56">
        <v>14108571</v>
      </c>
      <c r="B230" s="56">
        <v>175344715</v>
      </c>
      <c r="C230" s="56" t="s">
        <v>2139</v>
      </c>
      <c r="D230" s="56" t="s">
        <v>2140</v>
      </c>
      <c r="E230" s="56" t="s">
        <v>1047</v>
      </c>
      <c r="F230" s="56">
        <v>42</v>
      </c>
      <c r="G230" s="56">
        <v>15332</v>
      </c>
      <c r="H230" s="56" t="s">
        <v>1048</v>
      </c>
      <c r="I230" s="56" t="s">
        <v>1049</v>
      </c>
      <c r="J230" s="129">
        <v>46233</v>
      </c>
      <c r="K230" s="130">
        <v>0.19444444444444445</v>
      </c>
      <c r="L230" s="130">
        <v>0.20069444444444445</v>
      </c>
      <c r="M230" s="56" t="s">
        <v>1050</v>
      </c>
      <c r="N230" s="129">
        <v>46233</v>
      </c>
      <c r="O230" s="130">
        <v>0.26041666666666669</v>
      </c>
      <c r="P230" s="130">
        <v>0.26525462962962965</v>
      </c>
      <c r="Q230" s="56" t="s">
        <v>1050</v>
      </c>
      <c r="R230" s="56" t="s">
        <v>2141</v>
      </c>
      <c r="S230" s="56">
        <v>31</v>
      </c>
      <c r="T230" s="131">
        <v>6.2500000000000056E-3</v>
      </c>
      <c r="U230" s="130">
        <v>4.8379629629629606E-3</v>
      </c>
      <c r="V230" s="56" t="s">
        <v>1051</v>
      </c>
      <c r="W230" s="56" t="s">
        <v>1065</v>
      </c>
      <c r="X230" s="56" t="s">
        <v>1066</v>
      </c>
      <c r="Y230" s="56">
        <v>31</v>
      </c>
      <c r="Z230" s="56" t="s">
        <v>1054</v>
      </c>
      <c r="AA230" s="56" t="s">
        <v>2142</v>
      </c>
      <c r="AB230" s="56" t="s">
        <v>1056</v>
      </c>
      <c r="AC230" s="56" t="s">
        <v>1057</v>
      </c>
      <c r="AD230" s="56" t="s">
        <v>2143</v>
      </c>
      <c r="AE230" s="56" t="s">
        <v>2144</v>
      </c>
      <c r="AF230" s="56" t="s">
        <v>1060</v>
      </c>
      <c r="AG230" s="56" t="s">
        <v>2145</v>
      </c>
      <c r="AH230" s="56"/>
      <c r="AI230" s="56"/>
      <c r="AJ230" s="56"/>
      <c r="AK230" s="56"/>
      <c r="AL230" s="56"/>
      <c r="AM230" s="56"/>
      <c r="AN230" s="56"/>
      <c r="AO230" s="56"/>
      <c r="AP230" s="56"/>
      <c r="AQ230" s="131"/>
      <c r="AR230" s="130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</row>
    <row r="231" spans="1:56" x14ac:dyDescent="0.2">
      <c r="A231" s="56">
        <v>14121994</v>
      </c>
      <c r="B231" s="56">
        <v>175349689</v>
      </c>
      <c r="C231" s="56" t="s">
        <v>1419</v>
      </c>
      <c r="D231" s="56" t="s">
        <v>1420</v>
      </c>
      <c r="E231" s="56" t="s">
        <v>1047</v>
      </c>
      <c r="F231" s="56">
        <v>503</v>
      </c>
      <c r="G231" s="56">
        <v>13416</v>
      </c>
      <c r="H231" s="56" t="s">
        <v>1048</v>
      </c>
      <c r="I231" s="56" t="s">
        <v>1075</v>
      </c>
      <c r="J231" s="129">
        <v>46233</v>
      </c>
      <c r="K231" s="130">
        <v>0.2013888888888889</v>
      </c>
      <c r="L231" s="130">
        <v>0.2076388888888889</v>
      </c>
      <c r="M231" s="56" t="s">
        <v>1050</v>
      </c>
      <c r="N231" s="129">
        <v>46233</v>
      </c>
      <c r="O231" s="130">
        <v>0.2673611111111111</v>
      </c>
      <c r="P231" s="130">
        <v>0.24215277777777777</v>
      </c>
      <c r="Q231" s="56" t="s">
        <v>1050</v>
      </c>
      <c r="R231" s="56" t="s">
        <v>370</v>
      </c>
      <c r="S231" s="56">
        <v>31</v>
      </c>
      <c r="T231" s="131">
        <v>6.2500000000000056E-3</v>
      </c>
      <c r="U231" s="130">
        <v>-2.5208333333333333E-2</v>
      </c>
      <c r="V231" s="56" t="s">
        <v>1051</v>
      </c>
      <c r="W231" s="56" t="s">
        <v>1052</v>
      </c>
      <c r="X231" s="56" t="s">
        <v>1053</v>
      </c>
      <c r="Y231" s="56">
        <v>31</v>
      </c>
      <c r="Z231" s="56" t="s">
        <v>1054</v>
      </c>
      <c r="AA231" s="56" t="s">
        <v>1421</v>
      </c>
      <c r="AB231" s="56" t="s">
        <v>1077</v>
      </c>
      <c r="AC231" s="56" t="s">
        <v>1078</v>
      </c>
      <c r="AD231" s="56" t="s">
        <v>1422</v>
      </c>
      <c r="AE231" s="56" t="s">
        <v>1423</v>
      </c>
      <c r="AF231" s="56" t="s">
        <v>1060</v>
      </c>
      <c r="AG231" s="56" t="s">
        <v>1424</v>
      </c>
      <c r="AH231" s="56"/>
      <c r="AI231" s="56"/>
      <c r="AJ231" s="56"/>
      <c r="AK231" s="56"/>
      <c r="AL231" s="56"/>
      <c r="AM231" s="56"/>
      <c r="AN231" s="56"/>
      <c r="AO231" s="56"/>
      <c r="AP231" s="56"/>
      <c r="AQ231" s="131"/>
      <c r="AR231" s="130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</row>
    <row r="232" spans="1:56" x14ac:dyDescent="0.2">
      <c r="A232" s="56">
        <v>14108916</v>
      </c>
      <c r="B232" s="56">
        <v>175336019</v>
      </c>
      <c r="C232" s="56" t="s">
        <v>1871</v>
      </c>
      <c r="D232" s="56" t="s">
        <v>1645</v>
      </c>
      <c r="E232" s="56" t="s">
        <v>1047</v>
      </c>
      <c r="F232" s="56">
        <v>117</v>
      </c>
      <c r="G232" s="56">
        <v>16769</v>
      </c>
      <c r="H232" s="56" t="s">
        <v>1048</v>
      </c>
      <c r="I232" s="56" t="s">
        <v>1104</v>
      </c>
      <c r="J232" s="129">
        <v>46233</v>
      </c>
      <c r="K232" s="130">
        <v>0.20833333333333334</v>
      </c>
      <c r="L232" s="130">
        <v>0.21458333333333332</v>
      </c>
      <c r="M232" s="56" t="s">
        <v>1050</v>
      </c>
      <c r="N232" s="129">
        <v>46233</v>
      </c>
      <c r="O232" s="130">
        <v>0.2673611111111111</v>
      </c>
      <c r="P232" s="130">
        <v>0.2456712962962963</v>
      </c>
      <c r="Q232" s="56" t="s">
        <v>1050</v>
      </c>
      <c r="R232" s="56" t="s">
        <v>79</v>
      </c>
      <c r="S232" s="56">
        <v>31</v>
      </c>
      <c r="T232" s="131">
        <v>6.2499999999999778E-3</v>
      </c>
      <c r="U232" s="130">
        <v>-2.1689814814814801E-2</v>
      </c>
      <c r="V232" s="56" t="s">
        <v>1051</v>
      </c>
      <c r="W232" s="56" t="s">
        <v>1052</v>
      </c>
      <c r="X232" s="56" t="s">
        <v>1053</v>
      </c>
      <c r="Y232" s="56">
        <v>31</v>
      </c>
      <c r="Z232" s="56" t="s">
        <v>1054</v>
      </c>
      <c r="AA232" s="56" t="s">
        <v>1646</v>
      </c>
      <c r="AB232" s="56" t="s">
        <v>1106</v>
      </c>
      <c r="AC232" s="56" t="s">
        <v>1078</v>
      </c>
      <c r="AD232" s="56" t="s">
        <v>1647</v>
      </c>
      <c r="AE232" s="56" t="s">
        <v>1648</v>
      </c>
      <c r="AF232" s="56" t="s">
        <v>1060</v>
      </c>
      <c r="AG232" s="56" t="s">
        <v>1872</v>
      </c>
      <c r="AH232" s="56"/>
      <c r="AI232" s="56"/>
      <c r="AJ232" s="56"/>
      <c r="AK232" s="56"/>
      <c r="AL232" s="56"/>
      <c r="AM232" s="56"/>
      <c r="AN232" s="56"/>
      <c r="AO232" s="56"/>
      <c r="AP232" s="56"/>
      <c r="AQ232" s="131"/>
      <c r="AR232" s="130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</row>
    <row r="233" spans="1:56" x14ac:dyDescent="0.2">
      <c r="A233" s="56"/>
      <c r="B233" s="56">
        <v>175336144</v>
      </c>
      <c r="C233" s="56" t="s">
        <v>2146</v>
      </c>
      <c r="D233" s="56" t="s">
        <v>2147</v>
      </c>
      <c r="E233" s="56" t="s">
        <v>1047</v>
      </c>
      <c r="F233" s="56">
        <v>1</v>
      </c>
      <c r="G233" s="56">
        <v>11942</v>
      </c>
      <c r="H233" s="56" t="s">
        <v>1048</v>
      </c>
      <c r="I233" s="56" t="s">
        <v>2134</v>
      </c>
      <c r="J233" s="129">
        <v>46233</v>
      </c>
      <c r="K233" s="130">
        <v>0.20833333333333334</v>
      </c>
      <c r="L233" s="130">
        <v>0.24097222222222223</v>
      </c>
      <c r="M233" s="56" t="s">
        <v>1050</v>
      </c>
      <c r="N233" s="129">
        <v>46233</v>
      </c>
      <c r="O233" s="130">
        <v>0.29166666666666669</v>
      </c>
      <c r="P233" s="130">
        <v>0.25</v>
      </c>
      <c r="Q233" s="56" t="s">
        <v>1050</v>
      </c>
      <c r="R233" s="56" t="s">
        <v>1414</v>
      </c>
      <c r="S233" s="56">
        <v>31</v>
      </c>
      <c r="T233" s="131">
        <v>3.2638888888888884E-2</v>
      </c>
      <c r="U233" s="130">
        <v>-4.1666666666666685E-2</v>
      </c>
      <c r="V233" s="56" t="s">
        <v>1051</v>
      </c>
      <c r="W233" s="56" t="s">
        <v>1052</v>
      </c>
      <c r="X233" s="56" t="s">
        <v>1053</v>
      </c>
      <c r="Y233" s="56">
        <v>31</v>
      </c>
      <c r="Z233" s="56" t="s">
        <v>1054</v>
      </c>
      <c r="AA233" s="56" t="s">
        <v>2148</v>
      </c>
      <c r="AB233" s="56" t="s">
        <v>1342</v>
      </c>
      <c r="AC233" s="56" t="s">
        <v>1069</v>
      </c>
      <c r="AD233" s="56" t="s">
        <v>2149</v>
      </c>
      <c r="AE233" s="56" t="s">
        <v>2150</v>
      </c>
      <c r="AF233" s="56" t="s">
        <v>1060</v>
      </c>
      <c r="AG233" s="56" t="s">
        <v>2151</v>
      </c>
      <c r="AH233" s="56"/>
      <c r="AI233" s="56"/>
      <c r="AJ233" s="56"/>
      <c r="AK233" s="56"/>
      <c r="AL233" s="56"/>
      <c r="AM233" s="56"/>
      <c r="AN233" s="56"/>
      <c r="AO233" s="56"/>
      <c r="AP233" s="56"/>
      <c r="AQ233" s="131"/>
      <c r="AR233" s="130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</row>
    <row r="234" spans="1:56" x14ac:dyDescent="0.2">
      <c r="A234" s="56"/>
      <c r="B234" s="56">
        <v>175336145</v>
      </c>
      <c r="C234" s="56" t="s">
        <v>2152</v>
      </c>
      <c r="D234" s="56" t="s">
        <v>2153</v>
      </c>
      <c r="E234" s="56" t="s">
        <v>1047</v>
      </c>
      <c r="F234" s="56">
        <v>2</v>
      </c>
      <c r="G234" s="56">
        <v>11853</v>
      </c>
      <c r="H234" s="56" t="s">
        <v>1048</v>
      </c>
      <c r="I234" s="56" t="s">
        <v>2134</v>
      </c>
      <c r="J234" s="129">
        <v>46233</v>
      </c>
      <c r="K234" s="130">
        <v>0.20833333333333334</v>
      </c>
      <c r="L234" s="130">
        <v>0.23194444444444445</v>
      </c>
      <c r="M234" s="56" t="s">
        <v>1050</v>
      </c>
      <c r="N234" s="129">
        <v>46233</v>
      </c>
      <c r="O234" s="130">
        <v>0.29166666666666669</v>
      </c>
      <c r="P234" s="130">
        <v>0.25347222222222221</v>
      </c>
      <c r="Q234" s="56" t="s">
        <v>1050</v>
      </c>
      <c r="R234" s="56"/>
      <c r="S234" s="56">
        <v>31</v>
      </c>
      <c r="T234" s="131">
        <v>2.361111111111111E-2</v>
      </c>
      <c r="U234" s="130">
        <v>-3.8194444444444475E-2</v>
      </c>
      <c r="V234" s="56" t="s">
        <v>1051</v>
      </c>
      <c r="W234" s="56" t="s">
        <v>1052</v>
      </c>
      <c r="X234" s="56" t="s">
        <v>1053</v>
      </c>
      <c r="Y234" s="56">
        <v>31</v>
      </c>
      <c r="Z234" s="56" t="s">
        <v>1054</v>
      </c>
      <c r="AA234" s="56" t="s">
        <v>2154</v>
      </c>
      <c r="AB234" s="56" t="e">
        <v>#N/A</v>
      </c>
      <c r="AC234" s="56" t="e">
        <v>#N/A</v>
      </c>
      <c r="AD234" s="56" t="s">
        <v>2155</v>
      </c>
      <c r="AE234" s="56" t="s">
        <v>2156</v>
      </c>
      <c r="AF234" s="56" t="s">
        <v>1060</v>
      </c>
      <c r="AG234" s="56" t="s">
        <v>2157</v>
      </c>
      <c r="AH234" s="56"/>
      <c r="AI234" s="56"/>
      <c r="AJ234" s="56"/>
      <c r="AK234" s="56"/>
      <c r="AL234" s="56"/>
      <c r="AM234" s="56"/>
      <c r="AN234" s="56"/>
      <c r="AO234" s="56"/>
      <c r="AP234" s="56"/>
      <c r="AQ234" s="131"/>
      <c r="AR234" s="130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</row>
    <row r="235" spans="1:56" x14ac:dyDescent="0.2">
      <c r="A235" s="56">
        <v>14122706</v>
      </c>
      <c r="B235" s="56">
        <v>175336147</v>
      </c>
      <c r="C235" s="56" t="s">
        <v>2158</v>
      </c>
      <c r="D235" s="56" t="s">
        <v>2159</v>
      </c>
      <c r="E235" s="56" t="s">
        <v>1047</v>
      </c>
      <c r="F235" s="56">
        <v>4</v>
      </c>
      <c r="G235" s="56">
        <v>7943</v>
      </c>
      <c r="H235" s="56" t="s">
        <v>1048</v>
      </c>
      <c r="I235" s="56" t="s">
        <v>2134</v>
      </c>
      <c r="J235" s="129">
        <v>46233</v>
      </c>
      <c r="K235" s="130">
        <v>0.20833333333333334</v>
      </c>
      <c r="L235" s="130">
        <v>0.24374999999999999</v>
      </c>
      <c r="M235" s="56" t="s">
        <v>1050</v>
      </c>
      <c r="N235" s="129">
        <v>46233</v>
      </c>
      <c r="O235" s="130">
        <v>0.29166666666666669</v>
      </c>
      <c r="P235" s="130">
        <v>0.2590277777777778</v>
      </c>
      <c r="Q235" s="56" t="s">
        <v>1050</v>
      </c>
      <c r="R235" s="56" t="s">
        <v>438</v>
      </c>
      <c r="S235" s="56">
        <v>31</v>
      </c>
      <c r="T235" s="131">
        <v>3.5416666666666652E-2</v>
      </c>
      <c r="U235" s="130">
        <v>-3.2638888888888884E-2</v>
      </c>
      <c r="V235" s="56" t="s">
        <v>1051</v>
      </c>
      <c r="W235" s="56" t="s">
        <v>1052</v>
      </c>
      <c r="X235" s="56" t="s">
        <v>1053</v>
      </c>
      <c r="Y235" s="56">
        <v>31</v>
      </c>
      <c r="Z235" s="56" t="s">
        <v>1054</v>
      </c>
      <c r="AA235" s="56" t="s">
        <v>2160</v>
      </c>
      <c r="AB235" s="56" t="e">
        <v>#N/A</v>
      </c>
      <c r="AC235" s="56" t="e">
        <v>#N/A</v>
      </c>
      <c r="AD235" s="56" t="s">
        <v>2161</v>
      </c>
      <c r="AE235" s="56" t="s">
        <v>2162</v>
      </c>
      <c r="AF235" s="56" t="s">
        <v>1060</v>
      </c>
      <c r="AG235" s="56" t="s">
        <v>2163</v>
      </c>
      <c r="AH235" s="56"/>
      <c r="AI235" s="56"/>
      <c r="AJ235" s="56"/>
      <c r="AK235" s="56"/>
      <c r="AL235" s="56"/>
      <c r="AM235" s="56"/>
      <c r="AN235" s="56"/>
      <c r="AO235" s="56"/>
      <c r="AP235" s="56"/>
      <c r="AQ235" s="131"/>
      <c r="AR235" s="130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</row>
    <row r="236" spans="1:56" x14ac:dyDescent="0.2">
      <c r="A236" s="56">
        <v>14119598</v>
      </c>
      <c r="B236" s="56">
        <v>175337375</v>
      </c>
      <c r="C236" s="56" t="s">
        <v>2164</v>
      </c>
      <c r="D236" s="56" t="s">
        <v>2165</v>
      </c>
      <c r="E236" s="56" t="s">
        <v>1047</v>
      </c>
      <c r="F236" s="56">
        <v>14</v>
      </c>
      <c r="G236" s="56">
        <v>15333</v>
      </c>
      <c r="H236" s="56" t="s">
        <v>1048</v>
      </c>
      <c r="I236" s="56" t="s">
        <v>1484</v>
      </c>
      <c r="J236" s="129">
        <v>46233</v>
      </c>
      <c r="K236" s="130">
        <v>0.20833333333333334</v>
      </c>
      <c r="L236" s="130">
        <v>0.21180555555555555</v>
      </c>
      <c r="M236" s="56" t="s">
        <v>1050</v>
      </c>
      <c r="N236" s="129">
        <v>46233</v>
      </c>
      <c r="O236" s="130">
        <v>0.26041666666666669</v>
      </c>
      <c r="P236" s="130">
        <v>0.25738425925925928</v>
      </c>
      <c r="Q236" s="56" t="s">
        <v>1050</v>
      </c>
      <c r="R236" s="56" t="s">
        <v>254</v>
      </c>
      <c r="S236" s="56">
        <v>31</v>
      </c>
      <c r="T236" s="131">
        <v>3.4722222222222099E-3</v>
      </c>
      <c r="U236" s="130">
        <v>-3.0324074074074003E-3</v>
      </c>
      <c r="V236" s="56" t="s">
        <v>1051</v>
      </c>
      <c r="W236" s="56" t="s">
        <v>1052</v>
      </c>
      <c r="X236" s="56" t="s">
        <v>1053</v>
      </c>
      <c r="Y236" s="56">
        <v>31</v>
      </c>
      <c r="Z236" s="56" t="s">
        <v>1054</v>
      </c>
      <c r="AA236" s="56" t="s">
        <v>2166</v>
      </c>
      <c r="AB236" s="56" t="s">
        <v>1068</v>
      </c>
      <c r="AC236" s="56" t="s">
        <v>1069</v>
      </c>
      <c r="AD236" s="56" t="s">
        <v>2167</v>
      </c>
      <c r="AE236" s="56" t="s">
        <v>2168</v>
      </c>
      <c r="AF236" s="56" t="s">
        <v>1060</v>
      </c>
      <c r="AG236" s="56" t="s">
        <v>2169</v>
      </c>
      <c r="AH236" s="56"/>
      <c r="AI236" s="56"/>
      <c r="AJ236" s="56"/>
      <c r="AK236" s="56"/>
      <c r="AL236" s="56"/>
      <c r="AM236" s="56"/>
      <c r="AN236" s="56"/>
      <c r="AO236" s="56"/>
      <c r="AP236" s="56"/>
      <c r="AQ236" s="131"/>
      <c r="AR236" s="130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</row>
    <row r="237" spans="1:56" x14ac:dyDescent="0.2">
      <c r="A237" s="56">
        <v>14104822</v>
      </c>
      <c r="B237" s="56">
        <v>175347559</v>
      </c>
      <c r="C237" s="56" t="s">
        <v>2170</v>
      </c>
      <c r="D237" s="56" t="s">
        <v>2171</v>
      </c>
      <c r="E237" s="56" t="s">
        <v>1047</v>
      </c>
      <c r="F237" s="56">
        <v>77</v>
      </c>
      <c r="G237" s="56">
        <v>4535</v>
      </c>
      <c r="H237" s="56" t="s">
        <v>1048</v>
      </c>
      <c r="I237" s="56" t="s">
        <v>1090</v>
      </c>
      <c r="J237" s="129">
        <v>46233</v>
      </c>
      <c r="K237" s="130">
        <v>0.20833333333333334</v>
      </c>
      <c r="L237" s="130">
        <v>0.21388888888888888</v>
      </c>
      <c r="M237" s="56" t="s">
        <v>1050</v>
      </c>
      <c r="N237" s="129">
        <v>46233</v>
      </c>
      <c r="O237" s="130">
        <v>0.2673611111111111</v>
      </c>
      <c r="P237" s="130">
        <v>0.25311342592592595</v>
      </c>
      <c r="Q237" s="56" t="s">
        <v>1050</v>
      </c>
      <c r="R237" s="56" t="s">
        <v>41</v>
      </c>
      <c r="S237" s="56">
        <v>31</v>
      </c>
      <c r="T237" s="131">
        <v>5.5555555555555358E-3</v>
      </c>
      <c r="U237" s="130">
        <v>-1.4247685185185155E-2</v>
      </c>
      <c r="V237" s="56" t="s">
        <v>1051</v>
      </c>
      <c r="W237" s="56" t="s">
        <v>1052</v>
      </c>
      <c r="X237" s="56" t="s">
        <v>1053</v>
      </c>
      <c r="Y237" s="56">
        <v>31</v>
      </c>
      <c r="Z237" s="56" t="s">
        <v>1054</v>
      </c>
      <c r="AA237" s="56" t="s">
        <v>2172</v>
      </c>
      <c r="AB237" s="56" t="s">
        <v>1092</v>
      </c>
      <c r="AC237" s="56" t="s">
        <v>1078</v>
      </c>
      <c r="AD237" s="56" t="s">
        <v>2173</v>
      </c>
      <c r="AE237" s="56" t="s">
        <v>2174</v>
      </c>
      <c r="AF237" s="56" t="s">
        <v>1060</v>
      </c>
      <c r="AG237" s="56" t="s">
        <v>2175</v>
      </c>
      <c r="AH237" s="56"/>
      <c r="AI237" s="56"/>
      <c r="AJ237" s="56"/>
      <c r="AK237" s="56"/>
      <c r="AL237" s="56"/>
      <c r="AM237" s="56"/>
      <c r="AN237" s="56"/>
      <c r="AO237" s="56"/>
      <c r="AP237" s="56"/>
      <c r="AQ237" s="131"/>
      <c r="AR237" s="130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</row>
    <row r="238" spans="1:56" x14ac:dyDescent="0.2">
      <c r="A238" s="56">
        <v>14107967</v>
      </c>
      <c r="B238" s="56">
        <v>175335690</v>
      </c>
      <c r="C238" s="56" t="s">
        <v>1130</v>
      </c>
      <c r="D238" s="56" t="s">
        <v>1131</v>
      </c>
      <c r="E238" s="56" t="s">
        <v>1047</v>
      </c>
      <c r="F238" s="56">
        <v>15</v>
      </c>
      <c r="G238" s="56">
        <v>16734</v>
      </c>
      <c r="H238" s="56" t="s">
        <v>1048</v>
      </c>
      <c r="I238" s="56" t="s">
        <v>1118</v>
      </c>
      <c r="J238" s="129">
        <v>46233</v>
      </c>
      <c r="K238" s="130">
        <v>0.21180555555555555</v>
      </c>
      <c r="L238" s="130">
        <v>0.21597222222222223</v>
      </c>
      <c r="M238" s="56" t="s">
        <v>1050</v>
      </c>
      <c r="N238" s="129">
        <v>46233</v>
      </c>
      <c r="O238" s="130">
        <v>0.2673611111111111</v>
      </c>
      <c r="P238" s="130">
        <v>0.25504629629629627</v>
      </c>
      <c r="Q238" s="56" t="s">
        <v>1050</v>
      </c>
      <c r="R238" s="56" t="s">
        <v>67</v>
      </c>
      <c r="S238" s="56">
        <v>31</v>
      </c>
      <c r="T238" s="131">
        <v>4.1666666666666796E-3</v>
      </c>
      <c r="U238" s="130">
        <v>-1.2314814814814834E-2</v>
      </c>
      <c r="V238" s="56" t="s">
        <v>1051</v>
      </c>
      <c r="W238" s="56" t="s">
        <v>1052</v>
      </c>
      <c r="X238" s="56" t="s">
        <v>1053</v>
      </c>
      <c r="Y238" s="56">
        <v>31</v>
      </c>
      <c r="Z238" s="56" t="s">
        <v>1054</v>
      </c>
      <c r="AA238" s="56" t="s">
        <v>1133</v>
      </c>
      <c r="AB238" s="56" t="s">
        <v>1120</v>
      </c>
      <c r="AC238" s="56" t="s">
        <v>1078</v>
      </c>
      <c r="AD238" s="56" t="s">
        <v>1134</v>
      </c>
      <c r="AE238" s="56" t="s">
        <v>1135</v>
      </c>
      <c r="AF238" s="56" t="s">
        <v>1060</v>
      </c>
      <c r="AG238" s="56" t="s">
        <v>1136</v>
      </c>
      <c r="AH238" s="56"/>
      <c r="AI238" s="56"/>
      <c r="AJ238" s="56"/>
      <c r="AK238" s="56"/>
      <c r="AL238" s="56"/>
      <c r="AM238" s="56"/>
      <c r="AN238" s="56"/>
      <c r="AO238" s="56"/>
      <c r="AP238" s="56"/>
      <c r="AQ238" s="131"/>
      <c r="AR238" s="130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</row>
    <row r="239" spans="1:56" x14ac:dyDescent="0.2">
      <c r="A239" s="56">
        <v>14123334</v>
      </c>
      <c r="B239" s="56">
        <v>175348167</v>
      </c>
      <c r="C239" s="56" t="s">
        <v>1144</v>
      </c>
      <c r="D239" s="56" t="s">
        <v>1145</v>
      </c>
      <c r="E239" s="56" t="s">
        <v>1047</v>
      </c>
      <c r="F239" s="56">
        <v>91</v>
      </c>
      <c r="G239" s="56">
        <v>13409</v>
      </c>
      <c r="H239" s="56" t="s">
        <v>1048</v>
      </c>
      <c r="I239" s="56" t="s">
        <v>1118</v>
      </c>
      <c r="J239" s="129">
        <v>46233</v>
      </c>
      <c r="K239" s="130">
        <v>0.21180555555555555</v>
      </c>
      <c r="L239" s="130">
        <v>0.23333333333333334</v>
      </c>
      <c r="M239" s="56" t="s">
        <v>1050</v>
      </c>
      <c r="N239" s="129">
        <v>46233</v>
      </c>
      <c r="O239" s="130">
        <v>0.2673611111111111</v>
      </c>
      <c r="P239" s="130">
        <v>0.26219907407407406</v>
      </c>
      <c r="Q239" s="56" t="s">
        <v>1050</v>
      </c>
      <c r="R239" s="56" t="s">
        <v>502</v>
      </c>
      <c r="S239" s="56">
        <v>31</v>
      </c>
      <c r="T239" s="131">
        <v>2.1527777777777785E-2</v>
      </c>
      <c r="U239" s="130">
        <v>-5.1620370370370483E-3</v>
      </c>
      <c r="V239" s="56" t="s">
        <v>1051</v>
      </c>
      <c r="W239" s="56" t="s">
        <v>1052</v>
      </c>
      <c r="X239" s="56" t="s">
        <v>1053</v>
      </c>
      <c r="Y239" s="56">
        <v>31</v>
      </c>
      <c r="Z239" s="56" t="s">
        <v>1054</v>
      </c>
      <c r="AA239" s="56" t="s">
        <v>1146</v>
      </c>
      <c r="AB239" s="56" t="s">
        <v>1120</v>
      </c>
      <c r="AC239" s="56" t="s">
        <v>1078</v>
      </c>
      <c r="AD239" s="56" t="s">
        <v>1147</v>
      </c>
      <c r="AE239" s="56" t="s">
        <v>1148</v>
      </c>
      <c r="AF239" s="56" t="s">
        <v>1060</v>
      </c>
      <c r="AG239" s="56" t="s">
        <v>1149</v>
      </c>
      <c r="AH239" s="56"/>
      <c r="AI239" s="56"/>
      <c r="AJ239" s="56"/>
      <c r="AK239" s="56"/>
      <c r="AL239" s="56"/>
      <c r="AM239" s="56"/>
      <c r="AN239" s="56"/>
      <c r="AO239" s="56"/>
      <c r="AP239" s="56"/>
      <c r="AQ239" s="131"/>
      <c r="AR239" s="130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</row>
    <row r="240" spans="1:56" x14ac:dyDescent="0.2">
      <c r="A240" s="56">
        <v>14122673</v>
      </c>
      <c r="B240" s="56">
        <v>175335694</v>
      </c>
      <c r="C240" s="56" t="s">
        <v>1450</v>
      </c>
      <c r="D240" s="56" t="s">
        <v>1451</v>
      </c>
      <c r="E240" s="56" t="s">
        <v>1047</v>
      </c>
      <c r="F240" s="56">
        <v>17</v>
      </c>
      <c r="G240" s="56">
        <v>6352</v>
      </c>
      <c r="H240" s="56" t="s">
        <v>1048</v>
      </c>
      <c r="I240" s="56" t="s">
        <v>1118</v>
      </c>
      <c r="J240" s="129">
        <v>46233</v>
      </c>
      <c r="K240" s="130">
        <v>0.21319444444444444</v>
      </c>
      <c r="L240" s="130">
        <v>0.21736111111111112</v>
      </c>
      <c r="M240" s="56" t="s">
        <v>1050</v>
      </c>
      <c r="N240" s="129">
        <v>46233</v>
      </c>
      <c r="O240" s="130">
        <v>0.2673611111111111</v>
      </c>
      <c r="P240" s="130">
        <v>0.25405092592592593</v>
      </c>
      <c r="Q240" s="56" t="s">
        <v>1050</v>
      </c>
      <c r="R240" s="56" t="s">
        <v>432</v>
      </c>
      <c r="S240" s="56">
        <v>31</v>
      </c>
      <c r="T240" s="131">
        <v>4.1666666666666796E-3</v>
      </c>
      <c r="U240" s="130">
        <v>-1.3310185185185175E-2</v>
      </c>
      <c r="V240" s="56" t="s">
        <v>1051</v>
      </c>
      <c r="W240" s="56" t="s">
        <v>1052</v>
      </c>
      <c r="X240" s="56" t="s">
        <v>1053</v>
      </c>
      <c r="Y240" s="56">
        <v>31</v>
      </c>
      <c r="Z240" s="56" t="s">
        <v>1054</v>
      </c>
      <c r="AA240" s="56" t="s">
        <v>1452</v>
      </c>
      <c r="AB240" s="56" t="s">
        <v>1120</v>
      </c>
      <c r="AC240" s="56" t="s">
        <v>1078</v>
      </c>
      <c r="AD240" s="56" t="s">
        <v>1453</v>
      </c>
      <c r="AE240" s="56" t="s">
        <v>1454</v>
      </c>
      <c r="AF240" s="56" t="s">
        <v>1060</v>
      </c>
      <c r="AG240" s="56" t="s">
        <v>1455</v>
      </c>
      <c r="AH240" s="56"/>
      <c r="AI240" s="56"/>
      <c r="AJ240" s="56"/>
      <c r="AK240" s="56"/>
      <c r="AL240" s="56"/>
      <c r="AM240" s="56"/>
      <c r="AN240" s="56"/>
      <c r="AO240" s="56"/>
      <c r="AP240" s="56"/>
      <c r="AQ240" s="131"/>
      <c r="AR240" s="130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</row>
    <row r="241" spans="1:56" x14ac:dyDescent="0.2">
      <c r="A241" s="56">
        <v>14115917</v>
      </c>
      <c r="B241" s="56">
        <v>175346958</v>
      </c>
      <c r="C241" s="56" t="s">
        <v>2176</v>
      </c>
      <c r="D241" s="56" t="s">
        <v>2177</v>
      </c>
      <c r="E241" s="56" t="s">
        <v>1047</v>
      </c>
      <c r="F241" s="56">
        <v>86</v>
      </c>
      <c r="G241" s="56">
        <v>16784</v>
      </c>
      <c r="H241" s="56" t="s">
        <v>1048</v>
      </c>
      <c r="I241" s="56" t="s">
        <v>1118</v>
      </c>
      <c r="J241" s="129">
        <v>46233</v>
      </c>
      <c r="K241" s="130">
        <v>0.21319444444444444</v>
      </c>
      <c r="L241" s="130">
        <v>0.21875</v>
      </c>
      <c r="M241" s="56" t="s">
        <v>1050</v>
      </c>
      <c r="N241" s="129">
        <v>46233</v>
      </c>
      <c r="O241" s="130">
        <v>0.2673611111111111</v>
      </c>
      <c r="P241" s="130">
        <v>0.26194444444444442</v>
      </c>
      <c r="Q241" s="56" t="s">
        <v>1050</v>
      </c>
      <c r="R241" s="56" t="s">
        <v>2178</v>
      </c>
      <c r="S241" s="56">
        <v>31</v>
      </c>
      <c r="T241" s="131">
        <v>5.5555555555555636E-3</v>
      </c>
      <c r="U241" s="130">
        <v>-5.4166666666666807E-3</v>
      </c>
      <c r="V241" s="56" t="s">
        <v>1051</v>
      </c>
      <c r="W241" s="56" t="s">
        <v>1052</v>
      </c>
      <c r="X241" s="56" t="s">
        <v>1053</v>
      </c>
      <c r="Y241" s="56">
        <v>31</v>
      </c>
      <c r="Z241" s="56" t="s">
        <v>1054</v>
      </c>
      <c r="AA241" s="56" t="s">
        <v>2179</v>
      </c>
      <c r="AB241" s="56" t="s">
        <v>1120</v>
      </c>
      <c r="AC241" s="56" t="s">
        <v>1078</v>
      </c>
      <c r="AD241" s="56" t="s">
        <v>2180</v>
      </c>
      <c r="AE241" s="56" t="s">
        <v>2181</v>
      </c>
      <c r="AF241" s="56" t="s">
        <v>1060</v>
      </c>
      <c r="AG241" s="56" t="s">
        <v>2182</v>
      </c>
      <c r="AH241" s="56"/>
      <c r="AI241" s="56"/>
      <c r="AJ241" s="56"/>
      <c r="AK241" s="56"/>
      <c r="AL241" s="56"/>
      <c r="AM241" s="56"/>
      <c r="AN241" s="56"/>
      <c r="AO241" s="56"/>
      <c r="AP241" s="56"/>
      <c r="AQ241" s="131"/>
      <c r="AR241" s="130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</row>
    <row r="242" spans="1:56" x14ac:dyDescent="0.2">
      <c r="A242" s="56">
        <v>14107167</v>
      </c>
      <c r="B242" s="56">
        <v>175336370</v>
      </c>
      <c r="C242" s="56" t="s">
        <v>1462</v>
      </c>
      <c r="D242" s="56" t="s">
        <v>1463</v>
      </c>
      <c r="E242" s="56" t="s">
        <v>1047</v>
      </c>
      <c r="F242" s="56">
        <v>4</v>
      </c>
      <c r="G242" s="56">
        <v>5922</v>
      </c>
      <c r="H242" s="56" t="s">
        <v>1048</v>
      </c>
      <c r="I242" s="56" t="s">
        <v>1427</v>
      </c>
      <c r="J242" s="129">
        <v>46233</v>
      </c>
      <c r="K242" s="130">
        <v>0.21388888888888888</v>
      </c>
      <c r="L242" s="130">
        <v>0.32361111111111113</v>
      </c>
      <c r="M242" s="56" t="s">
        <v>1050</v>
      </c>
      <c r="N242" s="129">
        <v>46233</v>
      </c>
      <c r="O242" s="130">
        <v>0.27083333333333331</v>
      </c>
      <c r="P242" s="56"/>
      <c r="Q242" s="56" t="s">
        <v>1286</v>
      </c>
      <c r="R242" s="56" t="s">
        <v>56</v>
      </c>
      <c r="S242" s="56">
        <v>31</v>
      </c>
      <c r="T242" s="131">
        <v>0.10972222222222225</v>
      </c>
      <c r="U242" s="130">
        <v>-0.27083333333333331</v>
      </c>
      <c r="V242" s="56" t="s">
        <v>1051</v>
      </c>
      <c r="W242" s="56" t="s">
        <v>1052</v>
      </c>
      <c r="X242" s="56" t="s">
        <v>1053</v>
      </c>
      <c r="Y242" s="56">
        <v>31</v>
      </c>
      <c r="Z242" s="56" t="s">
        <v>1054</v>
      </c>
      <c r="AA242" s="56" t="s">
        <v>1464</v>
      </c>
      <c r="AB242" s="56" t="s">
        <v>1194</v>
      </c>
      <c r="AC242" s="56" t="s">
        <v>1057</v>
      </c>
      <c r="AD242" s="56" t="s">
        <v>1465</v>
      </c>
      <c r="AE242" s="56" t="s">
        <v>1466</v>
      </c>
      <c r="AF242" s="56" t="s">
        <v>1060</v>
      </c>
      <c r="AG242" s="56" t="s">
        <v>1467</v>
      </c>
      <c r="AH242" s="56"/>
      <c r="AI242" s="56"/>
      <c r="AJ242" s="56"/>
      <c r="AK242" s="56"/>
      <c r="AL242" s="56"/>
      <c r="AM242" s="56"/>
      <c r="AN242" s="56"/>
      <c r="AO242" s="56"/>
      <c r="AP242" s="56"/>
      <c r="AQ242" s="131"/>
      <c r="AR242" s="130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</row>
    <row r="243" spans="1:56" x14ac:dyDescent="0.2">
      <c r="A243" s="56">
        <v>14120489</v>
      </c>
      <c r="B243" s="56">
        <v>175331139</v>
      </c>
      <c r="C243" s="56" t="s">
        <v>2183</v>
      </c>
      <c r="D243" s="56" t="s">
        <v>2017</v>
      </c>
      <c r="E243" s="56" t="s">
        <v>1047</v>
      </c>
      <c r="F243" s="56">
        <v>38</v>
      </c>
      <c r="G243" s="56">
        <v>5877</v>
      </c>
      <c r="H243" s="56" t="s">
        <v>1048</v>
      </c>
      <c r="I243" s="56" t="s">
        <v>1192</v>
      </c>
      <c r="J243" s="129">
        <v>46233</v>
      </c>
      <c r="K243" s="130">
        <v>0.21527777777777779</v>
      </c>
      <c r="L243" s="130">
        <v>0.22013888888888888</v>
      </c>
      <c r="M243" s="56" t="s">
        <v>1050</v>
      </c>
      <c r="N243" s="129">
        <v>46233</v>
      </c>
      <c r="O243" s="130">
        <v>0.27083333333333331</v>
      </c>
      <c r="P243" s="130">
        <v>0.26458333333333334</v>
      </c>
      <c r="Q243" s="56" t="s">
        <v>1050</v>
      </c>
      <c r="R243" s="56" t="s">
        <v>288</v>
      </c>
      <c r="S243" s="56">
        <v>31</v>
      </c>
      <c r="T243" s="131">
        <v>4.8611111111110938E-3</v>
      </c>
      <c r="U243" s="130">
        <v>-6.2499999999999778E-3</v>
      </c>
      <c r="V243" s="56" t="s">
        <v>1051</v>
      </c>
      <c r="W243" s="56" t="s">
        <v>1052</v>
      </c>
      <c r="X243" s="56" t="s">
        <v>1053</v>
      </c>
      <c r="Y243" s="56">
        <v>31</v>
      </c>
      <c r="Z243" s="56" t="s">
        <v>1054</v>
      </c>
      <c r="AA243" s="56" t="s">
        <v>2018</v>
      </c>
      <c r="AB243" s="56" t="s">
        <v>1194</v>
      </c>
      <c r="AC243" s="56" t="s">
        <v>1057</v>
      </c>
      <c r="AD243" s="56" t="s">
        <v>2019</v>
      </c>
      <c r="AE243" s="56" t="s">
        <v>2020</v>
      </c>
      <c r="AF243" s="56" t="s">
        <v>1060</v>
      </c>
      <c r="AG243" s="56" t="s">
        <v>2184</v>
      </c>
      <c r="AH243" s="56"/>
      <c r="AI243" s="56"/>
      <c r="AJ243" s="56"/>
      <c r="AK243" s="56"/>
      <c r="AL243" s="56"/>
      <c r="AM243" s="56"/>
      <c r="AN243" s="56"/>
      <c r="AO243" s="56"/>
      <c r="AP243" s="56"/>
      <c r="AQ243" s="131"/>
      <c r="AR243" s="130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</row>
    <row r="244" spans="1:56" x14ac:dyDescent="0.2">
      <c r="A244" s="56">
        <v>14109032</v>
      </c>
      <c r="B244" s="56">
        <v>175331601</v>
      </c>
      <c r="C244" s="56" t="s">
        <v>2185</v>
      </c>
      <c r="D244" s="56" t="s">
        <v>2186</v>
      </c>
      <c r="E244" s="56" t="s">
        <v>1047</v>
      </c>
      <c r="F244" s="56">
        <v>5</v>
      </c>
      <c r="G244" s="56">
        <v>13727</v>
      </c>
      <c r="H244" s="56" t="s">
        <v>1048</v>
      </c>
      <c r="I244" s="56" t="s">
        <v>1340</v>
      </c>
      <c r="J244" s="129">
        <v>46233</v>
      </c>
      <c r="K244" s="130">
        <v>0.21527777777777779</v>
      </c>
      <c r="L244" s="130">
        <v>0.21875</v>
      </c>
      <c r="M244" s="56" t="s">
        <v>1050</v>
      </c>
      <c r="N244" s="129">
        <v>46233</v>
      </c>
      <c r="O244" s="130">
        <v>0.23958333333333334</v>
      </c>
      <c r="P244" s="130">
        <v>0.23474537037037038</v>
      </c>
      <c r="Q244" s="56" t="s">
        <v>1050</v>
      </c>
      <c r="R244" s="56" t="s">
        <v>80</v>
      </c>
      <c r="S244" s="56">
        <v>31</v>
      </c>
      <c r="T244" s="131">
        <v>3.4722222222222099E-3</v>
      </c>
      <c r="U244" s="130">
        <v>-4.8379629629629606E-3</v>
      </c>
      <c r="V244" s="56" t="s">
        <v>1051</v>
      </c>
      <c r="W244" s="56" t="s">
        <v>1052</v>
      </c>
      <c r="X244" s="56" t="s">
        <v>1053</v>
      </c>
      <c r="Y244" s="56">
        <v>31</v>
      </c>
      <c r="Z244" s="56" t="s">
        <v>1054</v>
      </c>
      <c r="AA244" s="56" t="s">
        <v>2187</v>
      </c>
      <c r="AB244" s="56" t="s">
        <v>1342</v>
      </c>
      <c r="AC244" s="56" t="s">
        <v>1069</v>
      </c>
      <c r="AD244" s="56" t="s">
        <v>2188</v>
      </c>
      <c r="AE244" s="56" t="s">
        <v>2189</v>
      </c>
      <c r="AF244" s="56" t="s">
        <v>1060</v>
      </c>
      <c r="AG244" s="56" t="s">
        <v>2190</v>
      </c>
      <c r="AH244" s="56"/>
      <c r="AI244" s="56"/>
      <c r="AJ244" s="56"/>
      <c r="AK244" s="56"/>
      <c r="AL244" s="56"/>
      <c r="AM244" s="56"/>
      <c r="AN244" s="56"/>
      <c r="AO244" s="56"/>
      <c r="AP244" s="56"/>
      <c r="AQ244" s="131"/>
      <c r="AR244" s="130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</row>
    <row r="245" spans="1:56" x14ac:dyDescent="0.2">
      <c r="A245" s="56">
        <v>14107217</v>
      </c>
      <c r="B245" s="56">
        <v>175347563</v>
      </c>
      <c r="C245" s="56" t="s">
        <v>2191</v>
      </c>
      <c r="D245" s="56" t="s">
        <v>1316</v>
      </c>
      <c r="E245" s="56" t="s">
        <v>1047</v>
      </c>
      <c r="F245" s="56">
        <v>79</v>
      </c>
      <c r="G245" s="56">
        <v>6885</v>
      </c>
      <c r="H245" s="56" t="s">
        <v>1048</v>
      </c>
      <c r="I245" s="56" t="s">
        <v>1090</v>
      </c>
      <c r="J245" s="129">
        <v>46233</v>
      </c>
      <c r="K245" s="130">
        <v>0.21527777777777779</v>
      </c>
      <c r="L245" s="130">
        <v>0.21944444444444444</v>
      </c>
      <c r="M245" s="56" t="s">
        <v>1050</v>
      </c>
      <c r="N245" s="129">
        <v>46233</v>
      </c>
      <c r="O245" s="130">
        <v>0.2673611111111111</v>
      </c>
      <c r="P245" s="130">
        <v>0.25225694444444446</v>
      </c>
      <c r="Q245" s="56" t="s">
        <v>1050</v>
      </c>
      <c r="R245" s="56" t="s">
        <v>59</v>
      </c>
      <c r="S245" s="56">
        <v>31</v>
      </c>
      <c r="T245" s="131">
        <v>4.1666666666666519E-3</v>
      </c>
      <c r="U245" s="130">
        <v>-1.5104166666666641E-2</v>
      </c>
      <c r="V245" s="56" t="s">
        <v>1051</v>
      </c>
      <c r="W245" s="56" t="s">
        <v>1052</v>
      </c>
      <c r="X245" s="56" t="s">
        <v>1053</v>
      </c>
      <c r="Y245" s="56">
        <v>31</v>
      </c>
      <c r="Z245" s="56" t="s">
        <v>1054</v>
      </c>
      <c r="AA245" s="56" t="s">
        <v>1317</v>
      </c>
      <c r="AB245" s="56" t="s">
        <v>1092</v>
      </c>
      <c r="AC245" s="56" t="s">
        <v>1078</v>
      </c>
      <c r="AD245" s="56" t="s">
        <v>1318</v>
      </c>
      <c r="AE245" s="56" t="s">
        <v>1319</v>
      </c>
      <c r="AF245" s="56" t="s">
        <v>1060</v>
      </c>
      <c r="AG245" s="56" t="s">
        <v>2192</v>
      </c>
      <c r="AH245" s="56"/>
      <c r="AI245" s="56"/>
      <c r="AJ245" s="56"/>
      <c r="AK245" s="56"/>
      <c r="AL245" s="56"/>
      <c r="AM245" s="56"/>
      <c r="AN245" s="56"/>
      <c r="AO245" s="56"/>
      <c r="AP245" s="56"/>
      <c r="AQ245" s="131"/>
      <c r="AR245" s="130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</row>
    <row r="246" spans="1:56" x14ac:dyDescent="0.2">
      <c r="A246" s="56">
        <v>14123527</v>
      </c>
      <c r="B246" s="56">
        <v>175348119</v>
      </c>
      <c r="C246" s="56" t="s">
        <v>2193</v>
      </c>
      <c r="D246" s="56" t="s">
        <v>1703</v>
      </c>
      <c r="E246" s="56" t="s">
        <v>1047</v>
      </c>
      <c r="F246" s="56">
        <v>136</v>
      </c>
      <c r="G246" s="56">
        <v>11945</v>
      </c>
      <c r="H246" s="56" t="s">
        <v>1048</v>
      </c>
      <c r="I246" s="56" t="s">
        <v>1172</v>
      </c>
      <c r="J246" s="129">
        <v>46233</v>
      </c>
      <c r="K246" s="130">
        <v>0.21736111111111112</v>
      </c>
      <c r="L246" s="130">
        <v>0.22291666666666668</v>
      </c>
      <c r="M246" s="56" t="s">
        <v>1050</v>
      </c>
      <c r="N246" s="129">
        <v>46233</v>
      </c>
      <c r="O246" s="130">
        <v>0.28125</v>
      </c>
      <c r="P246" s="130">
        <v>0.27652777777777776</v>
      </c>
      <c r="Q246" s="56" t="s">
        <v>1050</v>
      </c>
      <c r="R246" s="56" t="s">
        <v>525</v>
      </c>
      <c r="S246" s="56">
        <v>31</v>
      </c>
      <c r="T246" s="131">
        <v>5.5555555555555636E-3</v>
      </c>
      <c r="U246" s="130">
        <v>-4.7222222222222388E-3</v>
      </c>
      <c r="V246" s="56" t="s">
        <v>1051</v>
      </c>
      <c r="W246" s="56" t="s">
        <v>1052</v>
      </c>
      <c r="X246" s="56" t="s">
        <v>1053</v>
      </c>
      <c r="Y246" s="56">
        <v>31</v>
      </c>
      <c r="Z246" s="56" t="s">
        <v>1054</v>
      </c>
      <c r="AA246" s="56" t="s">
        <v>1704</v>
      </c>
      <c r="AB246" s="56" t="s">
        <v>1210</v>
      </c>
      <c r="AC246" s="56" t="s">
        <v>1057</v>
      </c>
      <c r="AD246" s="56" t="s">
        <v>1705</v>
      </c>
      <c r="AE246" s="56" t="s">
        <v>1706</v>
      </c>
      <c r="AF246" s="56" t="s">
        <v>1060</v>
      </c>
      <c r="AG246" s="56" t="s">
        <v>2194</v>
      </c>
      <c r="AH246" s="56"/>
      <c r="AI246" s="56"/>
      <c r="AJ246" s="56"/>
      <c r="AK246" s="56"/>
      <c r="AL246" s="56"/>
      <c r="AM246" s="56"/>
      <c r="AN246" s="56"/>
      <c r="AO246" s="56"/>
      <c r="AP246" s="56"/>
      <c r="AQ246" s="131"/>
      <c r="AR246" s="130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</row>
    <row r="247" spans="1:56" x14ac:dyDescent="0.2">
      <c r="A247" s="56"/>
      <c r="B247" s="56">
        <v>175331595</v>
      </c>
      <c r="C247" s="56" t="s">
        <v>2195</v>
      </c>
      <c r="D247" s="56" t="s">
        <v>1339</v>
      </c>
      <c r="E247" s="56" t="s">
        <v>1047</v>
      </c>
      <c r="F247" s="56">
        <v>1</v>
      </c>
      <c r="G247" s="56">
        <v>15313</v>
      </c>
      <c r="H247" s="56" t="s">
        <v>1048</v>
      </c>
      <c r="I247" s="56" t="s">
        <v>1340</v>
      </c>
      <c r="J247" s="129">
        <v>46233</v>
      </c>
      <c r="K247" s="130">
        <v>0.21875</v>
      </c>
      <c r="L247" s="130">
        <v>0.22222222222222221</v>
      </c>
      <c r="M247" s="56" t="s">
        <v>1050</v>
      </c>
      <c r="N247" s="129">
        <v>46233</v>
      </c>
      <c r="O247" s="130">
        <v>0.23958333333333334</v>
      </c>
      <c r="P247" s="130">
        <v>0.23377314814814815</v>
      </c>
      <c r="Q247" s="56" t="s">
        <v>1050</v>
      </c>
      <c r="R247" s="56" t="s">
        <v>1414</v>
      </c>
      <c r="S247" s="56">
        <v>31</v>
      </c>
      <c r="T247" s="131">
        <v>3.4722222222222099E-3</v>
      </c>
      <c r="U247" s="130">
        <v>-5.810185185185196E-3</v>
      </c>
      <c r="V247" s="56" t="s">
        <v>1051</v>
      </c>
      <c r="W247" s="56" t="s">
        <v>1052</v>
      </c>
      <c r="X247" s="56" t="s">
        <v>1053</v>
      </c>
      <c r="Y247" s="56">
        <v>31</v>
      </c>
      <c r="Z247" s="56" t="s">
        <v>1054</v>
      </c>
      <c r="AA247" s="56" t="s">
        <v>1341</v>
      </c>
      <c r="AB247" s="56" t="s">
        <v>1342</v>
      </c>
      <c r="AC247" s="56" t="s">
        <v>1069</v>
      </c>
      <c r="AD247" s="56" t="s">
        <v>1343</v>
      </c>
      <c r="AE247" s="56" t="s">
        <v>1344</v>
      </c>
      <c r="AF247" s="56" t="s">
        <v>1060</v>
      </c>
      <c r="AG247" s="56" t="s">
        <v>2196</v>
      </c>
      <c r="AH247" s="56"/>
      <c r="AI247" s="56"/>
      <c r="AJ247" s="56"/>
      <c r="AK247" s="56"/>
      <c r="AL247" s="56"/>
      <c r="AM247" s="56"/>
      <c r="AN247" s="56"/>
      <c r="AO247" s="56"/>
      <c r="AP247" s="56"/>
      <c r="AQ247" s="131"/>
      <c r="AR247" s="130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</row>
    <row r="248" spans="1:56" x14ac:dyDescent="0.2">
      <c r="A248" s="56">
        <v>14122617</v>
      </c>
      <c r="B248" s="56">
        <v>175347455</v>
      </c>
      <c r="C248" s="56" t="s">
        <v>2197</v>
      </c>
      <c r="D248" s="56" t="s">
        <v>1527</v>
      </c>
      <c r="E248" s="56" t="s">
        <v>1047</v>
      </c>
      <c r="F248" s="56">
        <v>25</v>
      </c>
      <c r="G248" s="56">
        <v>6655</v>
      </c>
      <c r="H248" s="56" t="s">
        <v>1048</v>
      </c>
      <c r="I248" s="56" t="s">
        <v>1090</v>
      </c>
      <c r="J248" s="129">
        <v>46233</v>
      </c>
      <c r="K248" s="130">
        <v>0.21875</v>
      </c>
      <c r="L248" s="130">
        <v>0.22361111111111112</v>
      </c>
      <c r="M248" s="56" t="s">
        <v>1050</v>
      </c>
      <c r="N248" s="129">
        <v>46233</v>
      </c>
      <c r="O248" s="130">
        <v>0.2673611111111111</v>
      </c>
      <c r="P248" s="130">
        <v>0.25479166666666669</v>
      </c>
      <c r="Q248" s="56" t="s">
        <v>1050</v>
      </c>
      <c r="R248" s="56" t="s">
        <v>429</v>
      </c>
      <c r="S248" s="56">
        <v>31</v>
      </c>
      <c r="T248" s="131">
        <v>4.8611111111111216E-3</v>
      </c>
      <c r="U248" s="130">
        <v>-1.2569444444444411E-2</v>
      </c>
      <c r="V248" s="56" t="s">
        <v>1051</v>
      </c>
      <c r="W248" s="56" t="s">
        <v>1052</v>
      </c>
      <c r="X248" s="56" t="s">
        <v>1053</v>
      </c>
      <c r="Y248" s="56">
        <v>31</v>
      </c>
      <c r="Z248" s="56" t="s">
        <v>1054</v>
      </c>
      <c r="AA248" s="56" t="s">
        <v>2198</v>
      </c>
      <c r="AB248" s="56" t="s">
        <v>1092</v>
      </c>
      <c r="AC248" s="56" t="s">
        <v>1078</v>
      </c>
      <c r="AD248" s="56" t="s">
        <v>2199</v>
      </c>
      <c r="AE248" s="56" t="s">
        <v>2200</v>
      </c>
      <c r="AF248" s="56" t="s">
        <v>1060</v>
      </c>
      <c r="AG248" s="56" t="s">
        <v>2201</v>
      </c>
      <c r="AH248" s="56"/>
      <c r="AI248" s="56"/>
      <c r="AJ248" s="56"/>
      <c r="AK248" s="56"/>
      <c r="AL248" s="56"/>
      <c r="AM248" s="56"/>
      <c r="AN248" s="56"/>
      <c r="AO248" s="56"/>
      <c r="AP248" s="56"/>
      <c r="AQ248" s="131"/>
      <c r="AR248" s="130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</row>
    <row r="249" spans="1:56" x14ac:dyDescent="0.2">
      <c r="A249" s="56">
        <v>14122709</v>
      </c>
      <c r="B249" s="56">
        <v>175325851</v>
      </c>
      <c r="C249" s="56" t="s">
        <v>2202</v>
      </c>
      <c r="D249" s="56" t="s">
        <v>1633</v>
      </c>
      <c r="E249" s="56" t="s">
        <v>1047</v>
      </c>
      <c r="F249" s="56">
        <v>71</v>
      </c>
      <c r="G249" s="56">
        <v>16003</v>
      </c>
      <c r="H249" s="56" t="s">
        <v>1048</v>
      </c>
      <c r="I249" s="56" t="s">
        <v>1075</v>
      </c>
      <c r="J249" s="129">
        <v>46233</v>
      </c>
      <c r="K249" s="130">
        <v>0.22222222222222221</v>
      </c>
      <c r="L249" s="130">
        <v>0.23125000000000001</v>
      </c>
      <c r="M249" s="56" t="s">
        <v>1050</v>
      </c>
      <c r="N249" s="129">
        <v>46233</v>
      </c>
      <c r="O249" s="130">
        <v>0.2673611111111111</v>
      </c>
      <c r="P249" s="130">
        <v>0.26883101851851854</v>
      </c>
      <c r="Q249" s="56" t="s">
        <v>1050</v>
      </c>
      <c r="R249" s="56" t="s">
        <v>441</v>
      </c>
      <c r="S249" s="56">
        <v>31</v>
      </c>
      <c r="T249" s="131">
        <v>9.0277777777778012E-3</v>
      </c>
      <c r="U249" s="130">
        <v>1.4699074074074336E-3</v>
      </c>
      <c r="V249" s="56" t="s">
        <v>1051</v>
      </c>
      <c r="W249" s="56" t="s">
        <v>1052</v>
      </c>
      <c r="X249" s="56" t="s">
        <v>1053</v>
      </c>
      <c r="Y249" s="56">
        <v>31</v>
      </c>
      <c r="Z249" s="56" t="s">
        <v>1054</v>
      </c>
      <c r="AA249" s="56" t="s">
        <v>1634</v>
      </c>
      <c r="AB249" s="56" t="s">
        <v>1077</v>
      </c>
      <c r="AC249" s="56" t="s">
        <v>1078</v>
      </c>
      <c r="AD249" s="56" t="s">
        <v>1635</v>
      </c>
      <c r="AE249" s="56" t="s">
        <v>1636</v>
      </c>
      <c r="AF249" s="56" t="s">
        <v>1060</v>
      </c>
      <c r="AG249" s="56" t="s">
        <v>2203</v>
      </c>
      <c r="AH249" s="56"/>
      <c r="AI249" s="56"/>
      <c r="AJ249" s="56"/>
      <c r="AK249" s="56"/>
      <c r="AL249" s="56"/>
      <c r="AM249" s="56"/>
      <c r="AN249" s="56"/>
      <c r="AO249" s="56"/>
      <c r="AP249" s="56"/>
      <c r="AQ249" s="131"/>
      <c r="AR249" s="130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</row>
    <row r="250" spans="1:56" x14ac:dyDescent="0.2">
      <c r="A250" s="56">
        <v>14122681</v>
      </c>
      <c r="B250" s="56">
        <v>175339604</v>
      </c>
      <c r="C250" s="56" t="s">
        <v>1576</v>
      </c>
      <c r="D250" s="56" t="s">
        <v>1577</v>
      </c>
      <c r="E250" s="56" t="s">
        <v>1047</v>
      </c>
      <c r="F250" s="56">
        <v>16</v>
      </c>
      <c r="G250" s="56">
        <v>16724</v>
      </c>
      <c r="H250" s="56" t="s">
        <v>1048</v>
      </c>
      <c r="I250" s="56" t="s">
        <v>1064</v>
      </c>
      <c r="J250" s="129">
        <v>46233</v>
      </c>
      <c r="K250" s="130">
        <v>0.22222222222222221</v>
      </c>
      <c r="L250" s="130">
        <v>0.22847222222222222</v>
      </c>
      <c r="M250" s="56" t="s">
        <v>1050</v>
      </c>
      <c r="N250" s="129">
        <v>46233</v>
      </c>
      <c r="O250" s="130">
        <v>0.25</v>
      </c>
      <c r="P250" s="130">
        <v>0.24656249999999999</v>
      </c>
      <c r="Q250" s="56" t="s">
        <v>1050</v>
      </c>
      <c r="R250" s="56" t="s">
        <v>433</v>
      </c>
      <c r="S250" s="56">
        <v>31</v>
      </c>
      <c r="T250" s="131">
        <v>6.2500000000000056E-3</v>
      </c>
      <c r="U250" s="130">
        <v>-3.43750000000001E-3</v>
      </c>
      <c r="V250" s="56" t="s">
        <v>1051</v>
      </c>
      <c r="W250" s="56" t="s">
        <v>1052</v>
      </c>
      <c r="X250" s="56" t="s">
        <v>1053</v>
      </c>
      <c r="Y250" s="56">
        <v>31</v>
      </c>
      <c r="Z250" s="56" t="s">
        <v>1054</v>
      </c>
      <c r="AA250" s="56" t="s">
        <v>1578</v>
      </c>
      <c r="AB250" s="56" t="s">
        <v>1068</v>
      </c>
      <c r="AC250" s="56" t="s">
        <v>1069</v>
      </c>
      <c r="AD250" s="56" t="s">
        <v>1579</v>
      </c>
      <c r="AE250" s="56" t="s">
        <v>1580</v>
      </c>
      <c r="AF250" s="56" t="s">
        <v>1060</v>
      </c>
      <c r="AG250" s="56" t="s">
        <v>2204</v>
      </c>
      <c r="AH250" s="56"/>
      <c r="AI250" s="56"/>
      <c r="AJ250" s="56"/>
      <c r="AK250" s="56"/>
      <c r="AL250" s="56"/>
      <c r="AM250" s="56"/>
      <c r="AN250" s="56"/>
      <c r="AO250" s="56"/>
      <c r="AP250" s="56"/>
      <c r="AQ250" s="131"/>
      <c r="AR250" s="130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</row>
    <row r="251" spans="1:56" x14ac:dyDescent="0.2">
      <c r="A251" s="56">
        <v>14123568</v>
      </c>
      <c r="B251" s="56">
        <v>175336103</v>
      </c>
      <c r="C251" s="56" t="s">
        <v>2205</v>
      </c>
      <c r="D251" s="56" t="s">
        <v>2206</v>
      </c>
      <c r="E251" s="56" t="s">
        <v>1047</v>
      </c>
      <c r="F251" s="56">
        <v>119</v>
      </c>
      <c r="G251" s="56">
        <v>5033</v>
      </c>
      <c r="H251" s="56" t="s">
        <v>1048</v>
      </c>
      <c r="I251" s="56" t="s">
        <v>1676</v>
      </c>
      <c r="J251" s="129">
        <v>46233</v>
      </c>
      <c r="K251" s="130">
        <v>0.22291666666666668</v>
      </c>
      <c r="L251" s="130">
        <v>0.22638888888888889</v>
      </c>
      <c r="M251" s="56" t="s">
        <v>1050</v>
      </c>
      <c r="N251" s="129">
        <v>46233</v>
      </c>
      <c r="O251" s="130">
        <v>0.2673611111111111</v>
      </c>
      <c r="P251" s="130">
        <v>0.25892361111111112</v>
      </c>
      <c r="Q251" s="56" t="s">
        <v>1050</v>
      </c>
      <c r="R251" s="56" t="s">
        <v>533</v>
      </c>
      <c r="S251" s="56">
        <v>31</v>
      </c>
      <c r="T251" s="131">
        <v>3.4722222222222099E-3</v>
      </c>
      <c r="U251" s="130">
        <v>-8.4374999999999867E-3</v>
      </c>
      <c r="V251" s="56" t="s">
        <v>1051</v>
      </c>
      <c r="W251" s="56" t="s">
        <v>1052</v>
      </c>
      <c r="X251" s="56" t="s">
        <v>1053</v>
      </c>
      <c r="Y251" s="56">
        <v>31</v>
      </c>
      <c r="Z251" s="56" t="s">
        <v>1054</v>
      </c>
      <c r="AA251" s="56" t="s">
        <v>2207</v>
      </c>
      <c r="AB251" s="56" t="s">
        <v>1678</v>
      </c>
      <c r="AC251" s="56" t="s">
        <v>1078</v>
      </c>
      <c r="AD251" s="56" t="s">
        <v>2208</v>
      </c>
      <c r="AE251" s="56" t="s">
        <v>2209</v>
      </c>
      <c r="AF251" s="56" t="s">
        <v>1060</v>
      </c>
      <c r="AG251" s="56" t="s">
        <v>2210</v>
      </c>
      <c r="AH251" s="56"/>
      <c r="AI251" s="56"/>
      <c r="AJ251" s="56"/>
      <c r="AK251" s="56"/>
      <c r="AL251" s="56"/>
      <c r="AM251" s="56"/>
      <c r="AN251" s="56"/>
      <c r="AO251" s="56"/>
      <c r="AP251" s="56"/>
      <c r="AQ251" s="131"/>
      <c r="AR251" s="130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</row>
    <row r="252" spans="1:56" x14ac:dyDescent="0.2">
      <c r="A252" s="56">
        <v>14119153</v>
      </c>
      <c r="B252" s="56">
        <v>175347471</v>
      </c>
      <c r="C252" s="56" t="s">
        <v>2211</v>
      </c>
      <c r="D252" s="56" t="s">
        <v>2212</v>
      </c>
      <c r="E252" s="56" t="s">
        <v>1047</v>
      </c>
      <c r="F252" s="56">
        <v>33</v>
      </c>
      <c r="G252" s="56">
        <v>4408</v>
      </c>
      <c r="H252" s="56" t="s">
        <v>1048</v>
      </c>
      <c r="I252" s="56" t="s">
        <v>1090</v>
      </c>
      <c r="J252" s="129">
        <v>46233</v>
      </c>
      <c r="K252" s="130">
        <v>0.22569444444444445</v>
      </c>
      <c r="L252" s="130">
        <v>0.22916666666666666</v>
      </c>
      <c r="M252" s="56" t="s">
        <v>1050</v>
      </c>
      <c r="N252" s="129">
        <v>46233</v>
      </c>
      <c r="O252" s="130">
        <v>0.2673611111111111</v>
      </c>
      <c r="P252" s="130">
        <v>0.25246527777777777</v>
      </c>
      <c r="Q252" s="56" t="s">
        <v>1050</v>
      </c>
      <c r="R252" s="56" t="s">
        <v>231</v>
      </c>
      <c r="S252" s="56">
        <v>31</v>
      </c>
      <c r="T252" s="131">
        <v>3.4722222222222099E-3</v>
      </c>
      <c r="U252" s="130">
        <v>-1.489583333333333E-2</v>
      </c>
      <c r="V252" s="56" t="s">
        <v>1051</v>
      </c>
      <c r="W252" s="56" t="s">
        <v>1052</v>
      </c>
      <c r="X252" s="56" t="s">
        <v>1053</v>
      </c>
      <c r="Y252" s="56">
        <v>31</v>
      </c>
      <c r="Z252" s="56" t="s">
        <v>1054</v>
      </c>
      <c r="AA252" s="56" t="s">
        <v>2213</v>
      </c>
      <c r="AB252" s="56" t="s">
        <v>1092</v>
      </c>
      <c r="AC252" s="56" t="s">
        <v>1078</v>
      </c>
      <c r="AD252" s="56" t="s">
        <v>2214</v>
      </c>
      <c r="AE252" s="56" t="s">
        <v>2215</v>
      </c>
      <c r="AF252" s="56" t="s">
        <v>1060</v>
      </c>
      <c r="AG252" s="56" t="s">
        <v>2216</v>
      </c>
      <c r="AH252" s="56"/>
      <c r="AI252" s="56"/>
      <c r="AJ252" s="56"/>
      <c r="AK252" s="56"/>
      <c r="AL252" s="56"/>
      <c r="AM252" s="56"/>
      <c r="AN252" s="56"/>
      <c r="AO252" s="56"/>
      <c r="AP252" s="56"/>
      <c r="AQ252" s="131"/>
      <c r="AR252" s="130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</row>
    <row r="253" spans="1:56" x14ac:dyDescent="0.2">
      <c r="A253" s="56">
        <v>14121158</v>
      </c>
      <c r="B253" s="56">
        <v>175348145</v>
      </c>
      <c r="C253" s="56" t="s">
        <v>1508</v>
      </c>
      <c r="D253" s="56" t="s">
        <v>1509</v>
      </c>
      <c r="E253" s="56" t="s">
        <v>1047</v>
      </c>
      <c r="F253" s="56">
        <v>91</v>
      </c>
      <c r="G253" s="56">
        <v>4532</v>
      </c>
      <c r="H253" s="56" t="s">
        <v>1048</v>
      </c>
      <c r="I253" s="56" t="s">
        <v>1090</v>
      </c>
      <c r="J253" s="129">
        <v>46233</v>
      </c>
      <c r="K253" s="130">
        <v>0.22569444444444445</v>
      </c>
      <c r="L253" s="130">
        <v>0.22916666666666666</v>
      </c>
      <c r="M253" s="56" t="s">
        <v>1050</v>
      </c>
      <c r="N253" s="129">
        <v>46233</v>
      </c>
      <c r="O253" s="130">
        <v>0.2673611111111111</v>
      </c>
      <c r="P253" s="130">
        <v>0.25</v>
      </c>
      <c r="Q253" s="56" t="s">
        <v>2217</v>
      </c>
      <c r="R253" s="56" t="s">
        <v>317</v>
      </c>
      <c r="S253" s="56">
        <v>31</v>
      </c>
      <c r="T253" s="131">
        <v>3.4722222222222099E-3</v>
      </c>
      <c r="U253" s="130">
        <v>-1.7361111111111105E-2</v>
      </c>
      <c r="V253" s="56" t="s">
        <v>1051</v>
      </c>
      <c r="W253" s="56" t="s">
        <v>1052</v>
      </c>
      <c r="X253" s="56" t="s">
        <v>1053</v>
      </c>
      <c r="Y253" s="56">
        <v>31</v>
      </c>
      <c r="Z253" s="56" t="s">
        <v>1054</v>
      </c>
      <c r="AA253" s="56" t="s">
        <v>1510</v>
      </c>
      <c r="AB253" s="56" t="s">
        <v>1092</v>
      </c>
      <c r="AC253" s="56" t="s">
        <v>1078</v>
      </c>
      <c r="AD253" s="56" t="s">
        <v>1511</v>
      </c>
      <c r="AE253" s="56" t="s">
        <v>1512</v>
      </c>
      <c r="AF253" s="56" t="s">
        <v>1060</v>
      </c>
      <c r="AG253" s="56" t="s">
        <v>1513</v>
      </c>
      <c r="AH253" s="56"/>
      <c r="AI253" s="56"/>
      <c r="AJ253" s="56"/>
      <c r="AK253" s="56"/>
      <c r="AL253" s="56"/>
      <c r="AM253" s="56"/>
      <c r="AN253" s="56"/>
      <c r="AO253" s="56"/>
      <c r="AP253" s="56"/>
      <c r="AQ253" s="131"/>
      <c r="AR253" s="130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</row>
    <row r="254" spans="1:56" x14ac:dyDescent="0.2">
      <c r="A254" s="56">
        <v>14123725</v>
      </c>
      <c r="B254" s="56">
        <v>175346744</v>
      </c>
      <c r="C254" s="56" t="s">
        <v>1170</v>
      </c>
      <c r="D254" s="56" t="s">
        <v>1171</v>
      </c>
      <c r="E254" s="56" t="s">
        <v>1047</v>
      </c>
      <c r="F254" s="56">
        <v>98</v>
      </c>
      <c r="G254" s="56">
        <v>13371</v>
      </c>
      <c r="H254" s="56" t="s">
        <v>1048</v>
      </c>
      <c r="I254" s="56" t="s">
        <v>1172</v>
      </c>
      <c r="J254" s="129">
        <v>46233</v>
      </c>
      <c r="K254" s="130">
        <v>0.22916666666666666</v>
      </c>
      <c r="L254" s="130">
        <v>0.23541666666666666</v>
      </c>
      <c r="M254" s="56" t="s">
        <v>1050</v>
      </c>
      <c r="N254" s="129">
        <v>46233</v>
      </c>
      <c r="O254" s="130">
        <v>0.28125</v>
      </c>
      <c r="P254" s="130">
        <v>0.26673611111111112</v>
      </c>
      <c r="Q254" s="56" t="s">
        <v>1050</v>
      </c>
      <c r="R254" s="56" t="s">
        <v>956</v>
      </c>
      <c r="S254" s="56">
        <v>31</v>
      </c>
      <c r="T254" s="131">
        <v>6.2500000000000056E-3</v>
      </c>
      <c r="U254" s="130">
        <v>-1.4513888888888882E-2</v>
      </c>
      <c r="V254" s="56" t="s">
        <v>1051</v>
      </c>
      <c r="W254" s="56" t="s">
        <v>1052</v>
      </c>
      <c r="X254" s="56" t="s">
        <v>1053</v>
      </c>
      <c r="Y254" s="56">
        <v>31</v>
      </c>
      <c r="Z254" s="56" t="s">
        <v>1054</v>
      </c>
      <c r="AA254" s="56" t="s">
        <v>1173</v>
      </c>
      <c r="AB254" s="56" t="s">
        <v>1174</v>
      </c>
      <c r="AC254" s="56" t="s">
        <v>1057</v>
      </c>
      <c r="AD254" s="56" t="s">
        <v>1175</v>
      </c>
      <c r="AE254" s="56" t="s">
        <v>1176</v>
      </c>
      <c r="AF254" s="56" t="s">
        <v>1060</v>
      </c>
      <c r="AG254" s="56" t="s">
        <v>1177</v>
      </c>
      <c r="AH254" s="56"/>
      <c r="AI254" s="56"/>
      <c r="AJ254" s="56"/>
      <c r="AK254" s="56"/>
      <c r="AL254" s="56"/>
      <c r="AM254" s="56"/>
      <c r="AN254" s="56"/>
      <c r="AO254" s="56"/>
      <c r="AP254" s="56"/>
      <c r="AQ254" s="131"/>
      <c r="AR254" s="130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</row>
    <row r="255" spans="1:56" x14ac:dyDescent="0.2">
      <c r="A255" s="56">
        <v>14107206</v>
      </c>
      <c r="B255" s="56">
        <v>175348280</v>
      </c>
      <c r="C255" s="56" t="s">
        <v>2218</v>
      </c>
      <c r="D255" s="56" t="s">
        <v>2219</v>
      </c>
      <c r="E255" s="56" t="s">
        <v>1047</v>
      </c>
      <c r="F255" s="56">
        <v>151</v>
      </c>
      <c r="G255" s="56">
        <v>17183</v>
      </c>
      <c r="H255" s="56" t="s">
        <v>1048</v>
      </c>
      <c r="I255" s="56" t="s">
        <v>1172</v>
      </c>
      <c r="J255" s="129">
        <v>46233</v>
      </c>
      <c r="K255" s="130">
        <v>0.23055555555555557</v>
      </c>
      <c r="L255" s="130">
        <v>0.24097222222222223</v>
      </c>
      <c r="M255" s="56" t="s">
        <v>1050</v>
      </c>
      <c r="N255" s="129">
        <v>46233</v>
      </c>
      <c r="O255" s="130">
        <v>0.28125</v>
      </c>
      <c r="P255" s="130">
        <v>0.26894675925925926</v>
      </c>
      <c r="Q255" s="56" t="s">
        <v>1050</v>
      </c>
      <c r="R255" s="56" t="s">
        <v>58</v>
      </c>
      <c r="S255" s="56">
        <v>31</v>
      </c>
      <c r="T255" s="131">
        <v>1.0416666666666657E-2</v>
      </c>
      <c r="U255" s="130">
        <v>-1.230324074074074E-2</v>
      </c>
      <c r="V255" s="56" t="s">
        <v>1051</v>
      </c>
      <c r="W255" s="56" t="s">
        <v>1052</v>
      </c>
      <c r="X255" s="56" t="s">
        <v>1053</v>
      </c>
      <c r="Y255" s="56">
        <v>31</v>
      </c>
      <c r="Z255" s="56" t="s">
        <v>1054</v>
      </c>
      <c r="AA255" s="56" t="s">
        <v>2220</v>
      </c>
      <c r="AB255" s="56" t="s">
        <v>1210</v>
      </c>
      <c r="AC255" s="56" t="s">
        <v>1057</v>
      </c>
      <c r="AD255" s="56" t="s">
        <v>2221</v>
      </c>
      <c r="AE255" s="56" t="s">
        <v>2222</v>
      </c>
      <c r="AF255" s="56" t="s">
        <v>1060</v>
      </c>
      <c r="AG255" s="56" t="s">
        <v>2223</v>
      </c>
      <c r="AH255" s="56"/>
      <c r="AI255" s="56"/>
      <c r="AJ255" s="56"/>
      <c r="AK255" s="56"/>
      <c r="AL255" s="56"/>
      <c r="AM255" s="56"/>
      <c r="AN255" s="56"/>
      <c r="AO255" s="56"/>
      <c r="AP255" s="56"/>
      <c r="AQ255" s="131"/>
      <c r="AR255" s="130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</row>
    <row r="256" spans="1:56" x14ac:dyDescent="0.2">
      <c r="A256" s="56">
        <v>14123459</v>
      </c>
      <c r="B256" s="56">
        <v>175341202</v>
      </c>
      <c r="C256" s="56" t="s">
        <v>1552</v>
      </c>
      <c r="D256" s="56" t="s">
        <v>1553</v>
      </c>
      <c r="E256" s="56" t="s">
        <v>1047</v>
      </c>
      <c r="F256" s="56">
        <v>34</v>
      </c>
      <c r="G256" s="56">
        <v>13502</v>
      </c>
      <c r="H256" s="56" t="s">
        <v>1048</v>
      </c>
      <c r="I256" s="56" t="s">
        <v>1172</v>
      </c>
      <c r="J256" s="129">
        <v>46233</v>
      </c>
      <c r="K256" s="130">
        <v>0.24583333333333332</v>
      </c>
      <c r="L256" s="130">
        <v>0.25347222222222221</v>
      </c>
      <c r="M256" s="56" t="s">
        <v>1050</v>
      </c>
      <c r="N256" s="129">
        <v>46233</v>
      </c>
      <c r="O256" s="130">
        <v>0.28125</v>
      </c>
      <c r="P256" s="130">
        <v>0.28087962962962965</v>
      </c>
      <c r="Q256" s="56" t="s">
        <v>1050</v>
      </c>
      <c r="R256" s="56" t="s">
        <v>509</v>
      </c>
      <c r="S256" s="56">
        <v>31</v>
      </c>
      <c r="T256" s="131">
        <v>7.6388888888888895E-3</v>
      </c>
      <c r="U256" s="130">
        <v>-3.7037037037035425E-4</v>
      </c>
      <c r="V256" s="56" t="s">
        <v>1051</v>
      </c>
      <c r="W256" s="56" t="s">
        <v>1052</v>
      </c>
      <c r="X256" s="56" t="s">
        <v>1053</v>
      </c>
      <c r="Y256" s="56">
        <v>31</v>
      </c>
      <c r="Z256" s="56" t="s">
        <v>1054</v>
      </c>
      <c r="AA256" s="56" t="s">
        <v>1554</v>
      </c>
      <c r="AB256" s="56" t="s">
        <v>1174</v>
      </c>
      <c r="AC256" s="56" t="s">
        <v>1057</v>
      </c>
      <c r="AD256" s="56" t="s">
        <v>1555</v>
      </c>
      <c r="AE256" s="56" t="s">
        <v>1556</v>
      </c>
      <c r="AF256" s="56" t="s">
        <v>1060</v>
      </c>
      <c r="AG256" s="56" t="s">
        <v>1557</v>
      </c>
      <c r="AH256" s="56"/>
      <c r="AI256" s="56"/>
      <c r="AJ256" s="56"/>
      <c r="AK256" s="56"/>
      <c r="AL256" s="56"/>
      <c r="AM256" s="56"/>
      <c r="AN256" s="56"/>
      <c r="AO256" s="56"/>
      <c r="AP256" s="56"/>
      <c r="AQ256" s="131"/>
      <c r="AR256" s="130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</row>
    <row r="257" spans="1:56" x14ac:dyDescent="0.2">
      <c r="A257" s="56">
        <v>14122136</v>
      </c>
      <c r="B257" s="56">
        <v>175350834</v>
      </c>
      <c r="C257" s="56" t="s">
        <v>2224</v>
      </c>
      <c r="D257" s="56" t="s">
        <v>2113</v>
      </c>
      <c r="E257" s="56" t="s">
        <v>1047</v>
      </c>
      <c r="F257" s="56">
        <v>258</v>
      </c>
      <c r="G257" s="56">
        <v>16740</v>
      </c>
      <c r="H257" s="56" t="s">
        <v>1048</v>
      </c>
      <c r="I257" s="56" t="s">
        <v>1172</v>
      </c>
      <c r="J257" s="129">
        <v>46233</v>
      </c>
      <c r="K257" s="130">
        <v>0.25138888888888888</v>
      </c>
      <c r="L257" s="130">
        <v>0.25555555555555554</v>
      </c>
      <c r="M257" s="56" t="s">
        <v>1050</v>
      </c>
      <c r="N257" s="129">
        <v>46233</v>
      </c>
      <c r="O257" s="130">
        <v>0.28125</v>
      </c>
      <c r="P257" s="130">
        <v>0.27539351851851851</v>
      </c>
      <c r="Q257" s="56" t="s">
        <v>1050</v>
      </c>
      <c r="R257" s="56" t="s">
        <v>386</v>
      </c>
      <c r="S257" s="56">
        <v>31</v>
      </c>
      <c r="T257" s="131">
        <v>4.1666666666666519E-3</v>
      </c>
      <c r="U257" s="130">
        <v>-5.8564814814814903E-3</v>
      </c>
      <c r="V257" s="56" t="s">
        <v>1051</v>
      </c>
      <c r="W257" s="56" t="s">
        <v>1052</v>
      </c>
      <c r="X257" s="56" t="s">
        <v>1053</v>
      </c>
      <c r="Y257" s="56">
        <v>31</v>
      </c>
      <c r="Z257" s="56" t="s">
        <v>1054</v>
      </c>
      <c r="AA257" s="56" t="s">
        <v>2114</v>
      </c>
      <c r="AB257" s="56" t="s">
        <v>1210</v>
      </c>
      <c r="AC257" s="56" t="s">
        <v>1057</v>
      </c>
      <c r="AD257" s="56" t="s">
        <v>2115</v>
      </c>
      <c r="AE257" s="56" t="s">
        <v>2116</v>
      </c>
      <c r="AF257" s="56" t="s">
        <v>1060</v>
      </c>
      <c r="AG257" s="56" t="s">
        <v>2225</v>
      </c>
      <c r="AH257" s="56"/>
      <c r="AI257" s="56"/>
      <c r="AJ257" s="56"/>
      <c r="AK257" s="56"/>
      <c r="AL257" s="56"/>
      <c r="AM257" s="56"/>
      <c r="AN257" s="56"/>
      <c r="AO257" s="56"/>
      <c r="AP257" s="56"/>
      <c r="AQ257" s="131"/>
      <c r="AR257" s="130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</row>
    <row r="258" spans="1:56" x14ac:dyDescent="0.2">
      <c r="A258" s="56">
        <v>14110604</v>
      </c>
      <c r="B258" s="56">
        <v>175341734</v>
      </c>
      <c r="C258" s="56" t="s">
        <v>1932</v>
      </c>
      <c r="D258" s="56" t="s">
        <v>1933</v>
      </c>
      <c r="E258" s="56" t="s">
        <v>1047</v>
      </c>
      <c r="F258" s="56">
        <v>28</v>
      </c>
      <c r="G258" s="56">
        <v>15485</v>
      </c>
      <c r="H258" s="56" t="s">
        <v>1048</v>
      </c>
      <c r="I258" s="56" t="s">
        <v>1049</v>
      </c>
      <c r="J258" s="129">
        <v>46233</v>
      </c>
      <c r="K258" s="130">
        <v>0.26041666666666669</v>
      </c>
      <c r="L258" s="130">
        <v>0.26597222222222222</v>
      </c>
      <c r="M258" s="56" t="s">
        <v>1050</v>
      </c>
      <c r="N258" s="129">
        <v>46233</v>
      </c>
      <c r="O258" s="130">
        <v>0.3125</v>
      </c>
      <c r="P258" s="130">
        <v>0.29824074074074075</v>
      </c>
      <c r="Q258" s="56" t="s">
        <v>1050</v>
      </c>
      <c r="R258" s="56" t="s">
        <v>330</v>
      </c>
      <c r="S258" s="56">
        <v>31</v>
      </c>
      <c r="T258" s="131">
        <v>5.5555555555555358E-3</v>
      </c>
      <c r="U258" s="130">
        <v>-1.4259259259259249E-2</v>
      </c>
      <c r="V258" s="56" t="s">
        <v>1051</v>
      </c>
      <c r="W258" s="56" t="s">
        <v>1052</v>
      </c>
      <c r="X258" s="56" t="s">
        <v>1053</v>
      </c>
      <c r="Y258" s="56">
        <v>31</v>
      </c>
      <c r="Z258" s="56" t="s">
        <v>1054</v>
      </c>
      <c r="AA258" s="56" t="s">
        <v>1934</v>
      </c>
      <c r="AB258" s="56" t="s">
        <v>1056</v>
      </c>
      <c r="AC258" s="56" t="s">
        <v>1057</v>
      </c>
      <c r="AD258" s="56" t="s">
        <v>1935</v>
      </c>
      <c r="AE258" s="56" t="s">
        <v>1936</v>
      </c>
      <c r="AF258" s="56" t="s">
        <v>1060</v>
      </c>
      <c r="AG258" s="56" t="s">
        <v>1937</v>
      </c>
      <c r="AH258" s="56"/>
      <c r="AI258" s="56"/>
      <c r="AJ258" s="56"/>
      <c r="AK258" s="56"/>
      <c r="AL258" s="56"/>
      <c r="AM258" s="56"/>
      <c r="AN258" s="56"/>
      <c r="AO258" s="56"/>
      <c r="AP258" s="56"/>
      <c r="AQ258" s="131"/>
      <c r="AR258" s="130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</row>
    <row r="259" spans="1:56" x14ac:dyDescent="0.2">
      <c r="A259" s="56">
        <v>14119271</v>
      </c>
      <c r="B259" s="56">
        <v>175335666</v>
      </c>
      <c r="C259" s="56" t="s">
        <v>1938</v>
      </c>
      <c r="D259" s="56" t="s">
        <v>1939</v>
      </c>
      <c r="E259" s="56" t="s">
        <v>1047</v>
      </c>
      <c r="F259" s="56">
        <v>1</v>
      </c>
      <c r="G259" s="56">
        <v>15991</v>
      </c>
      <c r="H259" s="56" t="s">
        <v>1048</v>
      </c>
      <c r="I259" s="56" t="s">
        <v>1118</v>
      </c>
      <c r="J259" s="129">
        <v>46233</v>
      </c>
      <c r="K259" s="130">
        <v>0.27430555555555558</v>
      </c>
      <c r="L259" s="130">
        <v>0.27986111111111112</v>
      </c>
      <c r="M259" s="56" t="s">
        <v>1050</v>
      </c>
      <c r="N259" s="129">
        <v>46233</v>
      </c>
      <c r="O259" s="130">
        <v>0.33333333333333331</v>
      </c>
      <c r="P259" s="130">
        <v>0.31928240740740743</v>
      </c>
      <c r="Q259" s="56" t="s">
        <v>1050</v>
      </c>
      <c r="R259" s="56" t="s">
        <v>1940</v>
      </c>
      <c r="S259" s="56">
        <v>31</v>
      </c>
      <c r="T259" s="131">
        <v>5.5555555555555358E-3</v>
      </c>
      <c r="U259" s="130">
        <v>-1.4050925925925883E-2</v>
      </c>
      <c r="V259" s="56" t="s">
        <v>1051</v>
      </c>
      <c r="W259" s="56" t="s">
        <v>1052</v>
      </c>
      <c r="X259" s="56" t="s">
        <v>1053</v>
      </c>
      <c r="Y259" s="56">
        <v>31</v>
      </c>
      <c r="Z259" s="56" t="s">
        <v>1054</v>
      </c>
      <c r="AA259" s="56" t="s">
        <v>1941</v>
      </c>
      <c r="AB259" s="56" t="s">
        <v>1120</v>
      </c>
      <c r="AC259" s="56" t="s">
        <v>1078</v>
      </c>
      <c r="AD259" s="56" t="s">
        <v>1942</v>
      </c>
      <c r="AE259" s="56" t="s">
        <v>1943</v>
      </c>
      <c r="AF259" s="56" t="s">
        <v>1060</v>
      </c>
      <c r="AG259" s="56" t="s">
        <v>1944</v>
      </c>
      <c r="AH259" s="56"/>
      <c r="AI259" s="56"/>
      <c r="AJ259" s="56"/>
      <c r="AK259" s="56"/>
      <c r="AL259" s="56"/>
      <c r="AM259" s="56"/>
      <c r="AN259" s="56"/>
      <c r="AO259" s="56"/>
      <c r="AP259" s="56"/>
      <c r="AQ259" s="131"/>
      <c r="AR259" s="130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</row>
    <row r="260" spans="1:56" x14ac:dyDescent="0.2">
      <c r="A260" s="56">
        <v>14108111</v>
      </c>
      <c r="B260" s="56">
        <v>175343420</v>
      </c>
      <c r="C260" s="56" t="s">
        <v>1945</v>
      </c>
      <c r="D260" s="56" t="s">
        <v>1946</v>
      </c>
      <c r="E260" s="56" t="s">
        <v>1047</v>
      </c>
      <c r="F260" s="56">
        <v>105</v>
      </c>
      <c r="G260" s="56">
        <v>17340</v>
      </c>
      <c r="H260" s="56" t="s">
        <v>1048</v>
      </c>
      <c r="I260" s="56" t="s">
        <v>1947</v>
      </c>
      <c r="J260" s="129">
        <v>46233</v>
      </c>
      <c r="K260" s="130">
        <v>0.27777777777777779</v>
      </c>
      <c r="L260" s="130">
        <v>0.28402777777777777</v>
      </c>
      <c r="M260" s="56" t="s">
        <v>1050</v>
      </c>
      <c r="N260" s="129">
        <v>46233</v>
      </c>
      <c r="O260" s="130">
        <v>0.34722222222222221</v>
      </c>
      <c r="P260" s="130">
        <v>0.31973379629629628</v>
      </c>
      <c r="Q260" s="56" t="s">
        <v>1050</v>
      </c>
      <c r="R260" s="56" t="s">
        <v>69</v>
      </c>
      <c r="S260" s="56">
        <v>31</v>
      </c>
      <c r="T260" s="131">
        <v>6.2499999999999778E-3</v>
      </c>
      <c r="U260" s="130">
        <v>-2.748842592592593E-2</v>
      </c>
      <c r="V260" s="56" t="s">
        <v>1051</v>
      </c>
      <c r="W260" s="56" t="s">
        <v>1052</v>
      </c>
      <c r="X260" s="56" t="s">
        <v>1053</v>
      </c>
      <c r="Y260" s="56">
        <v>31</v>
      </c>
      <c r="Z260" s="56" t="s">
        <v>1054</v>
      </c>
      <c r="AA260" s="56" t="s">
        <v>1948</v>
      </c>
      <c r="AB260" s="56" t="s">
        <v>1949</v>
      </c>
      <c r="AC260" s="56" t="s">
        <v>1078</v>
      </c>
      <c r="AD260" s="56" t="s">
        <v>1950</v>
      </c>
      <c r="AE260" s="56" t="s">
        <v>1951</v>
      </c>
      <c r="AF260" s="56" t="s">
        <v>1060</v>
      </c>
      <c r="AG260" s="56" t="s">
        <v>1952</v>
      </c>
      <c r="AH260" s="56"/>
      <c r="AI260" s="56"/>
      <c r="AJ260" s="56"/>
      <c r="AK260" s="56"/>
      <c r="AL260" s="56"/>
      <c r="AM260" s="56"/>
      <c r="AN260" s="56"/>
      <c r="AO260" s="56"/>
      <c r="AP260" s="56"/>
      <c r="AQ260" s="131"/>
      <c r="AR260" s="130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</row>
    <row r="261" spans="1:56" x14ac:dyDescent="0.2">
      <c r="A261" s="56">
        <v>14100740</v>
      </c>
      <c r="B261" s="56">
        <v>175343428</v>
      </c>
      <c r="C261" s="56" t="s">
        <v>1964</v>
      </c>
      <c r="D261" s="56" t="s">
        <v>1965</v>
      </c>
      <c r="E261" s="56" t="s">
        <v>1047</v>
      </c>
      <c r="F261" s="56">
        <v>113</v>
      </c>
      <c r="G261" s="56">
        <v>16736</v>
      </c>
      <c r="H261" s="56" t="s">
        <v>1048</v>
      </c>
      <c r="I261" s="56" t="s">
        <v>1947</v>
      </c>
      <c r="J261" s="129">
        <v>46233</v>
      </c>
      <c r="K261" s="130">
        <v>0.28333333333333333</v>
      </c>
      <c r="L261" s="130">
        <v>0.28680555555555554</v>
      </c>
      <c r="M261" s="56" t="s">
        <v>1050</v>
      </c>
      <c r="N261" s="129">
        <v>46233</v>
      </c>
      <c r="O261" s="130">
        <v>0.34722222222222221</v>
      </c>
      <c r="P261" s="130">
        <v>0.3175115740740741</v>
      </c>
      <c r="Q261" s="56" t="s">
        <v>1050</v>
      </c>
      <c r="R261" s="56" t="s">
        <v>18</v>
      </c>
      <c r="S261" s="56">
        <v>31</v>
      </c>
      <c r="T261" s="131">
        <v>3.4722222222222099E-3</v>
      </c>
      <c r="U261" s="130">
        <v>-2.9710648148148111E-2</v>
      </c>
      <c r="V261" s="56" t="s">
        <v>1051</v>
      </c>
      <c r="W261" s="56" t="s">
        <v>1052</v>
      </c>
      <c r="X261" s="56" t="s">
        <v>1053</v>
      </c>
      <c r="Y261" s="56">
        <v>31</v>
      </c>
      <c r="Z261" s="56" t="s">
        <v>1054</v>
      </c>
      <c r="AA261" s="56" t="s">
        <v>1966</v>
      </c>
      <c r="AB261" s="56" t="s">
        <v>1949</v>
      </c>
      <c r="AC261" s="56" t="s">
        <v>1078</v>
      </c>
      <c r="AD261" s="56" t="s">
        <v>1967</v>
      </c>
      <c r="AE261" s="56" t="s">
        <v>1968</v>
      </c>
      <c r="AF261" s="56" t="s">
        <v>1060</v>
      </c>
      <c r="AG261" s="56" t="s">
        <v>1969</v>
      </c>
      <c r="AH261" s="56"/>
      <c r="AI261" s="56"/>
      <c r="AJ261" s="56"/>
      <c r="AK261" s="56"/>
      <c r="AL261" s="56"/>
      <c r="AM261" s="56"/>
      <c r="AN261" s="56"/>
      <c r="AO261" s="56"/>
      <c r="AP261" s="56"/>
      <c r="AQ261" s="131"/>
      <c r="AR261" s="130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</row>
    <row r="262" spans="1:56" x14ac:dyDescent="0.2">
      <c r="A262" s="56">
        <v>14123559</v>
      </c>
      <c r="B262" s="56">
        <v>175343391</v>
      </c>
      <c r="C262" s="56" t="s">
        <v>1970</v>
      </c>
      <c r="D262" s="56" t="s">
        <v>1971</v>
      </c>
      <c r="E262" s="56" t="s">
        <v>1047</v>
      </c>
      <c r="F262" s="56">
        <v>76</v>
      </c>
      <c r="G262" s="56">
        <v>13408</v>
      </c>
      <c r="H262" s="56" t="s">
        <v>1048</v>
      </c>
      <c r="I262" s="56" t="s">
        <v>1947</v>
      </c>
      <c r="J262" s="129">
        <v>46233</v>
      </c>
      <c r="K262" s="130">
        <v>0.28472222222222221</v>
      </c>
      <c r="L262" s="130">
        <v>0.29166666666666669</v>
      </c>
      <c r="M262" s="56" t="s">
        <v>1050</v>
      </c>
      <c r="N262" s="129">
        <v>46233</v>
      </c>
      <c r="O262" s="130">
        <v>0.34722222222222221</v>
      </c>
      <c r="P262" s="130">
        <v>0.32855324074074072</v>
      </c>
      <c r="Q262" s="56" t="s">
        <v>1050</v>
      </c>
      <c r="R262" s="56" t="s">
        <v>531</v>
      </c>
      <c r="S262" s="56">
        <v>31</v>
      </c>
      <c r="T262" s="131">
        <v>6.9444444444444753E-3</v>
      </c>
      <c r="U262" s="130">
        <v>-1.8668981481481495E-2</v>
      </c>
      <c r="V262" s="56" t="s">
        <v>1051</v>
      </c>
      <c r="W262" s="56" t="s">
        <v>1052</v>
      </c>
      <c r="X262" s="56" t="s">
        <v>1053</v>
      </c>
      <c r="Y262" s="56">
        <v>31</v>
      </c>
      <c r="Z262" s="56" t="s">
        <v>1054</v>
      </c>
      <c r="AA262" s="56" t="s">
        <v>1972</v>
      </c>
      <c r="AB262" s="56" t="s">
        <v>1949</v>
      </c>
      <c r="AC262" s="56" t="s">
        <v>1078</v>
      </c>
      <c r="AD262" s="56" t="s">
        <v>1973</v>
      </c>
      <c r="AE262" s="56" t="s">
        <v>1974</v>
      </c>
      <c r="AF262" s="56" t="s">
        <v>1060</v>
      </c>
      <c r="AG262" s="56" t="s">
        <v>1975</v>
      </c>
      <c r="AH262" s="56"/>
      <c r="AI262" s="56"/>
      <c r="AJ262" s="56"/>
      <c r="AK262" s="56"/>
      <c r="AL262" s="56"/>
      <c r="AM262" s="56"/>
      <c r="AN262" s="56"/>
      <c r="AO262" s="56"/>
      <c r="AP262" s="56"/>
      <c r="AQ262" s="131"/>
      <c r="AR262" s="130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</row>
    <row r="263" spans="1:56" x14ac:dyDescent="0.2">
      <c r="A263" s="56"/>
      <c r="B263" s="56">
        <v>175341972</v>
      </c>
      <c r="C263" s="56" t="s">
        <v>2226</v>
      </c>
      <c r="D263" s="56" t="s">
        <v>2227</v>
      </c>
      <c r="E263" s="56" t="s">
        <v>1047</v>
      </c>
      <c r="F263" s="56">
        <v>54</v>
      </c>
      <c r="G263" s="56">
        <v>15337</v>
      </c>
      <c r="H263" s="56" t="s">
        <v>1048</v>
      </c>
      <c r="I263" s="56" t="s">
        <v>1172</v>
      </c>
      <c r="J263" s="129">
        <v>46233</v>
      </c>
      <c r="K263" s="130">
        <v>0.29166666666666669</v>
      </c>
      <c r="L263" s="130">
        <v>0.2986111111111111</v>
      </c>
      <c r="M263" s="56" t="s">
        <v>1050</v>
      </c>
      <c r="N263" s="129">
        <v>46233</v>
      </c>
      <c r="O263" s="130">
        <v>0.34722222222222221</v>
      </c>
      <c r="P263" s="130">
        <v>0.33591435185185187</v>
      </c>
      <c r="Q263" s="56" t="s">
        <v>1050</v>
      </c>
      <c r="R263" s="56" t="s">
        <v>1414</v>
      </c>
      <c r="S263" s="56">
        <v>31</v>
      </c>
      <c r="T263" s="131">
        <v>6.9444444444444198E-3</v>
      </c>
      <c r="U263" s="130">
        <v>-1.1307870370370343E-2</v>
      </c>
      <c r="V263" s="56" t="s">
        <v>1051</v>
      </c>
      <c r="W263" s="56" t="s">
        <v>1052</v>
      </c>
      <c r="X263" s="56" t="s">
        <v>1053</v>
      </c>
      <c r="Y263" s="56">
        <v>31</v>
      </c>
      <c r="Z263" s="56" t="s">
        <v>1054</v>
      </c>
      <c r="AA263" s="56" t="s">
        <v>2228</v>
      </c>
      <c r="AB263" s="56" t="s">
        <v>1174</v>
      </c>
      <c r="AC263" s="56" t="s">
        <v>1057</v>
      </c>
      <c r="AD263" s="56" t="s">
        <v>2229</v>
      </c>
      <c r="AE263" s="56" t="s">
        <v>2230</v>
      </c>
      <c r="AF263" s="56" t="s">
        <v>1060</v>
      </c>
      <c r="AG263" s="56" t="s">
        <v>2231</v>
      </c>
      <c r="AH263" s="56"/>
      <c r="AI263" s="56"/>
      <c r="AJ263" s="56"/>
      <c r="AK263" s="56"/>
      <c r="AL263" s="56"/>
      <c r="AM263" s="56"/>
      <c r="AN263" s="56"/>
      <c r="AO263" s="56"/>
      <c r="AP263" s="56"/>
      <c r="AQ263" s="131"/>
      <c r="AR263" s="130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</row>
    <row r="264" spans="1:56" x14ac:dyDescent="0.2">
      <c r="A264" s="56">
        <v>14120091</v>
      </c>
      <c r="B264" s="56">
        <v>175342789</v>
      </c>
      <c r="C264" s="56" t="s">
        <v>2232</v>
      </c>
      <c r="D264" s="56" t="s">
        <v>2233</v>
      </c>
      <c r="E264" s="56" t="s">
        <v>1047</v>
      </c>
      <c r="F264" s="56">
        <v>22</v>
      </c>
      <c r="G264" s="56">
        <v>13447</v>
      </c>
      <c r="H264" s="56" t="s">
        <v>1048</v>
      </c>
      <c r="I264" s="56" t="s">
        <v>2234</v>
      </c>
      <c r="J264" s="129">
        <v>46233</v>
      </c>
      <c r="K264" s="130">
        <v>0.29166666666666669</v>
      </c>
      <c r="L264" s="130">
        <v>0.29652777777777778</v>
      </c>
      <c r="M264" s="56" t="s">
        <v>1050</v>
      </c>
      <c r="N264" s="129">
        <v>46233</v>
      </c>
      <c r="O264" s="130">
        <v>0.32291666666666669</v>
      </c>
      <c r="P264" s="130">
        <v>0.31723379629629628</v>
      </c>
      <c r="Q264" s="56" t="s">
        <v>1050</v>
      </c>
      <c r="R264" s="56" t="s">
        <v>275</v>
      </c>
      <c r="S264" s="56">
        <v>31</v>
      </c>
      <c r="T264" s="131">
        <v>4.8611111111110938E-3</v>
      </c>
      <c r="U264" s="130">
        <v>-5.6828703703704075E-3</v>
      </c>
      <c r="V264" s="56" t="s">
        <v>1051</v>
      </c>
      <c r="W264" s="56" t="s">
        <v>1052</v>
      </c>
      <c r="X264" s="56" t="s">
        <v>1053</v>
      </c>
      <c r="Y264" s="56">
        <v>31</v>
      </c>
      <c r="Z264" s="56" t="s">
        <v>1054</v>
      </c>
      <c r="AA264" s="56" t="s">
        <v>2235</v>
      </c>
      <c r="AB264" s="56" t="s">
        <v>1605</v>
      </c>
      <c r="AC264" s="56" t="s">
        <v>1069</v>
      </c>
      <c r="AD264" s="56" t="s">
        <v>2236</v>
      </c>
      <c r="AE264" s="56" t="s">
        <v>2237</v>
      </c>
      <c r="AF264" s="56" t="s">
        <v>1060</v>
      </c>
      <c r="AG264" s="56" t="s">
        <v>2238</v>
      </c>
      <c r="AH264" s="56"/>
      <c r="AI264" s="56"/>
      <c r="AJ264" s="56"/>
      <c r="AK264" s="56"/>
      <c r="AL264" s="56"/>
      <c r="AM264" s="56"/>
      <c r="AN264" s="56"/>
      <c r="AO264" s="56"/>
      <c r="AP264" s="56"/>
      <c r="AQ264" s="131"/>
      <c r="AR264" s="130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</row>
    <row r="265" spans="1:56" x14ac:dyDescent="0.2">
      <c r="A265" s="56">
        <v>14122293</v>
      </c>
      <c r="B265" s="56">
        <v>175337773</v>
      </c>
      <c r="C265" s="56" t="s">
        <v>2009</v>
      </c>
      <c r="D265" s="56" t="s">
        <v>2010</v>
      </c>
      <c r="E265" s="56" t="s">
        <v>1047</v>
      </c>
      <c r="F265" s="56">
        <v>33</v>
      </c>
      <c r="G265" s="56">
        <v>11387</v>
      </c>
      <c r="H265" s="56" t="s">
        <v>1048</v>
      </c>
      <c r="I265" s="56" t="s">
        <v>2011</v>
      </c>
      <c r="J265" s="129">
        <v>46233</v>
      </c>
      <c r="K265" s="130">
        <v>0.52083333333333337</v>
      </c>
      <c r="L265" s="130">
        <v>0.52569444444444446</v>
      </c>
      <c r="M265" s="56" t="s">
        <v>1050</v>
      </c>
      <c r="N265" s="129">
        <v>46233</v>
      </c>
      <c r="O265" s="130">
        <v>0.57291666666666663</v>
      </c>
      <c r="P265" s="130">
        <v>0.57936342592592593</v>
      </c>
      <c r="Q265" s="56" t="s">
        <v>1050</v>
      </c>
      <c r="R265" s="56" t="s">
        <v>403</v>
      </c>
      <c r="S265" s="56">
        <v>31</v>
      </c>
      <c r="T265" s="131">
        <v>4.8611111111110938E-3</v>
      </c>
      <c r="U265" s="130">
        <v>6.4467592592593048E-3</v>
      </c>
      <c r="V265" s="56" t="s">
        <v>1051</v>
      </c>
      <c r="W265" s="56" t="s">
        <v>1065</v>
      </c>
      <c r="X265" s="56" t="s">
        <v>1066</v>
      </c>
      <c r="Y265" s="56">
        <v>31</v>
      </c>
      <c r="Z265" s="56" t="s">
        <v>1054</v>
      </c>
      <c r="AA265" s="56" t="s">
        <v>2012</v>
      </c>
      <c r="AB265" s="56" t="s">
        <v>1605</v>
      </c>
      <c r="AC265" s="56" t="s">
        <v>1069</v>
      </c>
      <c r="AD265" s="56" t="s">
        <v>2013</v>
      </c>
      <c r="AE265" s="56" t="s">
        <v>2014</v>
      </c>
      <c r="AF265" s="56" t="s">
        <v>1237</v>
      </c>
      <c r="AG265" s="56" t="s">
        <v>2015</v>
      </c>
      <c r="AH265" s="56"/>
      <c r="AI265" s="56"/>
      <c r="AJ265" s="56"/>
      <c r="AK265" s="56"/>
      <c r="AL265" s="56"/>
      <c r="AM265" s="56"/>
      <c r="AN265" s="56"/>
      <c r="AO265" s="56"/>
      <c r="AP265" s="56"/>
      <c r="AQ265" s="131"/>
      <c r="AR265" s="130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</row>
    <row r="266" spans="1:56" x14ac:dyDescent="0.2">
      <c r="A266" s="56">
        <v>14110039</v>
      </c>
      <c r="B266" s="56">
        <v>175339608</v>
      </c>
      <c r="C266" s="56" t="s">
        <v>1239</v>
      </c>
      <c r="D266" s="56" t="s">
        <v>1083</v>
      </c>
      <c r="E266" s="56" t="s">
        <v>1047</v>
      </c>
      <c r="F266" s="56">
        <v>17</v>
      </c>
      <c r="G266" s="56">
        <v>13848</v>
      </c>
      <c r="H266" s="56" t="s">
        <v>1048</v>
      </c>
      <c r="I266" s="56" t="s">
        <v>1064</v>
      </c>
      <c r="J266" s="129">
        <v>46233</v>
      </c>
      <c r="K266" s="130">
        <v>0.52083333333333337</v>
      </c>
      <c r="L266" s="130">
        <v>0.52847222222222223</v>
      </c>
      <c r="M266" s="56" t="s">
        <v>1050</v>
      </c>
      <c r="N266" s="129">
        <v>46233</v>
      </c>
      <c r="O266" s="130">
        <v>0.60416666666666663</v>
      </c>
      <c r="P266" s="130">
        <v>0.59013888888888888</v>
      </c>
      <c r="Q266" s="56" t="s">
        <v>1050</v>
      </c>
      <c r="R266" s="56" t="s">
        <v>98</v>
      </c>
      <c r="S266" s="56">
        <v>31</v>
      </c>
      <c r="T266" s="131">
        <v>7.6388888888888618E-3</v>
      </c>
      <c r="U266" s="130">
        <v>-1.402777777777775E-2</v>
      </c>
      <c r="V266" s="56" t="s">
        <v>1051</v>
      </c>
      <c r="W266" s="56" t="s">
        <v>1052</v>
      </c>
      <c r="X266" s="56" t="s">
        <v>1053</v>
      </c>
      <c r="Y266" s="56">
        <v>31</v>
      </c>
      <c r="Z266" s="56" t="s">
        <v>1054</v>
      </c>
      <c r="AA266" s="56" t="s">
        <v>1084</v>
      </c>
      <c r="AB266" s="56" t="s">
        <v>1068</v>
      </c>
      <c r="AC266" s="56" t="s">
        <v>1069</v>
      </c>
      <c r="AD266" s="56" t="s">
        <v>1085</v>
      </c>
      <c r="AE266" s="56" t="s">
        <v>1086</v>
      </c>
      <c r="AF266" s="56" t="s">
        <v>1237</v>
      </c>
      <c r="AG266" s="56" t="s">
        <v>1240</v>
      </c>
      <c r="AH266" s="56"/>
      <c r="AI266" s="56"/>
      <c r="AJ266" s="56"/>
      <c r="AK266" s="56"/>
      <c r="AL266" s="56"/>
      <c r="AM266" s="56"/>
      <c r="AN266" s="56"/>
      <c r="AO266" s="56"/>
      <c r="AP266" s="56"/>
      <c r="AQ266" s="131"/>
      <c r="AR266" s="130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</row>
    <row r="267" spans="1:56" x14ac:dyDescent="0.2">
      <c r="A267" s="56">
        <v>14122035</v>
      </c>
      <c r="B267" s="56">
        <v>175349699</v>
      </c>
      <c r="C267" s="56" t="s">
        <v>2239</v>
      </c>
      <c r="D267" s="56" t="s">
        <v>2240</v>
      </c>
      <c r="E267" s="56" t="s">
        <v>1047</v>
      </c>
      <c r="F267" s="56">
        <v>231</v>
      </c>
      <c r="G267" s="56">
        <v>5035</v>
      </c>
      <c r="H267" s="56" t="s">
        <v>1048</v>
      </c>
      <c r="I267" s="56" t="s">
        <v>1676</v>
      </c>
      <c r="J267" s="129">
        <v>46233</v>
      </c>
      <c r="K267" s="130">
        <v>0.53125</v>
      </c>
      <c r="L267" s="130">
        <v>0.53541666666666665</v>
      </c>
      <c r="M267" s="56" t="s">
        <v>1050</v>
      </c>
      <c r="N267" s="129">
        <v>46233</v>
      </c>
      <c r="O267" s="130">
        <v>0.60069444444444442</v>
      </c>
      <c r="P267" s="130">
        <v>0.59236111111111112</v>
      </c>
      <c r="Q267" s="56" t="s">
        <v>1050</v>
      </c>
      <c r="R267" s="56" t="s">
        <v>2241</v>
      </c>
      <c r="S267" s="56">
        <v>31</v>
      </c>
      <c r="T267" s="131">
        <v>4.1666666666666519E-3</v>
      </c>
      <c r="U267" s="130">
        <v>-8.3333333333333037E-3</v>
      </c>
      <c r="V267" s="56" t="s">
        <v>1051</v>
      </c>
      <c r="W267" s="56" t="s">
        <v>1052</v>
      </c>
      <c r="X267" s="56" t="s">
        <v>1053</v>
      </c>
      <c r="Y267" s="56">
        <v>31</v>
      </c>
      <c r="Z267" s="56" t="s">
        <v>1054</v>
      </c>
      <c r="AA267" s="56" t="s">
        <v>2242</v>
      </c>
      <c r="AB267" s="56" t="s">
        <v>1678</v>
      </c>
      <c r="AC267" s="56" t="s">
        <v>1078</v>
      </c>
      <c r="AD267" s="56" t="s">
        <v>2243</v>
      </c>
      <c r="AE267" s="56" t="s">
        <v>2244</v>
      </c>
      <c r="AF267" s="56" t="s">
        <v>1237</v>
      </c>
      <c r="AG267" s="56" t="s">
        <v>2245</v>
      </c>
      <c r="AH267" s="56"/>
      <c r="AI267" s="56"/>
      <c r="AJ267" s="56"/>
      <c r="AK267" s="56"/>
      <c r="AL267" s="56"/>
      <c r="AM267" s="56"/>
      <c r="AN267" s="56"/>
      <c r="AO267" s="56"/>
      <c r="AP267" s="56"/>
      <c r="AQ267" s="131"/>
      <c r="AR267" s="130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</row>
    <row r="268" spans="1:56" x14ac:dyDescent="0.2">
      <c r="A268" s="56">
        <v>14122709</v>
      </c>
      <c r="B268" s="56">
        <v>175325852</v>
      </c>
      <c r="C268" s="56" t="s">
        <v>1632</v>
      </c>
      <c r="D268" s="56" t="s">
        <v>1633</v>
      </c>
      <c r="E268" s="56" t="s">
        <v>1047</v>
      </c>
      <c r="F268" s="56">
        <v>71</v>
      </c>
      <c r="G268" s="56">
        <v>16003</v>
      </c>
      <c r="H268" s="56" t="s">
        <v>1048</v>
      </c>
      <c r="I268" s="56" t="s">
        <v>1075</v>
      </c>
      <c r="J268" s="129">
        <v>46233</v>
      </c>
      <c r="K268" s="130">
        <v>0.53472222222222221</v>
      </c>
      <c r="L268" s="130">
        <v>0.54027777777777775</v>
      </c>
      <c r="M268" s="56" t="s">
        <v>1050</v>
      </c>
      <c r="N268" s="129">
        <v>46233</v>
      </c>
      <c r="O268" s="130">
        <v>0.60069444444444442</v>
      </c>
      <c r="P268" s="130">
        <v>0.58756944444444448</v>
      </c>
      <c r="Q268" s="56" t="s">
        <v>1050</v>
      </c>
      <c r="R268" s="56" t="s">
        <v>441</v>
      </c>
      <c r="S268" s="56">
        <v>31</v>
      </c>
      <c r="T268" s="131">
        <v>5.5555555555555358E-3</v>
      </c>
      <c r="U268" s="130">
        <v>-1.3124999999999942E-2</v>
      </c>
      <c r="V268" s="56" t="s">
        <v>1051</v>
      </c>
      <c r="W268" s="56" t="s">
        <v>1052</v>
      </c>
      <c r="X268" s="56" t="s">
        <v>1053</v>
      </c>
      <c r="Y268" s="56">
        <v>31</v>
      </c>
      <c r="Z268" s="56" t="s">
        <v>1054</v>
      </c>
      <c r="AA268" s="56" t="s">
        <v>1634</v>
      </c>
      <c r="AB268" s="56" t="s">
        <v>1077</v>
      </c>
      <c r="AC268" s="56" t="s">
        <v>1078</v>
      </c>
      <c r="AD268" s="56" t="s">
        <v>1635</v>
      </c>
      <c r="AE268" s="56" t="s">
        <v>1636</v>
      </c>
      <c r="AF268" s="56" t="s">
        <v>1237</v>
      </c>
      <c r="AG268" s="56" t="s">
        <v>1637</v>
      </c>
      <c r="AH268" s="56"/>
      <c r="AI268" s="56"/>
      <c r="AJ268" s="56"/>
      <c r="AK268" s="56"/>
      <c r="AL268" s="56"/>
      <c r="AM268" s="56"/>
      <c r="AN268" s="56"/>
      <c r="AO268" s="56"/>
      <c r="AP268" s="56"/>
      <c r="AQ268" s="131"/>
      <c r="AR268" s="130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</row>
    <row r="269" spans="1:56" x14ac:dyDescent="0.2">
      <c r="A269" s="56">
        <v>14123925</v>
      </c>
      <c r="B269" s="56">
        <v>175335928</v>
      </c>
      <c r="C269" s="56" t="s">
        <v>1638</v>
      </c>
      <c r="D269" s="56" t="s">
        <v>1639</v>
      </c>
      <c r="E269" s="56" t="s">
        <v>1047</v>
      </c>
      <c r="F269" s="56">
        <v>82</v>
      </c>
      <c r="G269" s="56">
        <v>13537</v>
      </c>
      <c r="H269" s="56" t="s">
        <v>1048</v>
      </c>
      <c r="I269" s="56" t="s">
        <v>1104</v>
      </c>
      <c r="J269" s="129">
        <v>46233</v>
      </c>
      <c r="K269" s="130">
        <v>0.53472222222222221</v>
      </c>
      <c r="L269" s="130">
        <v>0.5395833333333333</v>
      </c>
      <c r="M269" s="56" t="s">
        <v>1050</v>
      </c>
      <c r="N269" s="129">
        <v>46233</v>
      </c>
      <c r="O269" s="130">
        <v>0.60069444444444442</v>
      </c>
      <c r="P269" s="130">
        <v>0.58114583333333336</v>
      </c>
      <c r="Q269" s="56" t="s">
        <v>1050</v>
      </c>
      <c r="R269" s="56" t="s">
        <v>994</v>
      </c>
      <c r="S269" s="56">
        <v>31</v>
      </c>
      <c r="T269" s="131">
        <v>4.8611111111110938E-3</v>
      </c>
      <c r="U269" s="130">
        <v>-1.9548611111111058E-2</v>
      </c>
      <c r="V269" s="56" t="s">
        <v>1051</v>
      </c>
      <c r="W269" s="56" t="s">
        <v>1052</v>
      </c>
      <c r="X269" s="56" t="s">
        <v>1053</v>
      </c>
      <c r="Y269" s="56">
        <v>31</v>
      </c>
      <c r="Z269" s="56" t="s">
        <v>1054</v>
      </c>
      <c r="AA269" s="56" t="s">
        <v>1640</v>
      </c>
      <c r="AB269" s="56" t="s">
        <v>1106</v>
      </c>
      <c r="AC269" s="56" t="s">
        <v>1078</v>
      </c>
      <c r="AD269" s="56" t="s">
        <v>1641</v>
      </c>
      <c r="AE269" s="56" t="s">
        <v>1642</v>
      </c>
      <c r="AF269" s="56" t="s">
        <v>1237</v>
      </c>
      <c r="AG269" s="56" t="s">
        <v>1643</v>
      </c>
      <c r="AH269" s="56"/>
      <c r="AI269" s="56"/>
      <c r="AJ269" s="56"/>
      <c r="AK269" s="56"/>
      <c r="AL269" s="56"/>
      <c r="AM269" s="56"/>
      <c r="AN269" s="56"/>
      <c r="AO269" s="56"/>
      <c r="AP269" s="56"/>
      <c r="AQ269" s="131"/>
      <c r="AR269" s="130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</row>
    <row r="270" spans="1:56" x14ac:dyDescent="0.2">
      <c r="A270" s="56">
        <v>14103106</v>
      </c>
      <c r="B270" s="56">
        <v>175335724</v>
      </c>
      <c r="C270" s="56" t="s">
        <v>1261</v>
      </c>
      <c r="D270" s="56" t="s">
        <v>1117</v>
      </c>
      <c r="E270" s="56" t="s">
        <v>1047</v>
      </c>
      <c r="F270" s="56">
        <v>28</v>
      </c>
      <c r="G270" s="56">
        <v>16733</v>
      </c>
      <c r="H270" s="56" t="s">
        <v>1048</v>
      </c>
      <c r="I270" s="56" t="s">
        <v>1118</v>
      </c>
      <c r="J270" s="129">
        <v>46233</v>
      </c>
      <c r="K270" s="130">
        <v>0.5395833333333333</v>
      </c>
      <c r="L270" s="130">
        <v>0.54305555555555551</v>
      </c>
      <c r="M270" s="56" t="s">
        <v>1050</v>
      </c>
      <c r="N270" s="129">
        <v>46233</v>
      </c>
      <c r="O270" s="130">
        <v>0.60069444444444442</v>
      </c>
      <c r="P270" s="130">
        <v>0.58760416666666671</v>
      </c>
      <c r="Q270" s="56" t="s">
        <v>1050</v>
      </c>
      <c r="R270" s="56" t="s">
        <v>34</v>
      </c>
      <c r="S270" s="56">
        <v>31</v>
      </c>
      <c r="T270" s="131">
        <v>3.4722222222222099E-3</v>
      </c>
      <c r="U270" s="130">
        <v>-1.3090277777777715E-2</v>
      </c>
      <c r="V270" s="56" t="s">
        <v>1051</v>
      </c>
      <c r="W270" s="56" t="s">
        <v>1052</v>
      </c>
      <c r="X270" s="56" t="s">
        <v>1053</v>
      </c>
      <c r="Y270" s="56">
        <v>31</v>
      </c>
      <c r="Z270" s="56" t="s">
        <v>1054</v>
      </c>
      <c r="AA270" s="56" t="s">
        <v>1119</v>
      </c>
      <c r="AB270" s="56" t="s">
        <v>1120</v>
      </c>
      <c r="AC270" s="56" t="s">
        <v>1078</v>
      </c>
      <c r="AD270" s="56" t="s">
        <v>1121</v>
      </c>
      <c r="AE270" s="56" t="s">
        <v>1122</v>
      </c>
      <c r="AF270" s="56" t="s">
        <v>1237</v>
      </c>
      <c r="AG270" s="56" t="s">
        <v>1262</v>
      </c>
      <c r="AH270" s="56"/>
      <c r="AI270" s="56"/>
      <c r="AJ270" s="56"/>
      <c r="AK270" s="56"/>
      <c r="AL270" s="56"/>
      <c r="AM270" s="56"/>
      <c r="AN270" s="56"/>
      <c r="AO270" s="56"/>
      <c r="AP270" s="56"/>
      <c r="AQ270" s="131"/>
      <c r="AR270" s="130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</row>
    <row r="271" spans="1:56" x14ac:dyDescent="0.2">
      <c r="A271" s="56">
        <v>14108552</v>
      </c>
      <c r="B271" s="56">
        <v>175342790</v>
      </c>
      <c r="C271" s="56" t="s">
        <v>2246</v>
      </c>
      <c r="D271" s="56" t="s">
        <v>2233</v>
      </c>
      <c r="E271" s="56" t="s">
        <v>1047</v>
      </c>
      <c r="F271" s="56">
        <v>22</v>
      </c>
      <c r="G271" s="56">
        <v>13446</v>
      </c>
      <c r="H271" s="56" t="s">
        <v>1048</v>
      </c>
      <c r="I271" s="56" t="s">
        <v>2234</v>
      </c>
      <c r="J271" s="129">
        <v>46233</v>
      </c>
      <c r="K271" s="130">
        <v>0.54166666666666663</v>
      </c>
      <c r="L271" s="130">
        <v>0.54652777777777772</v>
      </c>
      <c r="M271" s="56" t="s">
        <v>1050</v>
      </c>
      <c r="N271" s="129">
        <v>46233</v>
      </c>
      <c r="O271" s="130">
        <v>0.57291666666666663</v>
      </c>
      <c r="P271" s="130">
        <v>0.56546296296296295</v>
      </c>
      <c r="Q271" s="56" t="s">
        <v>1050</v>
      </c>
      <c r="R271" s="56" t="s">
        <v>2247</v>
      </c>
      <c r="S271" s="56">
        <v>31</v>
      </c>
      <c r="T271" s="131">
        <v>4.8611111111110938E-3</v>
      </c>
      <c r="U271" s="130">
        <v>-7.4537037037036846E-3</v>
      </c>
      <c r="V271" s="56" t="s">
        <v>1051</v>
      </c>
      <c r="W271" s="56" t="s">
        <v>1052</v>
      </c>
      <c r="X271" s="56" t="s">
        <v>1053</v>
      </c>
      <c r="Y271" s="56">
        <v>31</v>
      </c>
      <c r="Z271" s="56" t="s">
        <v>1054</v>
      </c>
      <c r="AA271" s="56" t="s">
        <v>2235</v>
      </c>
      <c r="AB271" s="56" t="s">
        <v>1605</v>
      </c>
      <c r="AC271" s="56" t="s">
        <v>1069</v>
      </c>
      <c r="AD271" s="56" t="s">
        <v>2236</v>
      </c>
      <c r="AE271" s="56" t="e">
        <v>#N/A</v>
      </c>
      <c r="AF271" s="56" t="s">
        <v>1237</v>
      </c>
      <c r="AG271" s="56" t="s">
        <v>2248</v>
      </c>
      <c r="AH271" s="56"/>
      <c r="AI271" s="56"/>
      <c r="AJ271" s="56"/>
      <c r="AK271" s="56"/>
      <c r="AL271" s="56"/>
      <c r="AM271" s="56"/>
      <c r="AN271" s="56"/>
      <c r="AO271" s="56"/>
      <c r="AP271" s="56"/>
      <c r="AQ271" s="131"/>
      <c r="AR271" s="130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</row>
    <row r="272" spans="1:56" x14ac:dyDescent="0.2">
      <c r="A272" s="56">
        <v>14123894</v>
      </c>
      <c r="B272" s="56">
        <v>175347774</v>
      </c>
      <c r="C272" s="56" t="s">
        <v>2249</v>
      </c>
      <c r="D272" s="56" t="s">
        <v>1527</v>
      </c>
      <c r="E272" s="56" t="s">
        <v>1047</v>
      </c>
      <c r="F272" s="56">
        <v>227</v>
      </c>
      <c r="G272" s="56">
        <v>4980</v>
      </c>
      <c r="H272" s="56" t="s">
        <v>1048</v>
      </c>
      <c r="I272" s="56" t="s">
        <v>1104</v>
      </c>
      <c r="J272" s="129">
        <v>46233</v>
      </c>
      <c r="K272" s="130">
        <v>0.54166666666666663</v>
      </c>
      <c r="L272" s="130">
        <v>0.54583333333333328</v>
      </c>
      <c r="M272" s="56" t="s">
        <v>1050</v>
      </c>
      <c r="N272" s="129">
        <v>46233</v>
      </c>
      <c r="O272" s="130">
        <v>0.60069444444444442</v>
      </c>
      <c r="P272" s="130">
        <v>0.59436342592592595</v>
      </c>
      <c r="Q272" s="56" t="s">
        <v>1050</v>
      </c>
      <c r="R272" s="56" t="s">
        <v>981</v>
      </c>
      <c r="S272" s="56">
        <v>31</v>
      </c>
      <c r="T272" s="131">
        <v>4.1666666666666519E-3</v>
      </c>
      <c r="U272" s="130">
        <v>-6.331018518518472E-3</v>
      </c>
      <c r="V272" s="56" t="s">
        <v>1051</v>
      </c>
      <c r="W272" s="56" t="s">
        <v>1052</v>
      </c>
      <c r="X272" s="56" t="s">
        <v>1053</v>
      </c>
      <c r="Y272" s="56">
        <v>31</v>
      </c>
      <c r="Z272" s="56" t="s">
        <v>1054</v>
      </c>
      <c r="AA272" s="56" t="s">
        <v>2250</v>
      </c>
      <c r="AB272" s="56" t="s">
        <v>1106</v>
      </c>
      <c r="AC272" s="56" t="s">
        <v>1078</v>
      </c>
      <c r="AD272" s="56" t="s">
        <v>2251</v>
      </c>
      <c r="AE272" s="56" t="s">
        <v>2252</v>
      </c>
      <c r="AF272" s="56" t="s">
        <v>1237</v>
      </c>
      <c r="AG272" s="56" t="s">
        <v>2253</v>
      </c>
      <c r="AH272" s="56"/>
      <c r="AI272" s="56"/>
      <c r="AJ272" s="56"/>
      <c r="AK272" s="56"/>
      <c r="AL272" s="56"/>
      <c r="AM272" s="56"/>
      <c r="AN272" s="56"/>
      <c r="AO272" s="56"/>
      <c r="AP272" s="56"/>
      <c r="AQ272" s="131"/>
      <c r="AR272" s="130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</row>
    <row r="273" spans="1:56" x14ac:dyDescent="0.2">
      <c r="A273" s="56">
        <v>14121523</v>
      </c>
      <c r="B273" s="56">
        <v>175342236</v>
      </c>
      <c r="C273" s="56" t="s">
        <v>2254</v>
      </c>
      <c r="D273" s="56" t="s">
        <v>2255</v>
      </c>
      <c r="E273" s="56" t="s">
        <v>1047</v>
      </c>
      <c r="F273" s="56">
        <v>67</v>
      </c>
      <c r="G273" s="56">
        <v>12898</v>
      </c>
      <c r="H273" s="56" t="s">
        <v>1048</v>
      </c>
      <c r="I273" s="56" t="s">
        <v>1172</v>
      </c>
      <c r="J273" s="129">
        <v>46233</v>
      </c>
      <c r="K273" s="130">
        <v>0.54513888888888884</v>
      </c>
      <c r="L273" s="130">
        <v>0.55763888888888891</v>
      </c>
      <c r="M273" s="56" t="s">
        <v>1050</v>
      </c>
      <c r="N273" s="129">
        <v>46233</v>
      </c>
      <c r="O273" s="130">
        <v>0.61458333333333337</v>
      </c>
      <c r="P273" s="130">
        <v>0.61649305555555556</v>
      </c>
      <c r="Q273" s="56" t="s">
        <v>1050</v>
      </c>
      <c r="R273" s="56" t="s">
        <v>332</v>
      </c>
      <c r="S273" s="56">
        <v>31</v>
      </c>
      <c r="T273" s="131">
        <v>1.2500000000000067E-2</v>
      </c>
      <c r="U273" s="130">
        <v>1.9097222222221877E-3</v>
      </c>
      <c r="V273" s="56" t="s">
        <v>1051</v>
      </c>
      <c r="W273" s="56" t="s">
        <v>1052</v>
      </c>
      <c r="X273" s="56" t="s">
        <v>1053</v>
      </c>
      <c r="Y273" s="56">
        <v>31</v>
      </c>
      <c r="Z273" s="56" t="s">
        <v>1054</v>
      </c>
      <c r="AA273" s="56" t="s">
        <v>2256</v>
      </c>
      <c r="AB273" s="56" t="s">
        <v>1210</v>
      </c>
      <c r="AC273" s="56" t="s">
        <v>1057</v>
      </c>
      <c r="AD273" s="56" t="s">
        <v>2257</v>
      </c>
      <c r="AE273" s="56" t="s">
        <v>2258</v>
      </c>
      <c r="AF273" s="56" t="s">
        <v>1237</v>
      </c>
      <c r="AG273" s="56" t="s">
        <v>2259</v>
      </c>
      <c r="AH273" s="56"/>
      <c r="AI273" s="56"/>
      <c r="AJ273" s="56"/>
      <c r="AK273" s="56"/>
      <c r="AL273" s="56"/>
      <c r="AM273" s="56"/>
      <c r="AN273" s="56"/>
      <c r="AO273" s="56"/>
      <c r="AP273" s="56"/>
      <c r="AQ273" s="131"/>
      <c r="AR273" s="130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</row>
    <row r="274" spans="1:56" x14ac:dyDescent="0.2">
      <c r="A274" s="56">
        <v>14103183</v>
      </c>
      <c r="B274" s="56">
        <v>175331596</v>
      </c>
      <c r="C274" s="56" t="s">
        <v>2048</v>
      </c>
      <c r="D274" s="56" t="s">
        <v>1339</v>
      </c>
      <c r="E274" s="56" t="s">
        <v>1047</v>
      </c>
      <c r="F274" s="56">
        <v>1</v>
      </c>
      <c r="G274" s="56">
        <v>15313</v>
      </c>
      <c r="H274" s="56" t="s">
        <v>1048</v>
      </c>
      <c r="I274" s="56" t="s">
        <v>1340</v>
      </c>
      <c r="J274" s="129">
        <v>46233</v>
      </c>
      <c r="K274" s="130">
        <v>0.55208333333333337</v>
      </c>
      <c r="L274" s="130">
        <v>0.55555555555555558</v>
      </c>
      <c r="M274" s="56" t="s">
        <v>1050</v>
      </c>
      <c r="N274" s="129">
        <v>46233</v>
      </c>
      <c r="O274" s="130">
        <v>0.57291666666666663</v>
      </c>
      <c r="P274" s="130">
        <v>0.56849537037037035</v>
      </c>
      <c r="Q274" s="56" t="s">
        <v>1050</v>
      </c>
      <c r="R274" s="56" t="s">
        <v>35</v>
      </c>
      <c r="S274" s="56">
        <v>31</v>
      </c>
      <c r="T274" s="131">
        <v>3.4722222222222099E-3</v>
      </c>
      <c r="U274" s="130">
        <v>-4.4212962962962843E-3</v>
      </c>
      <c r="V274" s="56" t="s">
        <v>1051</v>
      </c>
      <c r="W274" s="56" t="s">
        <v>1052</v>
      </c>
      <c r="X274" s="56" t="s">
        <v>1053</v>
      </c>
      <c r="Y274" s="56">
        <v>31</v>
      </c>
      <c r="Z274" s="56" t="s">
        <v>1054</v>
      </c>
      <c r="AA274" s="56" t="s">
        <v>1341</v>
      </c>
      <c r="AB274" s="56" t="s">
        <v>1342</v>
      </c>
      <c r="AC274" s="56" t="s">
        <v>1069</v>
      </c>
      <c r="AD274" s="56" t="s">
        <v>1343</v>
      </c>
      <c r="AE274" s="56" t="s">
        <v>1344</v>
      </c>
      <c r="AF274" s="56" t="s">
        <v>1237</v>
      </c>
      <c r="AG274" s="56" t="s">
        <v>2049</v>
      </c>
      <c r="AH274" s="56"/>
      <c r="AI274" s="56"/>
      <c r="AJ274" s="56"/>
      <c r="AK274" s="56"/>
      <c r="AL274" s="56"/>
      <c r="AM274" s="56"/>
      <c r="AN274" s="56"/>
      <c r="AO274" s="56"/>
      <c r="AP274" s="56"/>
      <c r="AQ274" s="131"/>
      <c r="AR274" s="130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</row>
    <row r="275" spans="1:56" x14ac:dyDescent="0.2">
      <c r="A275" s="56"/>
      <c r="B275" s="56">
        <v>175341197</v>
      </c>
      <c r="C275" s="56" t="s">
        <v>2260</v>
      </c>
      <c r="D275" s="56" t="s">
        <v>1527</v>
      </c>
      <c r="E275" s="56" t="s">
        <v>1047</v>
      </c>
      <c r="F275" s="56">
        <v>32</v>
      </c>
      <c r="G275" s="56">
        <v>15315</v>
      </c>
      <c r="H275" s="56" t="s">
        <v>1048</v>
      </c>
      <c r="I275" s="56" t="s">
        <v>1172</v>
      </c>
      <c r="J275" s="129">
        <v>46233</v>
      </c>
      <c r="K275" s="130">
        <v>0.55486111111111114</v>
      </c>
      <c r="L275" s="130">
        <v>0.55972222222222223</v>
      </c>
      <c r="M275" s="56" t="s">
        <v>1050</v>
      </c>
      <c r="N275" s="129">
        <v>46233</v>
      </c>
      <c r="O275" s="130">
        <v>0.61458333333333337</v>
      </c>
      <c r="P275" s="130">
        <v>0.62134259259259261</v>
      </c>
      <c r="Q275" s="56" t="s">
        <v>1050</v>
      </c>
      <c r="R275" s="56" t="s">
        <v>1414</v>
      </c>
      <c r="S275" s="56">
        <v>31</v>
      </c>
      <c r="T275" s="131">
        <v>4.8611111111110938E-3</v>
      </c>
      <c r="U275" s="130">
        <v>6.7592592592592426E-3</v>
      </c>
      <c r="V275" s="56" t="s">
        <v>1051</v>
      </c>
      <c r="W275" s="56" t="s">
        <v>1065</v>
      </c>
      <c r="X275" s="56" t="s">
        <v>1066</v>
      </c>
      <c r="Y275" s="56">
        <v>31</v>
      </c>
      <c r="Z275" s="56" t="s">
        <v>1054</v>
      </c>
      <c r="AA275" s="56" t="s">
        <v>1529</v>
      </c>
      <c r="AB275" s="56" t="s">
        <v>1210</v>
      </c>
      <c r="AC275" s="56" t="s">
        <v>1057</v>
      </c>
      <c r="AD275" s="56" t="s">
        <v>1530</v>
      </c>
      <c r="AE275" s="56" t="s">
        <v>1531</v>
      </c>
      <c r="AF275" s="56" t="s">
        <v>1237</v>
      </c>
      <c r="AG275" s="56" t="s">
        <v>2261</v>
      </c>
      <c r="AH275" s="56"/>
      <c r="AI275" s="56"/>
      <c r="AJ275" s="56"/>
      <c r="AK275" s="56"/>
      <c r="AL275" s="56"/>
      <c r="AM275" s="56"/>
      <c r="AN275" s="56"/>
      <c r="AO275" s="56"/>
      <c r="AP275" s="56"/>
      <c r="AQ275" s="131"/>
      <c r="AR275" s="130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</row>
    <row r="276" spans="1:56" x14ac:dyDescent="0.2">
      <c r="A276" s="56">
        <v>14107293</v>
      </c>
      <c r="B276" s="56">
        <v>175327989</v>
      </c>
      <c r="C276" s="56" t="s">
        <v>2262</v>
      </c>
      <c r="D276" s="56" t="s">
        <v>2263</v>
      </c>
      <c r="E276" s="56" t="s">
        <v>1047</v>
      </c>
      <c r="F276" s="56">
        <v>18</v>
      </c>
      <c r="G276" s="56">
        <v>5429</v>
      </c>
      <c r="H276" s="56" t="s">
        <v>1048</v>
      </c>
      <c r="I276" s="56" t="s">
        <v>1192</v>
      </c>
      <c r="J276" s="129">
        <v>46233</v>
      </c>
      <c r="K276" s="130">
        <v>0.55555555555555558</v>
      </c>
      <c r="L276" s="130">
        <v>0.55902777777777779</v>
      </c>
      <c r="M276" s="56" t="s">
        <v>1050</v>
      </c>
      <c r="N276" s="129">
        <v>46233</v>
      </c>
      <c r="O276" s="130">
        <v>0.60416666666666663</v>
      </c>
      <c r="P276" s="130">
        <v>0.5841319444444445</v>
      </c>
      <c r="Q276" s="56" t="s">
        <v>1050</v>
      </c>
      <c r="R276" s="56" t="s">
        <v>191</v>
      </c>
      <c r="S276" s="56">
        <v>31</v>
      </c>
      <c r="T276" s="131">
        <v>3.4722222222222099E-3</v>
      </c>
      <c r="U276" s="130">
        <v>-2.0034722222222134E-2</v>
      </c>
      <c r="V276" s="56" t="s">
        <v>1051</v>
      </c>
      <c r="W276" s="56" t="s">
        <v>1052</v>
      </c>
      <c r="X276" s="56" t="s">
        <v>1053</v>
      </c>
      <c r="Y276" s="56">
        <v>31</v>
      </c>
      <c r="Z276" s="56" t="s">
        <v>1054</v>
      </c>
      <c r="AA276" s="56" t="s">
        <v>2264</v>
      </c>
      <c r="AB276" s="56" t="s">
        <v>1194</v>
      </c>
      <c r="AC276" s="56" t="s">
        <v>1057</v>
      </c>
      <c r="AD276" s="56" t="s">
        <v>2265</v>
      </c>
      <c r="AE276" s="56" t="s">
        <v>2266</v>
      </c>
      <c r="AF276" s="56" t="s">
        <v>1237</v>
      </c>
      <c r="AG276" s="56" t="s">
        <v>2267</v>
      </c>
      <c r="AH276" s="56"/>
      <c r="AI276" s="56"/>
      <c r="AJ276" s="56"/>
      <c r="AK276" s="56"/>
      <c r="AL276" s="56"/>
      <c r="AM276" s="56"/>
      <c r="AN276" s="56"/>
      <c r="AO276" s="56"/>
      <c r="AP276" s="56"/>
      <c r="AQ276" s="131"/>
      <c r="AR276" s="130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</row>
    <row r="277" spans="1:56" x14ac:dyDescent="0.2">
      <c r="A277" s="56">
        <v>14120925</v>
      </c>
      <c r="B277" s="56">
        <v>175347971</v>
      </c>
      <c r="C277" s="56" t="s">
        <v>2268</v>
      </c>
      <c r="D277" s="56" t="s">
        <v>2269</v>
      </c>
      <c r="E277" s="56" t="s">
        <v>1047</v>
      </c>
      <c r="F277" s="56">
        <v>229</v>
      </c>
      <c r="G277" s="56">
        <v>5530</v>
      </c>
      <c r="H277" s="56" t="s">
        <v>1048</v>
      </c>
      <c r="I277" s="56" t="s">
        <v>1104</v>
      </c>
      <c r="J277" s="129">
        <v>46233</v>
      </c>
      <c r="K277" s="130">
        <v>0.55555555555555558</v>
      </c>
      <c r="L277" s="130">
        <v>0.55902777777777779</v>
      </c>
      <c r="M277" s="56" t="s">
        <v>1050</v>
      </c>
      <c r="N277" s="129">
        <v>46233</v>
      </c>
      <c r="O277" s="130">
        <v>0.60069444444444442</v>
      </c>
      <c r="P277" s="130">
        <v>0.59100694444444446</v>
      </c>
      <c r="Q277" s="56" t="s">
        <v>1050</v>
      </c>
      <c r="R277" s="56" t="s">
        <v>304</v>
      </c>
      <c r="S277" s="56">
        <v>31</v>
      </c>
      <c r="T277" s="131">
        <v>3.4722222222222099E-3</v>
      </c>
      <c r="U277" s="130">
        <v>-9.68749999999996E-3</v>
      </c>
      <c r="V277" s="56" t="s">
        <v>1051</v>
      </c>
      <c r="W277" s="56" t="s">
        <v>1052</v>
      </c>
      <c r="X277" s="56" t="s">
        <v>1053</v>
      </c>
      <c r="Y277" s="56">
        <v>31</v>
      </c>
      <c r="Z277" s="56" t="s">
        <v>1054</v>
      </c>
      <c r="AA277" s="56" t="s">
        <v>2270</v>
      </c>
      <c r="AB277" s="56" t="s">
        <v>1106</v>
      </c>
      <c r="AC277" s="56" t="s">
        <v>1078</v>
      </c>
      <c r="AD277" s="56" t="s">
        <v>2271</v>
      </c>
      <c r="AE277" s="56" t="s">
        <v>2272</v>
      </c>
      <c r="AF277" s="56" t="s">
        <v>1237</v>
      </c>
      <c r="AG277" s="56" t="s">
        <v>2273</v>
      </c>
      <c r="AH277" s="56"/>
      <c r="AI277" s="56"/>
      <c r="AJ277" s="56"/>
      <c r="AK277" s="56"/>
      <c r="AL277" s="56"/>
      <c r="AM277" s="56"/>
      <c r="AN277" s="56"/>
      <c r="AO277" s="56"/>
      <c r="AP277" s="56"/>
      <c r="AQ277" s="131"/>
      <c r="AR277" s="130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</row>
    <row r="278" spans="1:56" x14ac:dyDescent="0.2">
      <c r="A278" s="56">
        <v>14122294</v>
      </c>
      <c r="B278" s="56">
        <v>175348293</v>
      </c>
      <c r="C278" s="56" t="s">
        <v>2274</v>
      </c>
      <c r="D278" s="56" t="s">
        <v>2275</v>
      </c>
      <c r="E278" s="56" t="s">
        <v>1047</v>
      </c>
      <c r="F278" s="56">
        <v>155</v>
      </c>
      <c r="G278" s="56">
        <v>13005</v>
      </c>
      <c r="H278" s="56" t="s">
        <v>1048</v>
      </c>
      <c r="I278" s="56" t="s">
        <v>1172</v>
      </c>
      <c r="J278" s="129">
        <v>46233</v>
      </c>
      <c r="K278" s="130">
        <v>0.55625000000000002</v>
      </c>
      <c r="L278" s="130">
        <v>0.56111111111111112</v>
      </c>
      <c r="M278" s="56" t="s">
        <v>1050</v>
      </c>
      <c r="N278" s="129">
        <v>46233</v>
      </c>
      <c r="O278" s="130">
        <v>0.61458333333333337</v>
      </c>
      <c r="P278" s="130">
        <v>0.59903935185185186</v>
      </c>
      <c r="Q278" s="56" t="s">
        <v>1050</v>
      </c>
      <c r="R278" s="56" t="s">
        <v>404</v>
      </c>
      <c r="S278" s="56">
        <v>31</v>
      </c>
      <c r="T278" s="131">
        <v>4.8611111111110938E-3</v>
      </c>
      <c r="U278" s="130">
        <v>-1.5543981481481506E-2</v>
      </c>
      <c r="V278" s="56" t="s">
        <v>1051</v>
      </c>
      <c r="W278" s="56" t="s">
        <v>1052</v>
      </c>
      <c r="X278" s="56" t="s">
        <v>1053</v>
      </c>
      <c r="Y278" s="56">
        <v>31</v>
      </c>
      <c r="Z278" s="56" t="s">
        <v>1054</v>
      </c>
      <c r="AA278" s="56" t="s">
        <v>2276</v>
      </c>
      <c r="AB278" s="56" t="s">
        <v>1174</v>
      </c>
      <c r="AC278" s="56" t="s">
        <v>1057</v>
      </c>
      <c r="AD278" s="56" t="s">
        <v>2277</v>
      </c>
      <c r="AE278" s="56" t="s">
        <v>2278</v>
      </c>
      <c r="AF278" s="56" t="s">
        <v>1237</v>
      </c>
      <c r="AG278" s="56" t="s">
        <v>2279</v>
      </c>
      <c r="AH278" s="56"/>
      <c r="AI278" s="56"/>
      <c r="AJ278" s="56"/>
      <c r="AK278" s="56"/>
      <c r="AL278" s="56"/>
      <c r="AM278" s="56"/>
      <c r="AN278" s="56"/>
      <c r="AO278" s="56"/>
      <c r="AP278" s="56"/>
      <c r="AQ278" s="131"/>
      <c r="AR278" s="130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</row>
    <row r="279" spans="1:56" x14ac:dyDescent="0.2">
      <c r="A279" s="56">
        <v>14122929</v>
      </c>
      <c r="B279" s="56">
        <v>175341237</v>
      </c>
      <c r="C279" s="56" t="s">
        <v>2280</v>
      </c>
      <c r="D279" s="56" t="s">
        <v>2281</v>
      </c>
      <c r="E279" s="56" t="s">
        <v>1047</v>
      </c>
      <c r="F279" s="56">
        <v>40</v>
      </c>
      <c r="G279" s="56">
        <v>5850</v>
      </c>
      <c r="H279" s="56" t="s">
        <v>1048</v>
      </c>
      <c r="I279" s="56" t="s">
        <v>1172</v>
      </c>
      <c r="J279" s="129">
        <v>46233</v>
      </c>
      <c r="K279" s="130">
        <v>0.5625</v>
      </c>
      <c r="L279" s="130">
        <v>0.56597222222222221</v>
      </c>
      <c r="M279" s="56" t="s">
        <v>1050</v>
      </c>
      <c r="N279" s="129">
        <v>46233</v>
      </c>
      <c r="O279" s="130">
        <v>0.61458333333333337</v>
      </c>
      <c r="P279" s="130">
        <v>0.60513888888888889</v>
      </c>
      <c r="Q279" s="56" t="s">
        <v>1050</v>
      </c>
      <c r="R279" s="56" t="s">
        <v>463</v>
      </c>
      <c r="S279" s="56">
        <v>31</v>
      </c>
      <c r="T279" s="131">
        <v>3.4722222222222099E-3</v>
      </c>
      <c r="U279" s="130">
        <v>-9.4444444444444775E-3</v>
      </c>
      <c r="V279" s="56" t="s">
        <v>1051</v>
      </c>
      <c r="W279" s="56" t="s">
        <v>1052</v>
      </c>
      <c r="X279" s="56" t="s">
        <v>1053</v>
      </c>
      <c r="Y279" s="56">
        <v>31</v>
      </c>
      <c r="Z279" s="56" t="s">
        <v>1054</v>
      </c>
      <c r="AA279" s="56" t="s">
        <v>2282</v>
      </c>
      <c r="AB279" s="56" t="s">
        <v>1174</v>
      </c>
      <c r="AC279" s="56" t="s">
        <v>1057</v>
      </c>
      <c r="AD279" s="56" t="s">
        <v>2283</v>
      </c>
      <c r="AE279" s="56" t="s">
        <v>2284</v>
      </c>
      <c r="AF279" s="56" t="s">
        <v>1237</v>
      </c>
      <c r="AG279" s="56" t="s">
        <v>2285</v>
      </c>
      <c r="AH279" s="56"/>
      <c r="AI279" s="56"/>
      <c r="AJ279" s="56"/>
      <c r="AK279" s="56"/>
      <c r="AL279" s="56"/>
      <c r="AM279" s="56"/>
      <c r="AN279" s="56"/>
      <c r="AO279" s="56"/>
      <c r="AP279" s="56"/>
      <c r="AQ279" s="131"/>
      <c r="AR279" s="130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</row>
    <row r="280" spans="1:56" x14ac:dyDescent="0.2">
      <c r="A280" s="56"/>
      <c r="B280" s="56">
        <v>175349841</v>
      </c>
      <c r="C280" s="56" t="s">
        <v>2058</v>
      </c>
      <c r="D280" s="56" t="s">
        <v>2059</v>
      </c>
      <c r="E280" s="56" t="s">
        <v>1047</v>
      </c>
      <c r="F280" s="56">
        <v>232</v>
      </c>
      <c r="G280" s="56">
        <v>4203</v>
      </c>
      <c r="H280" s="56" t="s">
        <v>1048</v>
      </c>
      <c r="I280" s="56" t="s">
        <v>1172</v>
      </c>
      <c r="J280" s="129">
        <v>46233</v>
      </c>
      <c r="K280" s="130">
        <v>0.56944444444444442</v>
      </c>
      <c r="L280" s="130">
        <v>0.57916666666666672</v>
      </c>
      <c r="M280" s="56" t="s">
        <v>1050</v>
      </c>
      <c r="N280" s="129">
        <v>46233</v>
      </c>
      <c r="O280" s="130">
        <v>0.61458333333333337</v>
      </c>
      <c r="P280" s="130">
        <v>0.6194560185185185</v>
      </c>
      <c r="Q280" s="56" t="s">
        <v>1050</v>
      </c>
      <c r="R280" s="56" t="s">
        <v>2060</v>
      </c>
      <c r="S280" s="56">
        <v>31</v>
      </c>
      <c r="T280" s="131">
        <v>9.7222222222222987E-3</v>
      </c>
      <c r="U280" s="130">
        <v>4.8726851851851327E-3</v>
      </c>
      <c r="V280" s="56" t="s">
        <v>1051</v>
      </c>
      <c r="W280" s="56" t="s">
        <v>1065</v>
      </c>
      <c r="X280" s="56" t="s">
        <v>1066</v>
      </c>
      <c r="Y280" s="56">
        <v>31</v>
      </c>
      <c r="Z280" s="56" t="s">
        <v>1054</v>
      </c>
      <c r="AA280" s="56" t="s">
        <v>2061</v>
      </c>
      <c r="AB280" s="56" t="s">
        <v>1174</v>
      </c>
      <c r="AC280" s="56" t="s">
        <v>1057</v>
      </c>
      <c r="AD280" s="56" t="s">
        <v>2062</v>
      </c>
      <c r="AE280" s="56" t="s">
        <v>2063</v>
      </c>
      <c r="AF280" s="56" t="s">
        <v>1237</v>
      </c>
      <c r="AG280" s="56" t="s">
        <v>2064</v>
      </c>
      <c r="AH280" s="56"/>
      <c r="AI280" s="56"/>
      <c r="AJ280" s="56"/>
      <c r="AK280" s="56"/>
      <c r="AL280" s="56"/>
      <c r="AM280" s="56"/>
      <c r="AN280" s="56"/>
      <c r="AO280" s="56"/>
      <c r="AP280" s="56"/>
      <c r="AQ280" s="131"/>
      <c r="AR280" s="130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</row>
    <row r="281" spans="1:56" x14ac:dyDescent="0.2">
      <c r="A281" s="56">
        <v>14123459</v>
      </c>
      <c r="B281" s="56">
        <v>175341203</v>
      </c>
      <c r="C281" s="56" t="s">
        <v>1745</v>
      </c>
      <c r="D281" s="56" t="s">
        <v>1553</v>
      </c>
      <c r="E281" s="56" t="s">
        <v>1047</v>
      </c>
      <c r="F281" s="56">
        <v>34</v>
      </c>
      <c r="G281" s="56">
        <v>13502</v>
      </c>
      <c r="H281" s="56" t="s">
        <v>1048</v>
      </c>
      <c r="I281" s="56" t="s">
        <v>1172</v>
      </c>
      <c r="J281" s="129">
        <v>46233</v>
      </c>
      <c r="K281" s="130">
        <v>0.58263888888888893</v>
      </c>
      <c r="L281" s="130">
        <v>0.58680555555555558</v>
      </c>
      <c r="M281" s="56" t="s">
        <v>1050</v>
      </c>
      <c r="N281" s="129">
        <v>46233</v>
      </c>
      <c r="O281" s="130">
        <v>0.61458333333333337</v>
      </c>
      <c r="P281" s="130">
        <v>0.61906249999999996</v>
      </c>
      <c r="Q281" s="56" t="s">
        <v>1050</v>
      </c>
      <c r="R281" s="56" t="s">
        <v>509</v>
      </c>
      <c r="S281" s="56">
        <v>31</v>
      </c>
      <c r="T281" s="131">
        <v>4.1666666666666519E-3</v>
      </c>
      <c r="U281" s="130">
        <v>4.4791666666665897E-3</v>
      </c>
      <c r="V281" s="56" t="s">
        <v>1051</v>
      </c>
      <c r="W281" s="56" t="s">
        <v>1065</v>
      </c>
      <c r="X281" s="56" t="s">
        <v>1066</v>
      </c>
      <c r="Y281" s="56">
        <v>31</v>
      </c>
      <c r="Z281" s="56" t="s">
        <v>1054</v>
      </c>
      <c r="AA281" s="56" t="s">
        <v>1554</v>
      </c>
      <c r="AB281" s="56" t="s">
        <v>1174</v>
      </c>
      <c r="AC281" s="56" t="s">
        <v>1057</v>
      </c>
      <c r="AD281" s="56" t="s">
        <v>1555</v>
      </c>
      <c r="AE281" s="56" t="s">
        <v>1556</v>
      </c>
      <c r="AF281" s="56" t="s">
        <v>1237</v>
      </c>
      <c r="AG281" s="56" t="s">
        <v>1746</v>
      </c>
      <c r="AH281" s="56"/>
      <c r="AI281" s="56"/>
      <c r="AJ281" s="56"/>
      <c r="AK281" s="56"/>
      <c r="AL281" s="56"/>
      <c r="AM281" s="56"/>
      <c r="AN281" s="56"/>
      <c r="AO281" s="56"/>
      <c r="AP281" s="56"/>
      <c r="AQ281" s="131"/>
      <c r="AR281" s="130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</row>
    <row r="282" spans="1:56" x14ac:dyDescent="0.2">
      <c r="A282" s="56">
        <v>14118505</v>
      </c>
      <c r="B282" s="56">
        <v>175351956</v>
      </c>
      <c r="C282" s="56" t="s">
        <v>2071</v>
      </c>
      <c r="D282" s="56" t="s">
        <v>1563</v>
      </c>
      <c r="E282" s="56" t="s">
        <v>1047</v>
      </c>
      <c r="F282" s="56">
        <v>267</v>
      </c>
      <c r="G282" s="56">
        <v>15316</v>
      </c>
      <c r="H282" s="56" t="s">
        <v>1048</v>
      </c>
      <c r="I282" s="56" t="s">
        <v>1172</v>
      </c>
      <c r="J282" s="129">
        <v>46233</v>
      </c>
      <c r="K282" s="130">
        <v>0.63888888888888884</v>
      </c>
      <c r="L282" s="130">
        <v>0.64444444444444449</v>
      </c>
      <c r="M282" s="56" t="s">
        <v>1050</v>
      </c>
      <c r="N282" s="129">
        <v>46233</v>
      </c>
      <c r="O282" s="130">
        <v>0.64583333333333337</v>
      </c>
      <c r="P282" s="130">
        <v>0.63891203703703703</v>
      </c>
      <c r="Q282" s="56" t="s">
        <v>1050</v>
      </c>
      <c r="R282" s="56" t="s">
        <v>2286</v>
      </c>
      <c r="S282" s="56">
        <v>31</v>
      </c>
      <c r="T282" s="131">
        <v>5.5555555555556468E-3</v>
      </c>
      <c r="U282" s="130">
        <v>-6.921296296296342E-3</v>
      </c>
      <c r="V282" s="56" t="s">
        <v>1051</v>
      </c>
      <c r="W282" s="56" t="s">
        <v>1052</v>
      </c>
      <c r="X282" s="56" t="s">
        <v>1053</v>
      </c>
      <c r="Y282" s="56">
        <v>31</v>
      </c>
      <c r="Z282" s="56" t="s">
        <v>1054</v>
      </c>
      <c r="AA282" s="56" t="s">
        <v>1564</v>
      </c>
      <c r="AB282" s="56" t="s">
        <v>1565</v>
      </c>
      <c r="AC282" s="56" t="s">
        <v>1057</v>
      </c>
      <c r="AD282" s="56" t="s">
        <v>1566</v>
      </c>
      <c r="AE282" s="56" t="e">
        <v>#N/A</v>
      </c>
      <c r="AF282" s="56" t="s">
        <v>1237</v>
      </c>
      <c r="AG282" s="56" t="s">
        <v>2072</v>
      </c>
      <c r="AH282" s="56"/>
      <c r="AI282" s="56"/>
      <c r="AJ282" s="56"/>
      <c r="AK282" s="56"/>
      <c r="AL282" s="56"/>
      <c r="AM282" s="56"/>
      <c r="AN282" s="56"/>
      <c r="AO282" s="132"/>
      <c r="AP282" s="56"/>
      <c r="AQ282" s="131"/>
      <c r="AR282" s="130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</row>
    <row r="283" spans="1:56" x14ac:dyDescent="0.2">
      <c r="A283" s="56">
        <v>14122033</v>
      </c>
      <c r="B283" s="56">
        <v>175351958</v>
      </c>
      <c r="C283" s="56" t="s">
        <v>2071</v>
      </c>
      <c r="D283" s="56" t="s">
        <v>1563</v>
      </c>
      <c r="E283" s="56" t="s">
        <v>1047</v>
      </c>
      <c r="F283" s="56">
        <v>267</v>
      </c>
      <c r="G283" s="56">
        <v>7219</v>
      </c>
      <c r="H283" s="56" t="s">
        <v>1048</v>
      </c>
      <c r="I283" s="56" t="s">
        <v>1172</v>
      </c>
      <c r="J283" s="129">
        <v>46233</v>
      </c>
      <c r="K283" s="130">
        <v>0.63888888888888884</v>
      </c>
      <c r="L283" s="130">
        <v>0.64236111111111116</v>
      </c>
      <c r="M283" s="56" t="s">
        <v>1050</v>
      </c>
      <c r="N283" s="129">
        <v>46233</v>
      </c>
      <c r="O283" s="130">
        <v>0.64583333333333337</v>
      </c>
      <c r="P283" s="130">
        <v>0.64444444444444449</v>
      </c>
      <c r="Q283" s="56" t="s">
        <v>2217</v>
      </c>
      <c r="R283" s="56" t="s">
        <v>371</v>
      </c>
      <c r="S283" s="56">
        <v>31</v>
      </c>
      <c r="T283" s="131">
        <v>3.4722222222223209E-3</v>
      </c>
      <c r="U283" s="130">
        <v>-1.388888888888884E-3</v>
      </c>
      <c r="V283" s="56" t="s">
        <v>1051</v>
      </c>
      <c r="W283" s="56" t="s">
        <v>1052</v>
      </c>
      <c r="X283" s="56" t="s">
        <v>1053</v>
      </c>
      <c r="Y283" s="56">
        <v>31</v>
      </c>
      <c r="Z283" s="56" t="s">
        <v>1054</v>
      </c>
      <c r="AA283" s="56" t="s">
        <v>1564</v>
      </c>
      <c r="AB283" s="56" t="s">
        <v>1565</v>
      </c>
      <c r="AC283" s="56" t="s">
        <v>1057</v>
      </c>
      <c r="AD283" s="56" t="s">
        <v>1566</v>
      </c>
      <c r="AE283" s="56" t="e">
        <v>#N/A</v>
      </c>
      <c r="AF283" s="56" t="s">
        <v>1237</v>
      </c>
      <c r="AG283" s="56" t="s">
        <v>2072</v>
      </c>
      <c r="AH283" s="56"/>
      <c r="AI283" s="56"/>
      <c r="AJ283" s="56"/>
      <c r="AK283" s="56"/>
      <c r="AL283" s="56"/>
      <c r="AM283" s="56"/>
      <c r="AN283" s="56"/>
      <c r="AO283" s="132"/>
      <c r="AP283" s="56"/>
      <c r="AQ283" s="131"/>
      <c r="AR283" s="130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</row>
    <row r="284" spans="1:56" x14ac:dyDescent="0.2">
      <c r="A284" s="56">
        <v>14123920</v>
      </c>
      <c r="B284" s="56">
        <v>175347460</v>
      </c>
      <c r="C284" s="56" t="s">
        <v>2287</v>
      </c>
      <c r="D284" s="56" t="s">
        <v>1089</v>
      </c>
      <c r="E284" s="56" t="s">
        <v>1047</v>
      </c>
      <c r="F284" s="56">
        <v>27</v>
      </c>
      <c r="G284" s="56">
        <v>4432</v>
      </c>
      <c r="H284" s="56" t="s">
        <v>1048</v>
      </c>
      <c r="I284" s="56" t="s">
        <v>1090</v>
      </c>
      <c r="J284" s="129">
        <v>46233</v>
      </c>
      <c r="K284" s="130">
        <v>0.67708333333333337</v>
      </c>
      <c r="L284" s="130">
        <v>0.68541666666666667</v>
      </c>
      <c r="M284" s="56" t="s">
        <v>1050</v>
      </c>
      <c r="N284" s="129">
        <v>46233</v>
      </c>
      <c r="O284" s="130">
        <v>0.76736111111111116</v>
      </c>
      <c r="P284" s="130">
        <v>0.75173611111111116</v>
      </c>
      <c r="Q284" s="56" t="s">
        <v>1050</v>
      </c>
      <c r="R284" s="56" t="s">
        <v>993</v>
      </c>
      <c r="S284" s="56">
        <v>31</v>
      </c>
      <c r="T284" s="131">
        <v>8.3333333333333037E-3</v>
      </c>
      <c r="U284" s="130">
        <v>-1.5625E-2</v>
      </c>
      <c r="V284" s="56" t="s">
        <v>1051</v>
      </c>
      <c r="W284" s="56" t="s">
        <v>1052</v>
      </c>
      <c r="X284" s="56" t="s">
        <v>1053</v>
      </c>
      <c r="Y284" s="56">
        <v>31</v>
      </c>
      <c r="Z284" s="56" t="s">
        <v>1054</v>
      </c>
      <c r="AA284" s="56" t="s">
        <v>1091</v>
      </c>
      <c r="AB284" s="56" t="s">
        <v>1092</v>
      </c>
      <c r="AC284" s="56" t="s">
        <v>1078</v>
      </c>
      <c r="AD284" s="56" t="s">
        <v>1093</v>
      </c>
      <c r="AE284" s="56" t="s">
        <v>1094</v>
      </c>
      <c r="AF284" s="56" t="s">
        <v>1237</v>
      </c>
      <c r="AG284" s="56" t="s">
        <v>2288</v>
      </c>
      <c r="AH284" s="56"/>
      <c r="AI284" s="56"/>
      <c r="AJ284" s="56"/>
      <c r="AK284" s="56"/>
      <c r="AL284" s="56"/>
      <c r="AM284" s="56"/>
      <c r="AN284" s="56"/>
      <c r="AO284" s="132"/>
      <c r="AP284" s="56"/>
      <c r="AQ284" s="131"/>
      <c r="AR284" s="130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</row>
    <row r="285" spans="1:56" x14ac:dyDescent="0.2">
      <c r="A285" s="56">
        <v>14123473</v>
      </c>
      <c r="B285" s="56">
        <v>175347444</v>
      </c>
      <c r="C285" s="56" t="s">
        <v>1305</v>
      </c>
      <c r="D285" s="56" t="s">
        <v>1111</v>
      </c>
      <c r="E285" s="56" t="s">
        <v>1047</v>
      </c>
      <c r="F285" s="56">
        <v>19</v>
      </c>
      <c r="G285" s="56">
        <v>6906</v>
      </c>
      <c r="H285" s="56" t="s">
        <v>1048</v>
      </c>
      <c r="I285" s="56" t="s">
        <v>1090</v>
      </c>
      <c r="J285" s="129">
        <v>46233</v>
      </c>
      <c r="K285" s="130">
        <v>0.68402777777777779</v>
      </c>
      <c r="L285" s="130">
        <v>0.68888888888888888</v>
      </c>
      <c r="M285" s="56" t="s">
        <v>1050</v>
      </c>
      <c r="N285" s="129">
        <v>46233</v>
      </c>
      <c r="O285" s="130">
        <v>0.76736111111111116</v>
      </c>
      <c r="P285" s="130">
        <v>0.73989583333333331</v>
      </c>
      <c r="Q285" s="56" t="s">
        <v>1050</v>
      </c>
      <c r="R285" s="56" t="s">
        <v>514</v>
      </c>
      <c r="S285" s="56">
        <v>31</v>
      </c>
      <c r="T285" s="131">
        <v>4.8611111111110938E-3</v>
      </c>
      <c r="U285" s="130">
        <v>-2.7465277777777852E-2</v>
      </c>
      <c r="V285" s="56" t="s">
        <v>1051</v>
      </c>
      <c r="W285" s="56" t="s">
        <v>1052</v>
      </c>
      <c r="X285" s="56" t="s">
        <v>1053</v>
      </c>
      <c r="Y285" s="56">
        <v>31</v>
      </c>
      <c r="Z285" s="56" t="s">
        <v>1054</v>
      </c>
      <c r="AA285" s="56" t="s">
        <v>1112</v>
      </c>
      <c r="AB285" s="56" t="s">
        <v>1092</v>
      </c>
      <c r="AC285" s="56" t="s">
        <v>1078</v>
      </c>
      <c r="AD285" s="56" t="s">
        <v>1113</v>
      </c>
      <c r="AE285" s="56" t="s">
        <v>1114</v>
      </c>
      <c r="AF285" s="56" t="s">
        <v>1237</v>
      </c>
      <c r="AG285" s="56" t="s">
        <v>1306</v>
      </c>
      <c r="AH285" s="56"/>
      <c r="AI285" s="56"/>
      <c r="AJ285" s="56"/>
      <c r="AK285" s="56"/>
      <c r="AL285" s="56"/>
      <c r="AM285" s="56"/>
      <c r="AN285" s="56"/>
      <c r="AO285" s="132"/>
      <c r="AP285" s="56"/>
      <c r="AQ285" s="131"/>
      <c r="AR285" s="130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</row>
    <row r="286" spans="1:56" x14ac:dyDescent="0.2">
      <c r="A286" s="56"/>
      <c r="B286" s="56">
        <v>175326379</v>
      </c>
      <c r="C286" s="56" t="s">
        <v>2289</v>
      </c>
      <c r="D286" s="56" t="s">
        <v>2290</v>
      </c>
      <c r="E286" s="56" t="s">
        <v>1047</v>
      </c>
      <c r="F286" s="56">
        <v>3</v>
      </c>
      <c r="G286" s="56">
        <v>6384</v>
      </c>
      <c r="H286" s="56" t="s">
        <v>1048</v>
      </c>
      <c r="I286" s="56" t="s">
        <v>1407</v>
      </c>
      <c r="J286" s="129">
        <v>46233</v>
      </c>
      <c r="K286" s="130">
        <v>0.69097222222222221</v>
      </c>
      <c r="L286" s="130">
        <v>0.69930555555555551</v>
      </c>
      <c r="M286" s="56" t="s">
        <v>1050</v>
      </c>
      <c r="N286" s="129">
        <v>46233</v>
      </c>
      <c r="O286" s="130">
        <v>0.74305555555555558</v>
      </c>
      <c r="P286" s="130">
        <v>0.74375000000000002</v>
      </c>
      <c r="Q286" s="56" t="s">
        <v>1050</v>
      </c>
      <c r="R286" s="56"/>
      <c r="S286" s="56">
        <v>31</v>
      </c>
      <c r="T286" s="131">
        <v>8.3333333333333037E-3</v>
      </c>
      <c r="U286" s="130">
        <v>6.9444444444444198E-4</v>
      </c>
      <c r="V286" s="56" t="s">
        <v>1051</v>
      </c>
      <c r="W286" s="56" t="s">
        <v>1052</v>
      </c>
      <c r="X286" s="56" t="s">
        <v>1053</v>
      </c>
      <c r="Y286" s="56">
        <v>31</v>
      </c>
      <c r="Z286" s="56" t="s">
        <v>1054</v>
      </c>
      <c r="AA286" s="56" t="s">
        <v>2291</v>
      </c>
      <c r="AB286" s="56" t="s">
        <v>1257</v>
      </c>
      <c r="AC286" s="56" t="s">
        <v>1069</v>
      </c>
      <c r="AD286" s="56" t="s">
        <v>2292</v>
      </c>
      <c r="AE286" s="56" t="s">
        <v>2293</v>
      </c>
      <c r="AF286" s="56" t="s">
        <v>1060</v>
      </c>
      <c r="AG286" s="56" t="s">
        <v>2294</v>
      </c>
      <c r="AH286" s="56"/>
      <c r="AI286" s="56"/>
      <c r="AJ286" s="56"/>
      <c r="AK286" s="56"/>
      <c r="AL286" s="56"/>
      <c r="AM286" s="56"/>
      <c r="AN286" s="56"/>
      <c r="AO286" s="56"/>
      <c r="AP286" s="56"/>
      <c r="AQ286" s="131"/>
      <c r="AR286" s="130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</row>
    <row r="287" spans="1:56" x14ac:dyDescent="0.2">
      <c r="A287" s="56">
        <v>14116262</v>
      </c>
      <c r="B287" s="56">
        <v>175341721</v>
      </c>
      <c r="C287" s="56" t="s">
        <v>2295</v>
      </c>
      <c r="D287" s="56" t="s">
        <v>2296</v>
      </c>
      <c r="E287" s="56" t="s">
        <v>1047</v>
      </c>
      <c r="F287" s="56">
        <v>18</v>
      </c>
      <c r="G287" s="56">
        <v>11943</v>
      </c>
      <c r="H287" s="56" t="s">
        <v>1048</v>
      </c>
      <c r="I287" s="56" t="s">
        <v>1049</v>
      </c>
      <c r="J287" s="129">
        <v>46233</v>
      </c>
      <c r="K287" s="130">
        <v>0.70486111111111116</v>
      </c>
      <c r="L287" s="130">
        <v>0.7270833333333333</v>
      </c>
      <c r="M287" s="56" t="s">
        <v>1050</v>
      </c>
      <c r="N287" s="129">
        <v>46233</v>
      </c>
      <c r="O287" s="130">
        <v>0.76041666666666663</v>
      </c>
      <c r="P287" s="130">
        <v>0.75090277777777781</v>
      </c>
      <c r="Q287" s="56" t="s">
        <v>1050</v>
      </c>
      <c r="R287" s="56" t="s">
        <v>157</v>
      </c>
      <c r="S287" s="56">
        <v>31</v>
      </c>
      <c r="T287" s="131">
        <v>2.2222222222222143E-2</v>
      </c>
      <c r="U287" s="130">
        <v>-9.5138888888888218E-3</v>
      </c>
      <c r="V287" s="56" t="s">
        <v>1051</v>
      </c>
      <c r="W287" s="56" t="s">
        <v>1052</v>
      </c>
      <c r="X287" s="56" t="s">
        <v>1053</v>
      </c>
      <c r="Y287" s="56">
        <v>31</v>
      </c>
      <c r="Z287" s="56" t="s">
        <v>1054</v>
      </c>
      <c r="AA287" s="56" t="s">
        <v>2297</v>
      </c>
      <c r="AB287" s="56" t="s">
        <v>1056</v>
      </c>
      <c r="AC287" s="56" t="s">
        <v>1057</v>
      </c>
      <c r="AD287" s="56" t="s">
        <v>2298</v>
      </c>
      <c r="AE287" s="56" t="s">
        <v>2299</v>
      </c>
      <c r="AF287" s="56" t="s">
        <v>1237</v>
      </c>
      <c r="AG287" s="56" t="s">
        <v>2300</v>
      </c>
      <c r="AH287" s="56"/>
      <c r="AI287" s="56"/>
      <c r="AJ287" s="56"/>
      <c r="AK287" s="56"/>
      <c r="AL287" s="56"/>
      <c r="AM287" s="56"/>
      <c r="AN287" s="56"/>
      <c r="AO287" s="56"/>
      <c r="AP287" s="56"/>
      <c r="AQ287" s="131"/>
      <c r="AR287" s="130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</row>
    <row r="288" spans="1:56" x14ac:dyDescent="0.2">
      <c r="A288" s="56">
        <v>14123708</v>
      </c>
      <c r="B288" s="56">
        <v>175347564</v>
      </c>
      <c r="C288" s="56" t="s">
        <v>1315</v>
      </c>
      <c r="D288" s="56" t="s">
        <v>1316</v>
      </c>
      <c r="E288" s="56" t="s">
        <v>1047</v>
      </c>
      <c r="F288" s="56">
        <v>79</v>
      </c>
      <c r="G288" s="56">
        <v>6885</v>
      </c>
      <c r="H288" s="56" t="s">
        <v>1048</v>
      </c>
      <c r="I288" s="56" t="s">
        <v>1090</v>
      </c>
      <c r="J288" s="129">
        <v>46233</v>
      </c>
      <c r="K288" s="130">
        <v>0.70833333333333337</v>
      </c>
      <c r="L288" s="130">
        <v>0.71180555555555558</v>
      </c>
      <c r="M288" s="56" t="s">
        <v>1050</v>
      </c>
      <c r="N288" s="129">
        <v>46233</v>
      </c>
      <c r="O288" s="130">
        <v>0.76736111111111116</v>
      </c>
      <c r="P288" s="130">
        <v>0.74535879629629631</v>
      </c>
      <c r="Q288" s="56" t="s">
        <v>1050</v>
      </c>
      <c r="R288" s="56" t="s">
        <v>945</v>
      </c>
      <c r="S288" s="56">
        <v>31</v>
      </c>
      <c r="T288" s="131">
        <v>3.4722222222222099E-3</v>
      </c>
      <c r="U288" s="130">
        <v>-2.200231481481485E-2</v>
      </c>
      <c r="V288" s="56" t="s">
        <v>1051</v>
      </c>
      <c r="W288" s="56" t="s">
        <v>1052</v>
      </c>
      <c r="X288" s="56" t="s">
        <v>1053</v>
      </c>
      <c r="Y288" s="56">
        <v>31</v>
      </c>
      <c r="Z288" s="56" t="s">
        <v>1054</v>
      </c>
      <c r="AA288" s="56" t="s">
        <v>1317</v>
      </c>
      <c r="AB288" s="56" t="s">
        <v>1092</v>
      </c>
      <c r="AC288" s="56" t="s">
        <v>1078</v>
      </c>
      <c r="AD288" s="56" t="s">
        <v>1318</v>
      </c>
      <c r="AE288" s="56" t="s">
        <v>1319</v>
      </c>
      <c r="AF288" s="56" t="s">
        <v>1237</v>
      </c>
      <c r="AG288" s="56" t="s">
        <v>1320</v>
      </c>
      <c r="AH288" s="56"/>
      <c r="AI288" s="56"/>
      <c r="AJ288" s="56"/>
      <c r="AK288" s="56"/>
      <c r="AL288" s="56"/>
      <c r="AM288" s="56"/>
      <c r="AN288" s="56"/>
      <c r="AO288" s="56"/>
      <c r="AP288" s="56"/>
      <c r="AQ288" s="131"/>
      <c r="AR288" s="130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</row>
    <row r="289" spans="1:56" x14ac:dyDescent="0.2">
      <c r="A289" s="56">
        <v>14123845</v>
      </c>
      <c r="B289" s="56">
        <v>175348094</v>
      </c>
      <c r="C289" s="56" t="s">
        <v>2301</v>
      </c>
      <c r="D289" s="56" t="s">
        <v>2302</v>
      </c>
      <c r="E289" s="56" t="s">
        <v>1047</v>
      </c>
      <c r="F289" s="56">
        <v>87</v>
      </c>
      <c r="G289" s="56">
        <v>5160</v>
      </c>
      <c r="H289" s="56" t="s">
        <v>1048</v>
      </c>
      <c r="I289" s="56" t="s">
        <v>1090</v>
      </c>
      <c r="J289" s="129">
        <v>46233</v>
      </c>
      <c r="K289" s="130">
        <v>0.70833333333333337</v>
      </c>
      <c r="L289" s="130">
        <v>0.71180555555555558</v>
      </c>
      <c r="M289" s="56" t="s">
        <v>1050</v>
      </c>
      <c r="N289" s="129">
        <v>46233</v>
      </c>
      <c r="O289" s="130">
        <v>0.76736111111111116</v>
      </c>
      <c r="P289" s="130">
        <v>0.75133101851851847</v>
      </c>
      <c r="Q289" s="56" t="s">
        <v>1050</v>
      </c>
      <c r="R289" s="56" t="s">
        <v>2303</v>
      </c>
      <c r="S289" s="56">
        <v>31</v>
      </c>
      <c r="T289" s="131">
        <v>3.4722222222222099E-3</v>
      </c>
      <c r="U289" s="130">
        <v>-1.6030092592592693E-2</v>
      </c>
      <c r="V289" s="56" t="s">
        <v>1051</v>
      </c>
      <c r="W289" s="56" t="s">
        <v>1052</v>
      </c>
      <c r="X289" s="56" t="s">
        <v>1053</v>
      </c>
      <c r="Y289" s="56">
        <v>31</v>
      </c>
      <c r="Z289" s="56" t="s">
        <v>1054</v>
      </c>
      <c r="AA289" s="56" t="s">
        <v>2304</v>
      </c>
      <c r="AB289" s="56" t="s">
        <v>1092</v>
      </c>
      <c r="AC289" s="56" t="s">
        <v>1078</v>
      </c>
      <c r="AD289" s="56" t="s">
        <v>2305</v>
      </c>
      <c r="AE289" s="56" t="s">
        <v>2306</v>
      </c>
      <c r="AF289" s="56" t="s">
        <v>1237</v>
      </c>
      <c r="AG289" s="56" t="s">
        <v>2307</v>
      </c>
      <c r="AH289" s="56"/>
      <c r="AI289" s="56"/>
      <c r="AJ289" s="56"/>
      <c r="AK289" s="56"/>
      <c r="AL289" s="56"/>
      <c r="AM289" s="56"/>
      <c r="AN289" s="56"/>
      <c r="AO289" s="56"/>
      <c r="AP289" s="56"/>
      <c r="AQ289" s="131"/>
      <c r="AR289" s="130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</row>
    <row r="290" spans="1:56" x14ac:dyDescent="0.2">
      <c r="A290" s="56">
        <v>14123080</v>
      </c>
      <c r="B290" s="56">
        <v>175348142</v>
      </c>
      <c r="C290" s="56" t="s">
        <v>2081</v>
      </c>
      <c r="D290" s="56" t="s">
        <v>1445</v>
      </c>
      <c r="E290" s="56" t="s">
        <v>1047</v>
      </c>
      <c r="F290" s="56">
        <v>89</v>
      </c>
      <c r="G290" s="56">
        <v>4411</v>
      </c>
      <c r="H290" s="56" t="s">
        <v>1048</v>
      </c>
      <c r="I290" s="56" t="s">
        <v>1090</v>
      </c>
      <c r="J290" s="129">
        <v>46233</v>
      </c>
      <c r="K290" s="130">
        <v>0.70833333333333337</v>
      </c>
      <c r="L290" s="130">
        <v>0.71388888888888891</v>
      </c>
      <c r="M290" s="56" t="s">
        <v>1050</v>
      </c>
      <c r="N290" s="129">
        <v>46233</v>
      </c>
      <c r="O290" s="130">
        <v>0.76736111111111116</v>
      </c>
      <c r="P290" s="130">
        <v>0.75450231481481478</v>
      </c>
      <c r="Q290" s="56" t="s">
        <v>1050</v>
      </c>
      <c r="R290" s="56" t="s">
        <v>475</v>
      </c>
      <c r="S290" s="56">
        <v>31</v>
      </c>
      <c r="T290" s="131">
        <v>5.5555555555555358E-3</v>
      </c>
      <c r="U290" s="130">
        <v>-1.2858796296296382E-2</v>
      </c>
      <c r="V290" s="56" t="s">
        <v>1051</v>
      </c>
      <c r="W290" s="56" t="s">
        <v>1052</v>
      </c>
      <c r="X290" s="56" t="s">
        <v>1053</v>
      </c>
      <c r="Y290" s="56">
        <v>31</v>
      </c>
      <c r="Z290" s="56" t="s">
        <v>1054</v>
      </c>
      <c r="AA290" s="56" t="s">
        <v>1446</v>
      </c>
      <c r="AB290" s="56" t="s">
        <v>1092</v>
      </c>
      <c r="AC290" s="56" t="s">
        <v>1078</v>
      </c>
      <c r="AD290" s="56" t="s">
        <v>1447</v>
      </c>
      <c r="AE290" s="56" t="s">
        <v>1448</v>
      </c>
      <c r="AF290" s="56" t="s">
        <v>1237</v>
      </c>
      <c r="AG290" s="56" t="s">
        <v>2082</v>
      </c>
      <c r="AH290" s="56"/>
      <c r="AI290" s="56"/>
      <c r="AJ290" s="56"/>
      <c r="AK290" s="56"/>
      <c r="AL290" s="56"/>
      <c r="AM290" s="56"/>
      <c r="AN290" s="56"/>
      <c r="AO290" s="56"/>
      <c r="AP290" s="56"/>
      <c r="AQ290" s="131"/>
      <c r="AR290" s="130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</row>
    <row r="291" spans="1:56" x14ac:dyDescent="0.2">
      <c r="A291" s="56">
        <v>14120806</v>
      </c>
      <c r="B291" s="56">
        <v>175347576</v>
      </c>
      <c r="C291" s="56" t="s">
        <v>2308</v>
      </c>
      <c r="D291" s="56" t="s">
        <v>2309</v>
      </c>
      <c r="E291" s="56" t="s">
        <v>1047</v>
      </c>
      <c r="F291" s="56">
        <v>85</v>
      </c>
      <c r="G291" s="56">
        <v>4992</v>
      </c>
      <c r="H291" s="56" t="s">
        <v>1048</v>
      </c>
      <c r="I291" s="56" t="s">
        <v>1090</v>
      </c>
      <c r="J291" s="129">
        <v>46233</v>
      </c>
      <c r="K291" s="130">
        <v>0.71875</v>
      </c>
      <c r="L291" s="130">
        <v>0.72222222222222221</v>
      </c>
      <c r="M291" s="56" t="s">
        <v>1050</v>
      </c>
      <c r="N291" s="129">
        <v>46233</v>
      </c>
      <c r="O291" s="130">
        <v>0.76736111111111116</v>
      </c>
      <c r="P291" s="130">
        <v>0.74472222222222217</v>
      </c>
      <c r="Q291" s="56" t="s">
        <v>1050</v>
      </c>
      <c r="R291" s="56" t="s">
        <v>299</v>
      </c>
      <c r="S291" s="56">
        <v>31</v>
      </c>
      <c r="T291" s="131">
        <v>3.4722222222222099E-3</v>
      </c>
      <c r="U291" s="130">
        <v>-2.2638888888888986E-2</v>
      </c>
      <c r="V291" s="56" t="s">
        <v>1051</v>
      </c>
      <c r="W291" s="56" t="s">
        <v>1052</v>
      </c>
      <c r="X291" s="56" t="s">
        <v>1053</v>
      </c>
      <c r="Y291" s="56">
        <v>31</v>
      </c>
      <c r="Z291" s="56" t="s">
        <v>1054</v>
      </c>
      <c r="AA291" s="56" t="s">
        <v>2310</v>
      </c>
      <c r="AB291" s="56" t="s">
        <v>1092</v>
      </c>
      <c r="AC291" s="56" t="s">
        <v>1078</v>
      </c>
      <c r="AD291" s="56" t="s">
        <v>2311</v>
      </c>
      <c r="AE291" s="56" t="s">
        <v>2312</v>
      </c>
      <c r="AF291" s="56" t="s">
        <v>1237</v>
      </c>
      <c r="AG291" s="56" t="s">
        <v>2313</v>
      </c>
      <c r="AH291" s="56"/>
      <c r="AI291" s="56"/>
      <c r="AJ291" s="56"/>
      <c r="AK291" s="56"/>
      <c r="AL291" s="56"/>
      <c r="AM291" s="56"/>
      <c r="AN291" s="56"/>
      <c r="AO291" s="56"/>
      <c r="AP291" s="56"/>
      <c r="AQ291" s="131"/>
      <c r="AR291" s="130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</row>
    <row r="292" spans="1:56" x14ac:dyDescent="0.2">
      <c r="A292" s="56">
        <v>14103183</v>
      </c>
      <c r="B292" s="56">
        <v>175331597</v>
      </c>
      <c r="C292" s="56" t="s">
        <v>1338</v>
      </c>
      <c r="D292" s="56" t="s">
        <v>1339</v>
      </c>
      <c r="E292" s="56" t="s">
        <v>1047</v>
      </c>
      <c r="F292" s="56">
        <v>1</v>
      </c>
      <c r="G292" s="56">
        <v>15313</v>
      </c>
      <c r="H292" s="56" t="s">
        <v>1048</v>
      </c>
      <c r="I292" s="56" t="s">
        <v>1340</v>
      </c>
      <c r="J292" s="129">
        <v>46233</v>
      </c>
      <c r="K292" s="130">
        <v>0.86805555555555558</v>
      </c>
      <c r="L292" s="130">
        <v>0.87222222222222223</v>
      </c>
      <c r="M292" s="56" t="s">
        <v>1050</v>
      </c>
      <c r="N292" s="129">
        <v>46233</v>
      </c>
      <c r="O292" s="130">
        <v>0.88888888888888884</v>
      </c>
      <c r="P292" s="130">
        <v>0.8833333333333333</v>
      </c>
      <c r="Q292" s="56" t="s">
        <v>1050</v>
      </c>
      <c r="R292" s="56" t="s">
        <v>35</v>
      </c>
      <c r="S292" s="56">
        <v>31</v>
      </c>
      <c r="T292" s="131">
        <v>4.1666666666666519E-3</v>
      </c>
      <c r="U292" s="130">
        <v>-5.5555555555555358E-3</v>
      </c>
      <c r="V292" s="56" t="s">
        <v>1051</v>
      </c>
      <c r="W292" s="56" t="s">
        <v>1052</v>
      </c>
      <c r="X292" s="56" t="s">
        <v>1053</v>
      </c>
      <c r="Y292" s="56">
        <v>31</v>
      </c>
      <c r="Z292" s="56" t="s">
        <v>1054</v>
      </c>
      <c r="AA292" s="56" t="s">
        <v>1341</v>
      </c>
      <c r="AB292" s="56" t="s">
        <v>1342</v>
      </c>
      <c r="AC292" s="56" t="s">
        <v>1069</v>
      </c>
      <c r="AD292" s="56" t="s">
        <v>1343</v>
      </c>
      <c r="AE292" s="56" t="s">
        <v>1344</v>
      </c>
      <c r="AF292" s="56" t="s">
        <v>1336</v>
      </c>
      <c r="AG292" s="56" t="s">
        <v>1345</v>
      </c>
      <c r="AH292" s="56"/>
      <c r="AI292" s="56"/>
      <c r="AJ292" s="56"/>
      <c r="AK292" s="56"/>
      <c r="AL292" s="56"/>
      <c r="AM292" s="56"/>
      <c r="AN292" s="56"/>
      <c r="AO292" s="56"/>
      <c r="AP292" s="56"/>
      <c r="AQ292" s="131"/>
      <c r="AR292" s="130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</row>
    <row r="293" spans="1:56" x14ac:dyDescent="0.2">
      <c r="A293" s="56">
        <v>14105645</v>
      </c>
      <c r="B293" s="56">
        <v>175333121</v>
      </c>
      <c r="C293" s="56" t="s">
        <v>2314</v>
      </c>
      <c r="D293" s="56" t="s">
        <v>1191</v>
      </c>
      <c r="E293" s="56" t="s">
        <v>1047</v>
      </c>
      <c r="F293" s="56">
        <v>49</v>
      </c>
      <c r="G293" s="56">
        <v>4487</v>
      </c>
      <c r="H293" s="56" t="s">
        <v>1048</v>
      </c>
      <c r="I293" s="56" t="s">
        <v>1192</v>
      </c>
      <c r="J293" s="129">
        <v>46233</v>
      </c>
      <c r="K293" s="130">
        <v>0.86805555555555558</v>
      </c>
      <c r="L293" s="130">
        <v>0.8833333333333333</v>
      </c>
      <c r="M293" s="56" t="s">
        <v>1050</v>
      </c>
      <c r="N293" s="129">
        <v>46233</v>
      </c>
      <c r="O293" s="130">
        <v>0.90277777777777779</v>
      </c>
      <c r="P293" s="130">
        <v>0.90972222222222221</v>
      </c>
      <c r="Q293" s="56" t="s">
        <v>1050</v>
      </c>
      <c r="R293" s="56" t="s">
        <v>160</v>
      </c>
      <c r="S293" s="56">
        <v>31</v>
      </c>
      <c r="T293" s="131">
        <v>1.5277777777777724E-2</v>
      </c>
      <c r="U293" s="130">
        <v>6.9444444444444198E-3</v>
      </c>
      <c r="V293" s="56" t="s">
        <v>1051</v>
      </c>
      <c r="W293" s="56" t="s">
        <v>1065</v>
      </c>
      <c r="X293" s="56" t="s">
        <v>1066</v>
      </c>
      <c r="Y293" s="56">
        <v>31</v>
      </c>
      <c r="Z293" s="56" t="s">
        <v>1054</v>
      </c>
      <c r="AA293" s="56" t="s">
        <v>1193</v>
      </c>
      <c r="AB293" s="56" t="s">
        <v>1194</v>
      </c>
      <c r="AC293" s="56" t="s">
        <v>1057</v>
      </c>
      <c r="AD293" s="56" t="s">
        <v>1195</v>
      </c>
      <c r="AE293" s="56" t="s">
        <v>1196</v>
      </c>
      <c r="AF293" s="56" t="s">
        <v>1336</v>
      </c>
      <c r="AG293" s="56" t="s">
        <v>2315</v>
      </c>
      <c r="AH293" s="56"/>
      <c r="AI293" s="56"/>
      <c r="AJ293" s="56"/>
      <c r="AK293" s="56"/>
      <c r="AL293" s="56"/>
      <c r="AM293" s="56"/>
      <c r="AN293" s="56"/>
      <c r="AO293" s="56"/>
      <c r="AP293" s="56"/>
      <c r="AQ293" s="131"/>
      <c r="AR293" s="130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</row>
    <row r="294" spans="1:56" x14ac:dyDescent="0.2">
      <c r="A294" s="56">
        <v>14122320</v>
      </c>
      <c r="B294" s="56">
        <v>175335874</v>
      </c>
      <c r="C294" s="56" t="s">
        <v>1346</v>
      </c>
      <c r="D294" s="56" t="s">
        <v>1347</v>
      </c>
      <c r="E294" s="56" t="s">
        <v>1047</v>
      </c>
      <c r="F294" s="56">
        <v>42</v>
      </c>
      <c r="G294" s="56">
        <v>6983</v>
      </c>
      <c r="H294" s="56" t="s">
        <v>1048</v>
      </c>
      <c r="I294" s="56" t="s">
        <v>1118</v>
      </c>
      <c r="J294" s="129">
        <v>46233</v>
      </c>
      <c r="K294" s="130">
        <v>0.86805555555555558</v>
      </c>
      <c r="L294" s="130">
        <v>0.9916666666666667</v>
      </c>
      <c r="M294" s="56" t="s">
        <v>1050</v>
      </c>
      <c r="N294" s="129">
        <v>46233</v>
      </c>
      <c r="O294" s="130">
        <v>0.93402777777777779</v>
      </c>
      <c r="P294" s="56"/>
      <c r="Q294" s="56" t="s">
        <v>1286</v>
      </c>
      <c r="R294" s="56" t="s">
        <v>405</v>
      </c>
      <c r="S294" s="56">
        <v>31</v>
      </c>
      <c r="T294" s="131">
        <v>0.12361111111111112</v>
      </c>
      <c r="U294" s="130">
        <v>-0.93402777777777779</v>
      </c>
      <c r="V294" s="56" t="s">
        <v>1051</v>
      </c>
      <c r="W294" s="56" t="s">
        <v>1052</v>
      </c>
      <c r="X294" s="56" t="s">
        <v>1053</v>
      </c>
      <c r="Y294" s="56">
        <v>31</v>
      </c>
      <c r="Z294" s="56" t="s">
        <v>1054</v>
      </c>
      <c r="AA294" s="56" t="s">
        <v>1348</v>
      </c>
      <c r="AB294" s="56" t="s">
        <v>1120</v>
      </c>
      <c r="AC294" s="56" t="s">
        <v>1078</v>
      </c>
      <c r="AD294" s="56" t="s">
        <v>1349</v>
      </c>
      <c r="AE294" s="56" t="s">
        <v>1350</v>
      </c>
      <c r="AF294" s="56" t="s">
        <v>1336</v>
      </c>
      <c r="AG294" s="56" t="s">
        <v>1351</v>
      </c>
      <c r="AH294" s="56"/>
      <c r="AI294" s="56"/>
      <c r="AJ294" s="56"/>
      <c r="AK294" s="56"/>
      <c r="AL294" s="56"/>
      <c r="AM294" s="56"/>
      <c r="AN294" s="56"/>
      <c r="AO294" s="56"/>
      <c r="AP294" s="56"/>
      <c r="AQ294" s="131"/>
      <c r="AR294" s="130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</row>
    <row r="295" spans="1:56" x14ac:dyDescent="0.2">
      <c r="A295" s="56">
        <v>14113198</v>
      </c>
      <c r="B295" s="56">
        <v>175339579</v>
      </c>
      <c r="C295" s="56" t="s">
        <v>2087</v>
      </c>
      <c r="D295" s="56" t="s">
        <v>1392</v>
      </c>
      <c r="E295" s="56" t="s">
        <v>1047</v>
      </c>
      <c r="F295" s="56">
        <v>7</v>
      </c>
      <c r="G295" s="56">
        <v>15765</v>
      </c>
      <c r="H295" s="56" t="s">
        <v>1048</v>
      </c>
      <c r="I295" s="56" t="s">
        <v>1064</v>
      </c>
      <c r="J295" s="129">
        <v>46233</v>
      </c>
      <c r="K295" s="130">
        <v>0.86805555555555558</v>
      </c>
      <c r="L295" s="130">
        <v>0.87222222222222223</v>
      </c>
      <c r="M295" s="56" t="s">
        <v>1050</v>
      </c>
      <c r="N295" s="129">
        <v>46233</v>
      </c>
      <c r="O295" s="130">
        <v>0.91666666666666663</v>
      </c>
      <c r="P295" s="130">
        <v>0.9145833333333333</v>
      </c>
      <c r="Q295" s="56" t="s">
        <v>1050</v>
      </c>
      <c r="R295" s="56" t="s">
        <v>1393</v>
      </c>
      <c r="S295" s="56">
        <v>31</v>
      </c>
      <c r="T295" s="131">
        <v>4.1666666666666519E-3</v>
      </c>
      <c r="U295" s="130">
        <v>-2.0833333333333259E-3</v>
      </c>
      <c r="V295" s="56" t="s">
        <v>1051</v>
      </c>
      <c r="W295" s="56" t="s">
        <v>1052</v>
      </c>
      <c r="X295" s="56" t="s">
        <v>1053</v>
      </c>
      <c r="Y295" s="56">
        <v>31</v>
      </c>
      <c r="Z295" s="56" t="s">
        <v>1054</v>
      </c>
      <c r="AA295" s="56" t="s">
        <v>1394</v>
      </c>
      <c r="AB295" s="56" t="s">
        <v>1068</v>
      </c>
      <c r="AC295" s="56" t="s">
        <v>1069</v>
      </c>
      <c r="AD295" s="56" t="s">
        <v>1395</v>
      </c>
      <c r="AE295" s="56" t="s">
        <v>1396</v>
      </c>
      <c r="AF295" s="56" t="s">
        <v>1336</v>
      </c>
      <c r="AG295" s="56" t="s">
        <v>2088</v>
      </c>
      <c r="AH295" s="56"/>
      <c r="AI295" s="56"/>
      <c r="AJ295" s="56"/>
      <c r="AK295" s="56"/>
      <c r="AL295" s="56"/>
      <c r="AM295" s="56"/>
      <c r="AN295" s="56"/>
      <c r="AO295" s="56"/>
      <c r="AP295" s="56"/>
      <c r="AQ295" s="131"/>
      <c r="AR295" s="130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</row>
    <row r="296" spans="1:56" x14ac:dyDescent="0.2">
      <c r="A296" s="56">
        <v>14103106</v>
      </c>
      <c r="B296" s="56">
        <v>175335725</v>
      </c>
      <c r="C296" s="56" t="s">
        <v>1352</v>
      </c>
      <c r="D296" s="56" t="s">
        <v>1117</v>
      </c>
      <c r="E296" s="56" t="s">
        <v>1047</v>
      </c>
      <c r="F296" s="56">
        <v>28</v>
      </c>
      <c r="G296" s="56">
        <v>16733</v>
      </c>
      <c r="H296" s="56" t="s">
        <v>1048</v>
      </c>
      <c r="I296" s="56" t="s">
        <v>1118</v>
      </c>
      <c r="J296" s="129">
        <v>46233</v>
      </c>
      <c r="K296" s="130">
        <v>0.87152777777777779</v>
      </c>
      <c r="L296" s="130">
        <v>0.875</v>
      </c>
      <c r="M296" s="56" t="s">
        <v>1050</v>
      </c>
      <c r="N296" s="129">
        <v>46233</v>
      </c>
      <c r="O296" s="130">
        <v>0.93402777777777779</v>
      </c>
      <c r="P296" s="130">
        <v>0.92152777777777772</v>
      </c>
      <c r="Q296" s="56" t="s">
        <v>1050</v>
      </c>
      <c r="R296" s="56" t="s">
        <v>34</v>
      </c>
      <c r="S296" s="56">
        <v>31</v>
      </c>
      <c r="T296" s="131">
        <v>3.4722222222222099E-3</v>
      </c>
      <c r="U296" s="130">
        <v>-1.2500000000000067E-2</v>
      </c>
      <c r="V296" s="56" t="s">
        <v>1051</v>
      </c>
      <c r="W296" s="56" t="s">
        <v>1052</v>
      </c>
      <c r="X296" s="56" t="s">
        <v>1053</v>
      </c>
      <c r="Y296" s="56">
        <v>31</v>
      </c>
      <c r="Z296" s="56" t="s">
        <v>1054</v>
      </c>
      <c r="AA296" s="56" t="s">
        <v>1119</v>
      </c>
      <c r="AB296" s="56" t="s">
        <v>1120</v>
      </c>
      <c r="AC296" s="56" t="s">
        <v>1078</v>
      </c>
      <c r="AD296" s="56" t="s">
        <v>1121</v>
      </c>
      <c r="AE296" s="56" t="s">
        <v>1122</v>
      </c>
      <c r="AF296" s="56" t="s">
        <v>1336</v>
      </c>
      <c r="AG296" s="56" t="s">
        <v>1353</v>
      </c>
      <c r="AH296" s="56"/>
      <c r="AI296" s="56"/>
      <c r="AJ296" s="56"/>
      <c r="AK296" s="56"/>
      <c r="AL296" s="56"/>
      <c r="AM296" s="56"/>
      <c r="AN296" s="56"/>
      <c r="AO296" s="56"/>
      <c r="AP296" s="56"/>
      <c r="AQ296" s="131"/>
      <c r="AR296" s="130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</row>
    <row r="297" spans="1:56" x14ac:dyDescent="0.2">
      <c r="A297" s="56">
        <v>14115917</v>
      </c>
      <c r="B297" s="56">
        <v>175335686</v>
      </c>
      <c r="C297" s="56" t="s">
        <v>2316</v>
      </c>
      <c r="D297" s="56" t="s">
        <v>2317</v>
      </c>
      <c r="E297" s="56" t="s">
        <v>1047</v>
      </c>
      <c r="F297" s="56">
        <v>13</v>
      </c>
      <c r="G297" s="56">
        <v>16785</v>
      </c>
      <c r="H297" s="56" t="s">
        <v>1048</v>
      </c>
      <c r="I297" s="56" t="s">
        <v>1118</v>
      </c>
      <c r="J297" s="129">
        <v>46233</v>
      </c>
      <c r="K297" s="130">
        <v>0.87291666666666667</v>
      </c>
      <c r="L297" s="130">
        <v>0.87708333333333333</v>
      </c>
      <c r="M297" s="56" t="s">
        <v>1050</v>
      </c>
      <c r="N297" s="129">
        <v>46233</v>
      </c>
      <c r="O297" s="130">
        <v>0.93402777777777779</v>
      </c>
      <c r="P297" s="130">
        <v>0.92152777777777772</v>
      </c>
      <c r="Q297" s="56" t="s">
        <v>1050</v>
      </c>
      <c r="R297" s="56" t="s">
        <v>2178</v>
      </c>
      <c r="S297" s="56">
        <v>31</v>
      </c>
      <c r="T297" s="131">
        <v>4.1666666666666519E-3</v>
      </c>
      <c r="U297" s="130">
        <v>-1.2500000000000067E-2</v>
      </c>
      <c r="V297" s="56" t="s">
        <v>1051</v>
      </c>
      <c r="W297" s="56" t="s">
        <v>1052</v>
      </c>
      <c r="X297" s="56" t="s">
        <v>1053</v>
      </c>
      <c r="Y297" s="56">
        <v>31</v>
      </c>
      <c r="Z297" s="56" t="s">
        <v>1054</v>
      </c>
      <c r="AA297" s="56" t="s">
        <v>2318</v>
      </c>
      <c r="AB297" s="56" t="s">
        <v>1120</v>
      </c>
      <c r="AC297" s="56" t="s">
        <v>1078</v>
      </c>
      <c r="AD297" s="56" t="s">
        <v>2319</v>
      </c>
      <c r="AE297" s="56" t="s">
        <v>2320</v>
      </c>
      <c r="AF297" s="56" t="s">
        <v>1336</v>
      </c>
      <c r="AG297" s="56" t="s">
        <v>2321</v>
      </c>
      <c r="AH297" s="56"/>
      <c r="AI297" s="56"/>
      <c r="AJ297" s="56"/>
      <c r="AK297" s="56"/>
      <c r="AL297" s="56"/>
      <c r="AM297" s="56"/>
      <c r="AN297" s="56"/>
      <c r="AO297" s="56"/>
      <c r="AP297" s="56"/>
      <c r="AQ297" s="131"/>
      <c r="AR297" s="130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</row>
    <row r="298" spans="1:56" x14ac:dyDescent="0.2">
      <c r="A298" s="56">
        <v>14113056</v>
      </c>
      <c r="B298" s="56">
        <v>175343349</v>
      </c>
      <c r="C298" s="56" t="s">
        <v>2322</v>
      </c>
      <c r="D298" s="56" t="s">
        <v>2323</v>
      </c>
      <c r="E298" s="56" t="s">
        <v>1047</v>
      </c>
      <c r="F298" s="56">
        <v>49</v>
      </c>
      <c r="G298" s="56">
        <v>5424</v>
      </c>
      <c r="H298" s="56" t="s">
        <v>1048</v>
      </c>
      <c r="I298" s="56" t="s">
        <v>1158</v>
      </c>
      <c r="J298" s="129">
        <v>46233</v>
      </c>
      <c r="K298" s="130">
        <v>0.87847222222222221</v>
      </c>
      <c r="L298" s="130">
        <v>0.93680555555555556</v>
      </c>
      <c r="M298" s="56" t="s">
        <v>1050</v>
      </c>
      <c r="N298" s="129">
        <v>46233</v>
      </c>
      <c r="O298" s="130">
        <v>0.90625</v>
      </c>
      <c r="P298" s="130">
        <v>0</v>
      </c>
      <c r="Q298" s="56" t="s">
        <v>1367</v>
      </c>
      <c r="R298" s="56" t="s">
        <v>234</v>
      </c>
      <c r="S298" s="56">
        <v>31</v>
      </c>
      <c r="T298" s="131">
        <v>5.8333333333333348E-2</v>
      </c>
      <c r="U298" s="130">
        <v>-0.90625</v>
      </c>
      <c r="V298" s="56" t="s">
        <v>1051</v>
      </c>
      <c r="W298" s="56" t="s">
        <v>1052</v>
      </c>
      <c r="X298" s="56" t="s">
        <v>1053</v>
      </c>
      <c r="Y298" s="56">
        <v>31</v>
      </c>
      <c r="Z298" s="56" t="s">
        <v>1054</v>
      </c>
      <c r="AA298" s="56" t="s">
        <v>2324</v>
      </c>
      <c r="AB298" s="56" t="s">
        <v>1160</v>
      </c>
      <c r="AC298" s="56" t="s">
        <v>1069</v>
      </c>
      <c r="AD298" s="56" t="s">
        <v>2325</v>
      </c>
      <c r="AE298" s="56" t="s">
        <v>2326</v>
      </c>
      <c r="AF298" s="56" t="s">
        <v>1336</v>
      </c>
      <c r="AG298" s="56" t="s">
        <v>2327</v>
      </c>
      <c r="AH298" s="56"/>
      <c r="AI298" s="56"/>
      <c r="AJ298" s="56"/>
      <c r="AK298" s="56"/>
      <c r="AL298" s="56"/>
      <c r="AM298" s="56"/>
      <c r="AN298" s="56"/>
      <c r="AO298" s="56"/>
      <c r="AP298" s="56"/>
      <c r="AQ298" s="131"/>
      <c r="AR298" s="130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</row>
    <row r="299" spans="1:56" x14ac:dyDescent="0.2">
      <c r="A299" s="56">
        <v>14104316</v>
      </c>
      <c r="B299" s="56">
        <v>175346067</v>
      </c>
      <c r="C299" s="56" t="s">
        <v>1803</v>
      </c>
      <c r="D299" s="56" t="s">
        <v>1804</v>
      </c>
      <c r="E299" s="56" t="s">
        <v>1047</v>
      </c>
      <c r="F299" s="56">
        <v>74</v>
      </c>
      <c r="G299" s="56">
        <v>17354</v>
      </c>
      <c r="H299" s="56" t="s">
        <v>1048</v>
      </c>
      <c r="I299" s="56" t="s">
        <v>1118</v>
      </c>
      <c r="J299" s="129">
        <v>46233</v>
      </c>
      <c r="K299" s="130">
        <v>0.87847222222222221</v>
      </c>
      <c r="L299" s="130">
        <v>0.88194444444444442</v>
      </c>
      <c r="M299" s="56" t="s">
        <v>1050</v>
      </c>
      <c r="N299" s="129">
        <v>46233</v>
      </c>
      <c r="O299" s="130">
        <v>0.93402777777777779</v>
      </c>
      <c r="P299" s="130">
        <v>0.91874999999999996</v>
      </c>
      <c r="Q299" s="56" t="s">
        <v>1050</v>
      </c>
      <c r="R299" s="56" t="s">
        <v>39</v>
      </c>
      <c r="S299" s="56">
        <v>31</v>
      </c>
      <c r="T299" s="131">
        <v>3.4722222222222099E-3</v>
      </c>
      <c r="U299" s="130">
        <v>-1.5277777777777835E-2</v>
      </c>
      <c r="V299" s="56" t="s">
        <v>1051</v>
      </c>
      <c r="W299" s="56" t="s">
        <v>1052</v>
      </c>
      <c r="X299" s="56" t="s">
        <v>1053</v>
      </c>
      <c r="Y299" s="56">
        <v>31</v>
      </c>
      <c r="Z299" s="56" t="s">
        <v>1054</v>
      </c>
      <c r="AA299" s="56" t="s">
        <v>1805</v>
      </c>
      <c r="AB299" s="56" t="s">
        <v>1120</v>
      </c>
      <c r="AC299" s="56" t="s">
        <v>1078</v>
      </c>
      <c r="AD299" s="56" t="s">
        <v>1806</v>
      </c>
      <c r="AE299" s="56" t="s">
        <v>1807</v>
      </c>
      <c r="AF299" s="56" t="s">
        <v>1336</v>
      </c>
      <c r="AG299" s="56" t="s">
        <v>1808</v>
      </c>
      <c r="AH299" s="56"/>
      <c r="AI299" s="56"/>
      <c r="AJ299" s="56"/>
      <c r="AK299" s="56"/>
      <c r="AL299" s="56"/>
      <c r="AM299" s="56"/>
      <c r="AN299" s="56"/>
      <c r="AO299" s="56"/>
      <c r="AP299" s="56"/>
      <c r="AQ299" s="131"/>
      <c r="AR299" s="130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</row>
    <row r="300" spans="1:56" x14ac:dyDescent="0.2">
      <c r="A300" s="56">
        <v>14122329</v>
      </c>
      <c r="B300" s="56">
        <v>175346918</v>
      </c>
      <c r="C300" s="56" t="s">
        <v>2328</v>
      </c>
      <c r="D300" s="56" t="s">
        <v>2329</v>
      </c>
      <c r="E300" s="56" t="s">
        <v>1047</v>
      </c>
      <c r="F300" s="56">
        <v>82</v>
      </c>
      <c r="G300" s="56">
        <v>5425</v>
      </c>
      <c r="H300" s="56" t="s">
        <v>1048</v>
      </c>
      <c r="I300" s="56" t="s">
        <v>1118</v>
      </c>
      <c r="J300" s="129">
        <v>46233</v>
      </c>
      <c r="K300" s="130">
        <v>0.88402777777777775</v>
      </c>
      <c r="L300" s="130">
        <v>0.88888888888888884</v>
      </c>
      <c r="M300" s="56" t="s">
        <v>1050</v>
      </c>
      <c r="N300" s="129">
        <v>46233</v>
      </c>
      <c r="O300" s="130">
        <v>0.93402777777777779</v>
      </c>
      <c r="P300" s="130">
        <v>0.92638888888888893</v>
      </c>
      <c r="Q300" s="56" t="s">
        <v>1050</v>
      </c>
      <c r="R300" s="56" t="s">
        <v>406</v>
      </c>
      <c r="S300" s="56">
        <v>31</v>
      </c>
      <c r="T300" s="131">
        <v>4.8611111111110938E-3</v>
      </c>
      <c r="U300" s="130">
        <v>-7.6388888888888618E-3</v>
      </c>
      <c r="V300" s="56" t="s">
        <v>1051</v>
      </c>
      <c r="W300" s="56" t="s">
        <v>1052</v>
      </c>
      <c r="X300" s="56" t="s">
        <v>1053</v>
      </c>
      <c r="Y300" s="56">
        <v>31</v>
      </c>
      <c r="Z300" s="56" t="s">
        <v>1054</v>
      </c>
      <c r="AA300" s="56" t="s">
        <v>2330</v>
      </c>
      <c r="AB300" s="56" t="s">
        <v>1120</v>
      </c>
      <c r="AC300" s="56" t="s">
        <v>1078</v>
      </c>
      <c r="AD300" s="56" t="s">
        <v>2331</v>
      </c>
      <c r="AE300" s="56" t="s">
        <v>2332</v>
      </c>
      <c r="AF300" s="56" t="s">
        <v>1336</v>
      </c>
      <c r="AG300" s="56" t="s">
        <v>2333</v>
      </c>
      <c r="AH300" s="56"/>
      <c r="AI300" s="56"/>
      <c r="AJ300" s="56"/>
      <c r="AK300" s="56"/>
      <c r="AL300" s="56"/>
      <c r="AM300" s="56"/>
      <c r="AN300" s="56"/>
      <c r="AO300" s="56"/>
      <c r="AP300" s="56"/>
      <c r="AQ300" s="131"/>
      <c r="AR300" s="130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</row>
    <row r="301" spans="1:56" x14ac:dyDescent="0.2">
      <c r="A301" s="56">
        <v>14122709</v>
      </c>
      <c r="B301" s="56">
        <v>175338331</v>
      </c>
      <c r="C301" s="56" t="s">
        <v>2334</v>
      </c>
      <c r="D301" s="56" t="s">
        <v>2335</v>
      </c>
      <c r="E301" s="56" t="s">
        <v>1047</v>
      </c>
      <c r="F301" s="56">
        <v>424</v>
      </c>
      <c r="G301" s="56">
        <v>16003</v>
      </c>
      <c r="H301" s="56" t="s">
        <v>1048</v>
      </c>
      <c r="I301" s="56" t="s">
        <v>1075</v>
      </c>
      <c r="J301" s="129">
        <v>46233</v>
      </c>
      <c r="K301" s="130">
        <v>0.88541666666666663</v>
      </c>
      <c r="L301" s="130">
        <v>0.89027777777777772</v>
      </c>
      <c r="M301" s="56" t="s">
        <v>1050</v>
      </c>
      <c r="N301" s="129">
        <v>46233</v>
      </c>
      <c r="O301" s="130">
        <v>0.93402777777777779</v>
      </c>
      <c r="P301" s="130">
        <v>0.93888888888888888</v>
      </c>
      <c r="Q301" s="56" t="s">
        <v>1050</v>
      </c>
      <c r="R301" s="56" t="s">
        <v>441</v>
      </c>
      <c r="S301" s="56">
        <v>31</v>
      </c>
      <c r="T301" s="131">
        <v>4.8611111111110938E-3</v>
      </c>
      <c r="U301" s="130">
        <v>4.8611111111110938E-3</v>
      </c>
      <c r="V301" s="56" t="s">
        <v>1051</v>
      </c>
      <c r="W301" s="56" t="s">
        <v>1065</v>
      </c>
      <c r="X301" s="56" t="s">
        <v>1066</v>
      </c>
      <c r="Y301" s="56">
        <v>31</v>
      </c>
      <c r="Z301" s="56" t="s">
        <v>1054</v>
      </c>
      <c r="AA301" s="56" t="s">
        <v>2336</v>
      </c>
      <c r="AB301" s="56" t="s">
        <v>1077</v>
      </c>
      <c r="AC301" s="56" t="s">
        <v>1078</v>
      </c>
      <c r="AD301" s="56" t="s">
        <v>2337</v>
      </c>
      <c r="AE301" s="56" t="s">
        <v>2338</v>
      </c>
      <c r="AF301" s="56" t="s">
        <v>1336</v>
      </c>
      <c r="AG301" s="56" t="s">
        <v>2339</v>
      </c>
      <c r="AH301" s="56"/>
      <c r="AI301" s="56"/>
      <c r="AJ301" s="56"/>
      <c r="AK301" s="56"/>
      <c r="AL301" s="56"/>
      <c r="AM301" s="56"/>
      <c r="AN301" s="56"/>
      <c r="AO301" s="56"/>
      <c r="AP301" s="56"/>
      <c r="AQ301" s="131"/>
      <c r="AR301" s="130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</row>
    <row r="302" spans="1:56" x14ac:dyDescent="0.2">
      <c r="A302" s="56">
        <v>14118811</v>
      </c>
      <c r="B302" s="56">
        <v>175347377</v>
      </c>
      <c r="C302" s="56" t="s">
        <v>1827</v>
      </c>
      <c r="D302" s="56" t="s">
        <v>1828</v>
      </c>
      <c r="E302" s="56" t="s">
        <v>1047</v>
      </c>
      <c r="F302" s="56">
        <v>87</v>
      </c>
      <c r="G302" s="56">
        <v>6158</v>
      </c>
      <c r="H302" s="56" t="s">
        <v>1048</v>
      </c>
      <c r="I302" s="56" t="s">
        <v>1118</v>
      </c>
      <c r="J302" s="129">
        <v>46233</v>
      </c>
      <c r="K302" s="130">
        <v>0.88541666666666663</v>
      </c>
      <c r="L302" s="130">
        <v>0.91805555555555551</v>
      </c>
      <c r="M302" s="56" t="s">
        <v>1050</v>
      </c>
      <c r="N302" s="129">
        <v>46233</v>
      </c>
      <c r="O302" s="130">
        <v>0.93402777777777779</v>
      </c>
      <c r="P302" s="130">
        <v>0.9243055555555556</v>
      </c>
      <c r="Q302" s="56" t="s">
        <v>1050</v>
      </c>
      <c r="R302" s="56" t="s">
        <v>214</v>
      </c>
      <c r="S302" s="56">
        <v>31</v>
      </c>
      <c r="T302" s="131">
        <v>3.2638888888888884E-2</v>
      </c>
      <c r="U302" s="130">
        <v>-9.7222222222221877E-3</v>
      </c>
      <c r="V302" s="56" t="s">
        <v>1051</v>
      </c>
      <c r="W302" s="56" t="s">
        <v>1052</v>
      </c>
      <c r="X302" s="56" t="s">
        <v>1053</v>
      </c>
      <c r="Y302" s="56">
        <v>31</v>
      </c>
      <c r="Z302" s="56" t="s">
        <v>1054</v>
      </c>
      <c r="AA302" s="56" t="s">
        <v>1829</v>
      </c>
      <c r="AB302" s="56" t="s">
        <v>1120</v>
      </c>
      <c r="AC302" s="56" t="s">
        <v>1078</v>
      </c>
      <c r="AD302" s="56" t="s">
        <v>1830</v>
      </c>
      <c r="AE302" s="56" t="s">
        <v>1831</v>
      </c>
      <c r="AF302" s="56" t="s">
        <v>1336</v>
      </c>
      <c r="AG302" s="56" t="s">
        <v>1832</v>
      </c>
      <c r="AH302" s="56"/>
      <c r="AI302" s="56"/>
      <c r="AJ302" s="56"/>
      <c r="AK302" s="56"/>
      <c r="AL302" s="56"/>
      <c r="AM302" s="56"/>
      <c r="AN302" s="56"/>
      <c r="AO302" s="56"/>
      <c r="AP302" s="56"/>
      <c r="AQ302" s="131"/>
      <c r="AR302" s="130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</row>
    <row r="303" spans="1:56" x14ac:dyDescent="0.2">
      <c r="A303" s="56">
        <v>14112026</v>
      </c>
      <c r="B303" s="56">
        <v>175348246</v>
      </c>
      <c r="C303" s="56" t="s">
        <v>2340</v>
      </c>
      <c r="D303" s="56" t="s">
        <v>1540</v>
      </c>
      <c r="E303" s="56" t="s">
        <v>1047</v>
      </c>
      <c r="F303" s="56">
        <v>139</v>
      </c>
      <c r="G303" s="56">
        <v>10359</v>
      </c>
      <c r="H303" s="56" t="s">
        <v>1048</v>
      </c>
      <c r="I303" s="56" t="s">
        <v>1172</v>
      </c>
      <c r="J303" s="129">
        <v>46233</v>
      </c>
      <c r="K303" s="130">
        <v>0.88611111111111107</v>
      </c>
      <c r="L303" s="130">
        <v>0.89444444444444449</v>
      </c>
      <c r="M303" s="56" t="s">
        <v>1050</v>
      </c>
      <c r="N303" s="129">
        <v>46233</v>
      </c>
      <c r="O303" s="130">
        <v>0.92708333333333337</v>
      </c>
      <c r="P303" s="130">
        <v>0.91874999999999996</v>
      </c>
      <c r="Q303" s="56" t="s">
        <v>1050</v>
      </c>
      <c r="R303" s="56" t="s">
        <v>1541</v>
      </c>
      <c r="S303" s="56">
        <v>31</v>
      </c>
      <c r="T303" s="131">
        <v>8.3333333333334147E-3</v>
      </c>
      <c r="U303" s="130">
        <v>-8.3333333333334147E-3</v>
      </c>
      <c r="V303" s="56" t="s">
        <v>1051</v>
      </c>
      <c r="W303" s="56" t="s">
        <v>1052</v>
      </c>
      <c r="X303" s="56" t="s">
        <v>1053</v>
      </c>
      <c r="Y303" s="56">
        <v>31</v>
      </c>
      <c r="Z303" s="56" t="s">
        <v>1054</v>
      </c>
      <c r="AA303" s="56" t="s">
        <v>1542</v>
      </c>
      <c r="AB303" s="56" t="s">
        <v>1210</v>
      </c>
      <c r="AC303" s="56" t="s">
        <v>1057</v>
      </c>
      <c r="AD303" s="56" t="s">
        <v>1543</v>
      </c>
      <c r="AE303" s="56" t="s">
        <v>1544</v>
      </c>
      <c r="AF303" s="56" t="s">
        <v>1336</v>
      </c>
      <c r="AG303" s="56" t="s">
        <v>2341</v>
      </c>
      <c r="AH303" s="56"/>
      <c r="AI303" s="56"/>
      <c r="AJ303" s="56"/>
      <c r="AK303" s="56"/>
      <c r="AL303" s="56"/>
      <c r="AM303" s="56"/>
      <c r="AN303" s="56"/>
      <c r="AO303" s="56"/>
      <c r="AP303" s="56"/>
      <c r="AQ303" s="131"/>
      <c r="AR303" s="130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</row>
    <row r="304" spans="1:56" x14ac:dyDescent="0.2">
      <c r="A304" s="56">
        <v>14122681</v>
      </c>
      <c r="B304" s="56">
        <v>175339606</v>
      </c>
      <c r="C304" s="56" t="s">
        <v>2342</v>
      </c>
      <c r="D304" s="56" t="s">
        <v>1577</v>
      </c>
      <c r="E304" s="56" t="s">
        <v>1047</v>
      </c>
      <c r="F304" s="56">
        <v>16</v>
      </c>
      <c r="G304" s="56">
        <v>16724</v>
      </c>
      <c r="H304" s="56" t="s">
        <v>1048</v>
      </c>
      <c r="I304" s="56" t="s">
        <v>1064</v>
      </c>
      <c r="J304" s="129">
        <v>46233</v>
      </c>
      <c r="K304" s="130">
        <v>0.88888888888888884</v>
      </c>
      <c r="L304" s="130">
        <v>0.89583333333333337</v>
      </c>
      <c r="M304" s="56" t="s">
        <v>1050</v>
      </c>
      <c r="N304" s="129">
        <v>46233</v>
      </c>
      <c r="O304" s="130">
        <v>0.91666666666666663</v>
      </c>
      <c r="P304" s="130">
        <v>0.91388888888888886</v>
      </c>
      <c r="Q304" s="56" t="s">
        <v>1050</v>
      </c>
      <c r="R304" s="56" t="s">
        <v>433</v>
      </c>
      <c r="S304" s="56">
        <v>31</v>
      </c>
      <c r="T304" s="131">
        <v>6.9444444444445308E-3</v>
      </c>
      <c r="U304" s="130">
        <v>-2.7777777777777679E-3</v>
      </c>
      <c r="V304" s="56" t="s">
        <v>1051</v>
      </c>
      <c r="W304" s="56" t="s">
        <v>1052</v>
      </c>
      <c r="X304" s="56" t="s">
        <v>1053</v>
      </c>
      <c r="Y304" s="56">
        <v>31</v>
      </c>
      <c r="Z304" s="56" t="s">
        <v>1054</v>
      </c>
      <c r="AA304" s="56" t="s">
        <v>1578</v>
      </c>
      <c r="AB304" s="56" t="s">
        <v>1068</v>
      </c>
      <c r="AC304" s="56" t="s">
        <v>1069</v>
      </c>
      <c r="AD304" s="56" t="s">
        <v>1579</v>
      </c>
      <c r="AE304" s="56" t="s">
        <v>1580</v>
      </c>
      <c r="AF304" s="56" t="s">
        <v>1336</v>
      </c>
      <c r="AG304" s="56" t="s">
        <v>2343</v>
      </c>
      <c r="AH304" s="56"/>
      <c r="AI304" s="56"/>
      <c r="AJ304" s="56"/>
      <c r="AK304" s="56"/>
      <c r="AL304" s="56"/>
      <c r="AM304" s="56"/>
      <c r="AN304" s="56"/>
      <c r="AO304" s="56"/>
      <c r="AP304" s="56"/>
      <c r="AQ304" s="131"/>
      <c r="AR304" s="130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</row>
    <row r="305" spans="1:56" x14ac:dyDescent="0.2">
      <c r="A305" s="56">
        <v>14118889</v>
      </c>
      <c r="B305" s="56">
        <v>175348276</v>
      </c>
      <c r="C305" s="56" t="s">
        <v>2344</v>
      </c>
      <c r="D305" s="56" t="s">
        <v>2345</v>
      </c>
      <c r="E305" s="56" t="s">
        <v>1047</v>
      </c>
      <c r="F305" s="56">
        <v>149</v>
      </c>
      <c r="G305" s="56">
        <v>13754</v>
      </c>
      <c r="H305" s="56" t="s">
        <v>1048</v>
      </c>
      <c r="I305" s="56" t="s">
        <v>1172</v>
      </c>
      <c r="J305" s="129">
        <v>46233</v>
      </c>
      <c r="K305" s="130">
        <v>0.89166666666666672</v>
      </c>
      <c r="L305" s="130">
        <v>0.89513888888888893</v>
      </c>
      <c r="M305" s="56" t="s">
        <v>1050</v>
      </c>
      <c r="N305" s="129">
        <v>46233</v>
      </c>
      <c r="O305" s="130">
        <v>0.92708333333333337</v>
      </c>
      <c r="P305" s="130">
        <v>0.92638888888888893</v>
      </c>
      <c r="Q305" s="56" t="s">
        <v>1050</v>
      </c>
      <c r="R305" s="56" t="s">
        <v>218</v>
      </c>
      <c r="S305" s="56">
        <v>31</v>
      </c>
      <c r="T305" s="131">
        <v>3.4722222222222099E-3</v>
      </c>
      <c r="U305" s="130">
        <v>-6.9444444444444198E-4</v>
      </c>
      <c r="V305" s="56" t="s">
        <v>1051</v>
      </c>
      <c r="W305" s="56" t="s">
        <v>1052</v>
      </c>
      <c r="X305" s="56" t="s">
        <v>1053</v>
      </c>
      <c r="Y305" s="56">
        <v>31</v>
      </c>
      <c r="Z305" s="56" t="s">
        <v>1054</v>
      </c>
      <c r="AA305" s="56" t="s">
        <v>2346</v>
      </c>
      <c r="AB305" s="56" t="s">
        <v>1210</v>
      </c>
      <c r="AC305" s="56" t="s">
        <v>1057</v>
      </c>
      <c r="AD305" s="56" t="s">
        <v>2347</v>
      </c>
      <c r="AE305" s="56" t="s">
        <v>2348</v>
      </c>
      <c r="AF305" s="56" t="s">
        <v>1336</v>
      </c>
      <c r="AG305" s="56" t="s">
        <v>2349</v>
      </c>
      <c r="AH305" s="56"/>
      <c r="AI305" s="56"/>
      <c r="AJ305" s="56"/>
      <c r="AK305" s="56"/>
      <c r="AL305" s="56"/>
      <c r="AM305" s="56"/>
      <c r="AN305" s="56"/>
      <c r="AO305" s="56"/>
      <c r="AP305" s="56"/>
      <c r="AQ305" s="131"/>
      <c r="AR305" s="130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</row>
    <row r="306" spans="1:56" x14ac:dyDescent="0.2">
      <c r="A306" s="56">
        <v>14112630</v>
      </c>
      <c r="B306" s="56">
        <v>175338454</v>
      </c>
      <c r="C306" s="56" t="s">
        <v>2350</v>
      </c>
      <c r="D306" s="56" t="s">
        <v>2066</v>
      </c>
      <c r="E306" s="56" t="s">
        <v>1047</v>
      </c>
      <c r="F306" s="56">
        <v>9</v>
      </c>
      <c r="G306" s="56">
        <v>6982</v>
      </c>
      <c r="H306" s="56" t="s">
        <v>1048</v>
      </c>
      <c r="I306" s="56" t="s">
        <v>1358</v>
      </c>
      <c r="J306" s="129">
        <v>46233</v>
      </c>
      <c r="K306" s="130">
        <v>0.89236111111111116</v>
      </c>
      <c r="L306" s="130">
        <v>0.89861111111111114</v>
      </c>
      <c r="M306" s="56" t="s">
        <v>1050</v>
      </c>
      <c r="N306" s="129">
        <v>46233</v>
      </c>
      <c r="O306" s="130">
        <v>0.93055555555555558</v>
      </c>
      <c r="P306" s="130">
        <v>0.93055555555555558</v>
      </c>
      <c r="Q306" s="56" t="s">
        <v>1050</v>
      </c>
      <c r="R306" s="56" t="s">
        <v>121</v>
      </c>
      <c r="S306" s="56">
        <v>31</v>
      </c>
      <c r="T306" s="131">
        <v>6.2499999999999778E-3</v>
      </c>
      <c r="U306" s="130">
        <v>0</v>
      </c>
      <c r="V306" s="56" t="s">
        <v>1051</v>
      </c>
      <c r="W306" s="56" t="s">
        <v>1052</v>
      </c>
      <c r="X306" s="56" t="s">
        <v>1053</v>
      </c>
      <c r="Y306" s="56">
        <v>31</v>
      </c>
      <c r="Z306" s="56" t="s">
        <v>1054</v>
      </c>
      <c r="AA306" s="56" t="s">
        <v>2067</v>
      </c>
      <c r="AB306" s="56" t="s">
        <v>1361</v>
      </c>
      <c r="AC306" s="56" t="s">
        <v>1069</v>
      </c>
      <c r="AD306" s="56" t="s">
        <v>2068</v>
      </c>
      <c r="AE306" s="56" t="s">
        <v>2069</v>
      </c>
      <c r="AF306" s="56" t="s">
        <v>1336</v>
      </c>
      <c r="AG306" s="56" t="s">
        <v>2351</v>
      </c>
      <c r="AH306" s="56"/>
      <c r="AI306" s="56"/>
      <c r="AJ306" s="56"/>
      <c r="AK306" s="56"/>
      <c r="AL306" s="56"/>
      <c r="AM306" s="56"/>
      <c r="AN306" s="56"/>
      <c r="AO306" s="56"/>
      <c r="AP306" s="56"/>
      <c r="AQ306" s="131"/>
      <c r="AR306" s="130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</row>
    <row r="307" spans="1:56" x14ac:dyDescent="0.2">
      <c r="A307" s="56"/>
      <c r="B307" s="56">
        <v>175349716</v>
      </c>
      <c r="C307" s="56" t="s">
        <v>1853</v>
      </c>
      <c r="D307" s="56" t="s">
        <v>1854</v>
      </c>
      <c r="E307" s="56" t="s">
        <v>1047</v>
      </c>
      <c r="F307" s="56">
        <v>225</v>
      </c>
      <c r="G307" s="56">
        <v>6313</v>
      </c>
      <c r="H307" s="56" t="s">
        <v>1048</v>
      </c>
      <c r="I307" s="56" t="s">
        <v>1172</v>
      </c>
      <c r="J307" s="129">
        <v>46233</v>
      </c>
      <c r="K307" s="130">
        <v>0.89236111111111116</v>
      </c>
      <c r="L307" s="130">
        <v>0.91736111111111107</v>
      </c>
      <c r="M307" s="56" t="s">
        <v>1050</v>
      </c>
      <c r="N307" s="129">
        <v>46233</v>
      </c>
      <c r="O307" s="130">
        <v>0.92708333333333337</v>
      </c>
      <c r="P307" s="130">
        <v>0.94305555555555554</v>
      </c>
      <c r="Q307" s="56" t="s">
        <v>1050</v>
      </c>
      <c r="R307" s="56"/>
      <c r="S307" s="56">
        <v>31</v>
      </c>
      <c r="T307" s="131">
        <v>2.4999999999999911E-2</v>
      </c>
      <c r="U307" s="130">
        <v>1.5972222222222165E-2</v>
      </c>
      <c r="V307" s="56" t="s">
        <v>1051</v>
      </c>
      <c r="W307" s="56" t="s">
        <v>1065</v>
      </c>
      <c r="X307" s="56" t="s">
        <v>1066</v>
      </c>
      <c r="Y307" s="56">
        <v>31</v>
      </c>
      <c r="Z307" s="56" t="s">
        <v>1054</v>
      </c>
      <c r="AA307" s="56" t="s">
        <v>1855</v>
      </c>
      <c r="AB307" s="56" t="s">
        <v>1565</v>
      </c>
      <c r="AC307" s="56" t="s">
        <v>1057</v>
      </c>
      <c r="AD307" s="56" t="s">
        <v>1856</v>
      </c>
      <c r="AE307" s="56" t="s">
        <v>1857</v>
      </c>
      <c r="AF307" s="56" t="s">
        <v>1336</v>
      </c>
      <c r="AG307" s="56" t="s">
        <v>1858</v>
      </c>
      <c r="AH307" s="56"/>
      <c r="AI307" s="56"/>
      <c r="AJ307" s="56"/>
      <c r="AK307" s="56"/>
      <c r="AL307" s="56"/>
      <c r="AM307" s="56"/>
      <c r="AN307" s="56"/>
      <c r="AO307" s="56"/>
      <c r="AP307" s="56"/>
      <c r="AQ307" s="131"/>
      <c r="AR307" s="130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</row>
    <row r="308" spans="1:56" x14ac:dyDescent="0.2">
      <c r="A308" s="56">
        <v>14123459</v>
      </c>
      <c r="B308" s="56">
        <v>175341204</v>
      </c>
      <c r="C308" s="56" t="s">
        <v>2352</v>
      </c>
      <c r="D308" s="56" t="s">
        <v>1553</v>
      </c>
      <c r="E308" s="56" t="s">
        <v>1047</v>
      </c>
      <c r="F308" s="56">
        <v>34</v>
      </c>
      <c r="G308" s="56">
        <v>13502</v>
      </c>
      <c r="H308" s="56" t="s">
        <v>1048</v>
      </c>
      <c r="I308" s="56" t="s">
        <v>1172</v>
      </c>
      <c r="J308" s="129">
        <v>46233</v>
      </c>
      <c r="K308" s="130">
        <v>0.89722222222222225</v>
      </c>
      <c r="L308" s="130">
        <v>0.90416666666666667</v>
      </c>
      <c r="M308" s="56" t="s">
        <v>1050</v>
      </c>
      <c r="N308" s="129">
        <v>46233</v>
      </c>
      <c r="O308" s="130">
        <v>0.92708333333333337</v>
      </c>
      <c r="P308" s="130">
        <v>0.9291666666666667</v>
      </c>
      <c r="Q308" s="56" t="s">
        <v>1050</v>
      </c>
      <c r="R308" s="56" t="s">
        <v>509</v>
      </c>
      <c r="S308" s="56">
        <v>31</v>
      </c>
      <c r="T308" s="131">
        <v>6.9444444444444198E-3</v>
      </c>
      <c r="U308" s="130">
        <v>2.0833333333333259E-3</v>
      </c>
      <c r="V308" s="56" t="s">
        <v>1051</v>
      </c>
      <c r="W308" s="56" t="s">
        <v>1052</v>
      </c>
      <c r="X308" s="56" t="s">
        <v>1053</v>
      </c>
      <c r="Y308" s="56">
        <v>31</v>
      </c>
      <c r="Z308" s="56" t="s">
        <v>1054</v>
      </c>
      <c r="AA308" s="56" t="s">
        <v>1554</v>
      </c>
      <c r="AB308" s="56" t="s">
        <v>1174</v>
      </c>
      <c r="AC308" s="56" t="s">
        <v>1057</v>
      </c>
      <c r="AD308" s="56" t="s">
        <v>1555</v>
      </c>
      <c r="AE308" s="56" t="s">
        <v>1556</v>
      </c>
      <c r="AF308" s="56" t="s">
        <v>1336</v>
      </c>
      <c r="AG308" s="56" t="s">
        <v>2353</v>
      </c>
      <c r="AH308" s="56"/>
      <c r="AI308" s="56"/>
      <c r="AJ308" s="56"/>
      <c r="AK308" s="56"/>
      <c r="AL308" s="56"/>
      <c r="AM308" s="56"/>
      <c r="AN308" s="56"/>
      <c r="AO308" s="56"/>
      <c r="AP308" s="56"/>
      <c r="AQ308" s="131"/>
      <c r="AR308" s="130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</row>
    <row r="309" spans="1:56" x14ac:dyDescent="0.2">
      <c r="A309" s="56">
        <v>14109748</v>
      </c>
      <c r="B309" s="56">
        <v>175293629</v>
      </c>
      <c r="C309" s="56" t="s">
        <v>1384</v>
      </c>
      <c r="D309" s="56" t="s">
        <v>1385</v>
      </c>
      <c r="E309" s="56" t="s">
        <v>1047</v>
      </c>
      <c r="F309" s="56">
        <v>1</v>
      </c>
      <c r="G309" s="56">
        <v>16725</v>
      </c>
      <c r="H309" s="56" t="s">
        <v>1048</v>
      </c>
      <c r="I309" s="56" t="s">
        <v>1386</v>
      </c>
      <c r="J309" s="129">
        <v>46232</v>
      </c>
      <c r="K309" s="130">
        <v>0.19444444444444445</v>
      </c>
      <c r="L309" s="130">
        <v>0.1986111111111111</v>
      </c>
      <c r="M309" s="56" t="s">
        <v>1050</v>
      </c>
      <c r="N309" s="129">
        <v>46232</v>
      </c>
      <c r="O309" s="130">
        <v>0.24305555555555555</v>
      </c>
      <c r="P309" s="130">
        <v>0.23728009259259258</v>
      </c>
      <c r="Q309" s="56" t="s">
        <v>1050</v>
      </c>
      <c r="R309" s="56" t="s">
        <v>94</v>
      </c>
      <c r="S309" s="56">
        <v>31</v>
      </c>
      <c r="T309" s="131">
        <v>4.1666666666666519E-3</v>
      </c>
      <c r="U309" s="130">
        <v>-5.7754629629629683E-3</v>
      </c>
      <c r="V309" s="56" t="s">
        <v>1051</v>
      </c>
      <c r="W309" s="56" t="s">
        <v>1052</v>
      </c>
      <c r="X309" s="56" t="s">
        <v>1053</v>
      </c>
      <c r="Y309" s="56">
        <v>31</v>
      </c>
      <c r="Z309" s="56" t="s">
        <v>1054</v>
      </c>
      <c r="AA309" s="56" t="s">
        <v>1387</v>
      </c>
      <c r="AB309" s="56" t="s">
        <v>1257</v>
      </c>
      <c r="AC309" s="56" t="s">
        <v>1069</v>
      </c>
      <c r="AD309" s="56" t="s">
        <v>1388</v>
      </c>
      <c r="AE309" s="56" t="s">
        <v>1389</v>
      </c>
      <c r="AF309" s="56" t="s">
        <v>1060</v>
      </c>
      <c r="AG309" s="56" t="s">
        <v>1390</v>
      </c>
      <c r="AH309" s="56"/>
      <c r="AI309" s="56"/>
      <c r="AJ309" s="56"/>
      <c r="AK309" s="56"/>
      <c r="AL309" s="56"/>
      <c r="AM309" s="56"/>
      <c r="AN309" s="56"/>
      <c r="AO309" s="56"/>
      <c r="AP309" s="56"/>
      <c r="AQ309" s="131"/>
      <c r="AR309" s="130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</row>
    <row r="310" spans="1:56" x14ac:dyDescent="0.2">
      <c r="A310" s="56">
        <v>14122708</v>
      </c>
      <c r="B310" s="56">
        <v>175301263</v>
      </c>
      <c r="C310" s="56" t="s">
        <v>2132</v>
      </c>
      <c r="D310" s="56" t="s">
        <v>2133</v>
      </c>
      <c r="E310" s="56" t="s">
        <v>1047</v>
      </c>
      <c r="F310" s="56">
        <v>9</v>
      </c>
      <c r="G310" s="56">
        <v>14866</v>
      </c>
      <c r="H310" s="56" t="s">
        <v>1048</v>
      </c>
      <c r="I310" s="56" t="s">
        <v>2134</v>
      </c>
      <c r="J310" s="129">
        <v>46232</v>
      </c>
      <c r="K310" s="130">
        <v>0.19444444444444445</v>
      </c>
      <c r="L310" s="130">
        <v>0.25</v>
      </c>
      <c r="M310" s="56" t="s">
        <v>1050</v>
      </c>
      <c r="N310" s="129">
        <v>46232</v>
      </c>
      <c r="O310" s="130">
        <v>0.29166666666666669</v>
      </c>
      <c r="P310" s="56"/>
      <c r="Q310" s="56" t="s">
        <v>1286</v>
      </c>
      <c r="R310" s="56" t="s">
        <v>440</v>
      </c>
      <c r="S310" s="56">
        <v>31</v>
      </c>
      <c r="T310" s="131">
        <v>5.5555555555555552E-2</v>
      </c>
      <c r="U310" s="130">
        <v>-0.29166666666666669</v>
      </c>
      <c r="V310" s="56" t="s">
        <v>1051</v>
      </c>
      <c r="W310" s="56" t="s">
        <v>1052</v>
      </c>
      <c r="X310" s="56" t="s">
        <v>1053</v>
      </c>
      <c r="Y310" s="56">
        <v>31</v>
      </c>
      <c r="Z310" s="56" t="s">
        <v>1054</v>
      </c>
      <c r="AA310" s="56" t="s">
        <v>2135</v>
      </c>
      <c r="AB310" s="56" t="s">
        <v>1342</v>
      </c>
      <c r="AC310" s="56" t="s">
        <v>1069</v>
      </c>
      <c r="AD310" s="56" t="s">
        <v>2136</v>
      </c>
      <c r="AE310" s="56" t="s">
        <v>2137</v>
      </c>
      <c r="AF310" s="56" t="s">
        <v>1060</v>
      </c>
      <c r="AG310" s="56" t="s">
        <v>2138</v>
      </c>
      <c r="AH310" s="56"/>
      <c r="AI310" s="56"/>
      <c r="AJ310" s="56"/>
      <c r="AK310" s="56"/>
      <c r="AL310" s="56"/>
      <c r="AM310" s="56"/>
      <c r="AN310" s="56"/>
      <c r="AO310" s="56"/>
      <c r="AP310" s="56"/>
      <c r="AQ310" s="131"/>
      <c r="AR310" s="130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</row>
    <row r="311" spans="1:56" x14ac:dyDescent="0.2">
      <c r="A311" s="56">
        <v>14108571</v>
      </c>
      <c r="B311" s="56">
        <v>175303302</v>
      </c>
      <c r="C311" s="56" t="s">
        <v>2139</v>
      </c>
      <c r="D311" s="56" t="s">
        <v>2140</v>
      </c>
      <c r="E311" s="56" t="s">
        <v>1047</v>
      </c>
      <c r="F311" s="56">
        <v>42</v>
      </c>
      <c r="G311" s="56">
        <v>15332</v>
      </c>
      <c r="H311" s="56" t="s">
        <v>1048</v>
      </c>
      <c r="I311" s="56" t="s">
        <v>1049</v>
      </c>
      <c r="J311" s="129">
        <v>46232</v>
      </c>
      <c r="K311" s="130">
        <v>0.19444444444444445</v>
      </c>
      <c r="L311" s="130">
        <v>0.19791666666666666</v>
      </c>
      <c r="M311" s="56" t="s">
        <v>1050</v>
      </c>
      <c r="N311" s="129">
        <v>46232</v>
      </c>
      <c r="O311" s="130">
        <v>0.26041666666666669</v>
      </c>
      <c r="P311" s="130">
        <v>0.26461805555555556</v>
      </c>
      <c r="Q311" s="56" t="s">
        <v>1050</v>
      </c>
      <c r="R311" s="56" t="s">
        <v>2141</v>
      </c>
      <c r="S311" s="56">
        <v>31</v>
      </c>
      <c r="T311" s="131">
        <v>3.4722222222222099E-3</v>
      </c>
      <c r="U311" s="130">
        <v>4.2013888888888795E-3</v>
      </c>
      <c r="V311" s="56" t="s">
        <v>1051</v>
      </c>
      <c r="W311" s="56" t="s">
        <v>1065</v>
      </c>
      <c r="X311" s="56" t="s">
        <v>1066</v>
      </c>
      <c r="Y311" s="56">
        <v>31</v>
      </c>
      <c r="Z311" s="56" t="s">
        <v>1054</v>
      </c>
      <c r="AA311" s="56" t="s">
        <v>2142</v>
      </c>
      <c r="AB311" s="56" t="s">
        <v>1056</v>
      </c>
      <c r="AC311" s="56" t="s">
        <v>1057</v>
      </c>
      <c r="AD311" s="56" t="s">
        <v>2143</v>
      </c>
      <c r="AE311" s="56" t="s">
        <v>2144</v>
      </c>
      <c r="AF311" s="56" t="s">
        <v>1060</v>
      </c>
      <c r="AG311" s="56" t="s">
        <v>2145</v>
      </c>
      <c r="AH311" s="56"/>
      <c r="AI311" s="56"/>
      <c r="AJ311" s="56"/>
      <c r="AK311" s="56"/>
      <c r="AL311" s="56"/>
      <c r="AM311" s="56"/>
      <c r="AN311" s="56"/>
      <c r="AO311" s="56"/>
      <c r="AP311" s="56"/>
      <c r="AQ311" s="131"/>
      <c r="AR311" s="130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</row>
    <row r="312" spans="1:56" x14ac:dyDescent="0.2">
      <c r="A312" s="56">
        <v>14100718</v>
      </c>
      <c r="B312" s="56">
        <v>175294502</v>
      </c>
      <c r="C312" s="56" t="s">
        <v>1412</v>
      </c>
      <c r="D312" s="56" t="s">
        <v>1413</v>
      </c>
      <c r="E312" s="56" t="s">
        <v>1047</v>
      </c>
      <c r="F312" s="56">
        <v>101</v>
      </c>
      <c r="G312" s="56">
        <v>6782</v>
      </c>
      <c r="H312" s="56" t="s">
        <v>1048</v>
      </c>
      <c r="I312" s="56" t="s">
        <v>1104</v>
      </c>
      <c r="J312" s="129">
        <v>46232</v>
      </c>
      <c r="K312" s="130">
        <v>0.2013888888888889</v>
      </c>
      <c r="L312" s="130">
        <v>0.21388888888888888</v>
      </c>
      <c r="M312" s="56" t="s">
        <v>1050</v>
      </c>
      <c r="N312" s="129">
        <v>46232</v>
      </c>
      <c r="O312" s="130">
        <v>0.2673611111111111</v>
      </c>
      <c r="P312" s="130">
        <v>0.25821759259259258</v>
      </c>
      <c r="Q312" s="56" t="s">
        <v>1050</v>
      </c>
      <c r="R312" s="56" t="s">
        <v>8</v>
      </c>
      <c r="S312" s="56">
        <v>31</v>
      </c>
      <c r="T312" s="131">
        <v>1.2499999999999983E-2</v>
      </c>
      <c r="U312" s="130">
        <v>-9.143518518518523E-3</v>
      </c>
      <c r="V312" s="56" t="s">
        <v>1051</v>
      </c>
      <c r="W312" s="56" t="s">
        <v>1052</v>
      </c>
      <c r="X312" s="56" t="s">
        <v>1053</v>
      </c>
      <c r="Y312" s="56">
        <v>31</v>
      </c>
      <c r="Z312" s="56" t="s">
        <v>1054</v>
      </c>
      <c r="AA312" s="56" t="s">
        <v>1415</v>
      </c>
      <c r="AB312" s="56" t="s">
        <v>1106</v>
      </c>
      <c r="AC312" s="56" t="s">
        <v>1078</v>
      </c>
      <c r="AD312" s="56" t="s">
        <v>1416</v>
      </c>
      <c r="AE312" s="56" t="s">
        <v>1417</v>
      </c>
      <c r="AF312" s="56" t="s">
        <v>1060</v>
      </c>
      <c r="AG312" s="56" t="s">
        <v>1418</v>
      </c>
      <c r="AH312" s="56"/>
      <c r="AI312" s="56"/>
      <c r="AJ312" s="56"/>
      <c r="AK312" s="56"/>
      <c r="AL312" s="56"/>
      <c r="AM312" s="56"/>
      <c r="AN312" s="56"/>
      <c r="AO312" s="56"/>
      <c r="AP312" s="56"/>
      <c r="AQ312" s="131"/>
      <c r="AR312" s="130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</row>
    <row r="313" spans="1:56" x14ac:dyDescent="0.2">
      <c r="A313" s="56">
        <v>14122993</v>
      </c>
      <c r="B313" s="56">
        <v>175304344</v>
      </c>
      <c r="C313" s="56" t="s">
        <v>2354</v>
      </c>
      <c r="D313" s="56" t="s">
        <v>2355</v>
      </c>
      <c r="E313" s="56" t="s">
        <v>1047</v>
      </c>
      <c r="F313" s="56">
        <v>5</v>
      </c>
      <c r="G313" s="56">
        <v>16741</v>
      </c>
      <c r="H313" s="56" t="s">
        <v>1048</v>
      </c>
      <c r="I313" s="56" t="s">
        <v>2356</v>
      </c>
      <c r="J313" s="129">
        <v>46232</v>
      </c>
      <c r="K313" s="130">
        <v>0.2013888888888889</v>
      </c>
      <c r="L313" s="130">
        <v>0.20902777777777778</v>
      </c>
      <c r="M313" s="56" t="s">
        <v>1050</v>
      </c>
      <c r="N313" s="129">
        <v>46232</v>
      </c>
      <c r="O313" s="130">
        <v>0.28125</v>
      </c>
      <c r="P313" s="130">
        <v>0.26046296296296295</v>
      </c>
      <c r="Q313" s="56" t="s">
        <v>1050</v>
      </c>
      <c r="R313" s="56" t="s">
        <v>466</v>
      </c>
      <c r="S313" s="56">
        <v>31</v>
      </c>
      <c r="T313" s="131">
        <v>7.6388888888888895E-3</v>
      </c>
      <c r="U313" s="130">
        <v>-2.0787037037037048E-2</v>
      </c>
      <c r="V313" s="56" t="s">
        <v>1051</v>
      </c>
      <c r="W313" s="56" t="s">
        <v>1052</v>
      </c>
      <c r="X313" s="56" t="s">
        <v>1053</v>
      </c>
      <c r="Y313" s="56">
        <v>31</v>
      </c>
      <c r="Z313" s="56" t="s">
        <v>1054</v>
      </c>
      <c r="AA313" s="56" t="s">
        <v>2357</v>
      </c>
      <c r="AB313" s="56" t="s">
        <v>1605</v>
      </c>
      <c r="AC313" s="56" t="s">
        <v>1069</v>
      </c>
      <c r="AD313" s="56" t="s">
        <v>2358</v>
      </c>
      <c r="AE313" s="56" t="s">
        <v>2359</v>
      </c>
      <c r="AF313" s="56" t="s">
        <v>1060</v>
      </c>
      <c r="AG313" s="56" t="s">
        <v>2360</v>
      </c>
      <c r="AH313" s="56"/>
      <c r="AI313" s="56"/>
      <c r="AJ313" s="56"/>
      <c r="AK313" s="56"/>
      <c r="AL313" s="56"/>
      <c r="AM313" s="56"/>
      <c r="AN313" s="56"/>
      <c r="AO313" s="56"/>
      <c r="AP313" s="56"/>
      <c r="AQ313" s="131"/>
      <c r="AR313" s="130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</row>
    <row r="314" spans="1:56" x14ac:dyDescent="0.2">
      <c r="A314" s="56">
        <v>14123709</v>
      </c>
      <c r="B314" s="56">
        <v>175306085</v>
      </c>
      <c r="C314" s="56" t="s">
        <v>2361</v>
      </c>
      <c r="D314" s="56" t="s">
        <v>1308</v>
      </c>
      <c r="E314" s="56" t="s">
        <v>1047</v>
      </c>
      <c r="F314" s="56">
        <v>41</v>
      </c>
      <c r="G314" s="56">
        <v>4778</v>
      </c>
      <c r="H314" s="56" t="s">
        <v>1048</v>
      </c>
      <c r="I314" s="56" t="s">
        <v>1090</v>
      </c>
      <c r="J314" s="129">
        <v>46232</v>
      </c>
      <c r="K314" s="130">
        <v>0.2013888888888889</v>
      </c>
      <c r="L314" s="130">
        <v>0.2048611111111111</v>
      </c>
      <c r="M314" s="56" t="s">
        <v>1050</v>
      </c>
      <c r="N314" s="129">
        <v>46232</v>
      </c>
      <c r="O314" s="130">
        <v>0.2673611111111111</v>
      </c>
      <c r="P314" s="130">
        <v>0.25416666666666665</v>
      </c>
      <c r="Q314" s="56" t="s">
        <v>2217</v>
      </c>
      <c r="R314" s="56" t="s">
        <v>946</v>
      </c>
      <c r="S314" s="56">
        <v>31</v>
      </c>
      <c r="T314" s="131">
        <v>3.4722222222222099E-3</v>
      </c>
      <c r="U314" s="130">
        <v>-1.3194444444444453E-2</v>
      </c>
      <c r="V314" s="56" t="s">
        <v>1051</v>
      </c>
      <c r="W314" s="56" t="s">
        <v>1052</v>
      </c>
      <c r="X314" s="56" t="s">
        <v>1053</v>
      </c>
      <c r="Y314" s="56">
        <v>31</v>
      </c>
      <c r="Z314" s="56" t="s">
        <v>1054</v>
      </c>
      <c r="AA314" s="56" t="s">
        <v>1309</v>
      </c>
      <c r="AB314" s="56" t="s">
        <v>1092</v>
      </c>
      <c r="AC314" s="56" t="s">
        <v>1078</v>
      </c>
      <c r="AD314" s="56" t="s">
        <v>1310</v>
      </c>
      <c r="AE314" s="56" t="s">
        <v>1311</v>
      </c>
      <c r="AF314" s="56" t="s">
        <v>1060</v>
      </c>
      <c r="AG314" s="56" t="s">
        <v>2362</v>
      </c>
      <c r="AH314" s="56"/>
      <c r="AI314" s="56"/>
      <c r="AJ314" s="56"/>
      <c r="AK314" s="56"/>
      <c r="AL314" s="56"/>
      <c r="AM314" s="56"/>
      <c r="AN314" s="56"/>
      <c r="AO314" s="56"/>
      <c r="AP314" s="56"/>
      <c r="AQ314" s="131"/>
      <c r="AR314" s="130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</row>
    <row r="315" spans="1:56" x14ac:dyDescent="0.2">
      <c r="A315" s="56">
        <v>14107081</v>
      </c>
      <c r="B315" s="56">
        <v>175308287</v>
      </c>
      <c r="C315" s="56" t="s">
        <v>1419</v>
      </c>
      <c r="D315" s="56" t="s">
        <v>1420</v>
      </c>
      <c r="E315" s="56" t="s">
        <v>1047</v>
      </c>
      <c r="F315" s="56">
        <v>503</v>
      </c>
      <c r="G315" s="56">
        <v>16738</v>
      </c>
      <c r="H315" s="56" t="s">
        <v>1048</v>
      </c>
      <c r="I315" s="56" t="s">
        <v>1075</v>
      </c>
      <c r="J315" s="129">
        <v>46232</v>
      </c>
      <c r="K315" s="130">
        <v>0.2013888888888889</v>
      </c>
      <c r="L315" s="130">
        <v>0.2048611111111111</v>
      </c>
      <c r="M315" s="56" t="s">
        <v>1050</v>
      </c>
      <c r="N315" s="129">
        <v>46232</v>
      </c>
      <c r="O315" s="130">
        <v>0.2673611111111111</v>
      </c>
      <c r="P315" s="130">
        <v>0.24775462962962963</v>
      </c>
      <c r="Q315" s="56" t="s">
        <v>1050</v>
      </c>
      <c r="R315" s="56" t="s">
        <v>55</v>
      </c>
      <c r="S315" s="56">
        <v>31</v>
      </c>
      <c r="T315" s="131">
        <v>3.4722222222222099E-3</v>
      </c>
      <c r="U315" s="130">
        <v>-1.9606481481481475E-2</v>
      </c>
      <c r="V315" s="56" t="s">
        <v>1051</v>
      </c>
      <c r="W315" s="56" t="s">
        <v>1052</v>
      </c>
      <c r="X315" s="56" t="s">
        <v>1053</v>
      </c>
      <c r="Y315" s="56">
        <v>31</v>
      </c>
      <c r="Z315" s="56" t="s">
        <v>1054</v>
      </c>
      <c r="AA315" s="56" t="s">
        <v>1421</v>
      </c>
      <c r="AB315" s="56" t="s">
        <v>1077</v>
      </c>
      <c r="AC315" s="56" t="s">
        <v>1078</v>
      </c>
      <c r="AD315" s="56" t="s">
        <v>1422</v>
      </c>
      <c r="AE315" s="56" t="s">
        <v>1423</v>
      </c>
      <c r="AF315" s="56" t="s">
        <v>1060</v>
      </c>
      <c r="AG315" s="56" t="s">
        <v>1424</v>
      </c>
      <c r="AH315" s="56"/>
      <c r="AI315" s="56"/>
      <c r="AJ315" s="56"/>
      <c r="AK315" s="56"/>
      <c r="AL315" s="56"/>
      <c r="AM315" s="56"/>
      <c r="AN315" s="56"/>
      <c r="AO315" s="56"/>
      <c r="AP315" s="56"/>
      <c r="AQ315" s="131"/>
      <c r="AR315" s="130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</row>
    <row r="316" spans="1:56" x14ac:dyDescent="0.2">
      <c r="A316" s="56">
        <v>14123473</v>
      </c>
      <c r="B316" s="56">
        <v>175306041</v>
      </c>
      <c r="C316" s="56" t="s">
        <v>1110</v>
      </c>
      <c r="D316" s="56" t="s">
        <v>1111</v>
      </c>
      <c r="E316" s="56" t="s">
        <v>1047</v>
      </c>
      <c r="F316" s="56">
        <v>19</v>
      </c>
      <c r="G316" s="56">
        <v>6906</v>
      </c>
      <c r="H316" s="56" t="s">
        <v>1048</v>
      </c>
      <c r="I316" s="56" t="s">
        <v>1090</v>
      </c>
      <c r="J316" s="129">
        <v>46232</v>
      </c>
      <c r="K316" s="130">
        <v>0.2048611111111111</v>
      </c>
      <c r="L316" s="130">
        <v>0.21458333333333332</v>
      </c>
      <c r="M316" s="56" t="s">
        <v>1050</v>
      </c>
      <c r="N316" s="129">
        <v>46232</v>
      </c>
      <c r="O316" s="130">
        <v>0.2673611111111111</v>
      </c>
      <c r="P316" s="130">
        <v>0.2512152777777778</v>
      </c>
      <c r="Q316" s="56" t="s">
        <v>1050</v>
      </c>
      <c r="R316" s="56" t="s">
        <v>514</v>
      </c>
      <c r="S316" s="56">
        <v>31</v>
      </c>
      <c r="T316" s="131">
        <v>9.7222222222222154E-3</v>
      </c>
      <c r="U316" s="130">
        <v>-1.6145833333333304E-2</v>
      </c>
      <c r="V316" s="56" t="s">
        <v>1051</v>
      </c>
      <c r="W316" s="56" t="s">
        <v>1052</v>
      </c>
      <c r="X316" s="56" t="s">
        <v>1053</v>
      </c>
      <c r="Y316" s="56">
        <v>31</v>
      </c>
      <c r="Z316" s="56" t="s">
        <v>1054</v>
      </c>
      <c r="AA316" s="56" t="s">
        <v>1112</v>
      </c>
      <c r="AB316" s="56" t="s">
        <v>1092</v>
      </c>
      <c r="AC316" s="56" t="s">
        <v>1078</v>
      </c>
      <c r="AD316" s="56" t="s">
        <v>1113</v>
      </c>
      <c r="AE316" s="56" t="s">
        <v>1114</v>
      </c>
      <c r="AF316" s="56" t="s">
        <v>1060</v>
      </c>
      <c r="AG316" s="56" t="s">
        <v>1115</v>
      </c>
      <c r="AH316" s="56"/>
      <c r="AI316" s="56"/>
      <c r="AJ316" s="56"/>
      <c r="AK316" s="56"/>
      <c r="AL316" s="56"/>
      <c r="AM316" s="56"/>
      <c r="AN316" s="56"/>
      <c r="AO316" s="56"/>
      <c r="AP316" s="56"/>
      <c r="AQ316" s="131"/>
      <c r="AR316" s="130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</row>
    <row r="317" spans="1:56" x14ac:dyDescent="0.2">
      <c r="A317" s="56">
        <v>14103106</v>
      </c>
      <c r="B317" s="56">
        <v>175294243</v>
      </c>
      <c r="C317" s="56" t="s">
        <v>1116</v>
      </c>
      <c r="D317" s="56" t="s">
        <v>1117</v>
      </c>
      <c r="E317" s="56" t="s">
        <v>1047</v>
      </c>
      <c r="F317" s="56">
        <v>28</v>
      </c>
      <c r="G317" s="56">
        <v>16733</v>
      </c>
      <c r="H317" s="56" t="s">
        <v>1048</v>
      </c>
      <c r="I317" s="56" t="s">
        <v>1118</v>
      </c>
      <c r="J317" s="129">
        <v>46232</v>
      </c>
      <c r="K317" s="130">
        <v>0.20833333333333334</v>
      </c>
      <c r="L317" s="130">
        <v>0.21319444444444444</v>
      </c>
      <c r="M317" s="56" t="s">
        <v>1050</v>
      </c>
      <c r="N317" s="129">
        <v>46232</v>
      </c>
      <c r="O317" s="130">
        <v>0.2673611111111111</v>
      </c>
      <c r="P317" s="130">
        <v>0.25809027777777777</v>
      </c>
      <c r="Q317" s="56" t="s">
        <v>1050</v>
      </c>
      <c r="R317" s="56" t="s">
        <v>34</v>
      </c>
      <c r="S317" s="56">
        <v>31</v>
      </c>
      <c r="T317" s="131">
        <v>4.8611111111110938E-3</v>
      </c>
      <c r="U317" s="130">
        <v>-9.2708333333333393E-3</v>
      </c>
      <c r="V317" s="56" t="s">
        <v>1051</v>
      </c>
      <c r="W317" s="56" t="s">
        <v>1052</v>
      </c>
      <c r="X317" s="56" t="s">
        <v>1053</v>
      </c>
      <c r="Y317" s="56">
        <v>31</v>
      </c>
      <c r="Z317" s="56" t="s">
        <v>1054</v>
      </c>
      <c r="AA317" s="56" t="s">
        <v>1119</v>
      </c>
      <c r="AB317" s="56" t="s">
        <v>1120</v>
      </c>
      <c r="AC317" s="56" t="s">
        <v>1078</v>
      </c>
      <c r="AD317" s="56" t="s">
        <v>1121</v>
      </c>
      <c r="AE317" s="56" t="s">
        <v>1122</v>
      </c>
      <c r="AF317" s="56" t="s">
        <v>1060</v>
      </c>
      <c r="AG317" s="56" t="s">
        <v>1123</v>
      </c>
      <c r="AH317" s="56"/>
      <c r="AI317" s="56"/>
      <c r="AJ317" s="56"/>
      <c r="AK317" s="56"/>
      <c r="AL317" s="56"/>
      <c r="AM317" s="56"/>
      <c r="AN317" s="56"/>
      <c r="AO317" s="56"/>
      <c r="AP317" s="56"/>
      <c r="AQ317" s="131"/>
      <c r="AR317" s="130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</row>
    <row r="318" spans="1:56" x14ac:dyDescent="0.2">
      <c r="A318" s="56">
        <v>14108916</v>
      </c>
      <c r="B318" s="56">
        <v>175294541</v>
      </c>
      <c r="C318" s="56" t="s">
        <v>1871</v>
      </c>
      <c r="D318" s="56" t="s">
        <v>1645</v>
      </c>
      <c r="E318" s="56" t="s">
        <v>1047</v>
      </c>
      <c r="F318" s="56">
        <v>117</v>
      </c>
      <c r="G318" s="56">
        <v>16769</v>
      </c>
      <c r="H318" s="56" t="s">
        <v>1048</v>
      </c>
      <c r="I318" s="56" t="s">
        <v>1104</v>
      </c>
      <c r="J318" s="129">
        <v>46232</v>
      </c>
      <c r="K318" s="130">
        <v>0.20833333333333334</v>
      </c>
      <c r="L318" s="130">
        <v>0.21597222222222223</v>
      </c>
      <c r="M318" s="56" t="s">
        <v>1050</v>
      </c>
      <c r="N318" s="129">
        <v>46232</v>
      </c>
      <c r="O318" s="130">
        <v>0.2673611111111111</v>
      </c>
      <c r="P318" s="130">
        <v>0.24569444444444444</v>
      </c>
      <c r="Q318" s="56" t="s">
        <v>1050</v>
      </c>
      <c r="R318" s="56" t="s">
        <v>79</v>
      </c>
      <c r="S318" s="56">
        <v>31</v>
      </c>
      <c r="T318" s="131">
        <v>7.6388888888888895E-3</v>
      </c>
      <c r="U318" s="130">
        <v>-2.1666666666666667E-2</v>
      </c>
      <c r="V318" s="56" t="s">
        <v>1051</v>
      </c>
      <c r="W318" s="56" t="s">
        <v>1052</v>
      </c>
      <c r="X318" s="56" t="s">
        <v>1053</v>
      </c>
      <c r="Y318" s="56">
        <v>31</v>
      </c>
      <c r="Z318" s="56" t="s">
        <v>1054</v>
      </c>
      <c r="AA318" s="56" t="s">
        <v>1646</v>
      </c>
      <c r="AB318" s="56" t="s">
        <v>1106</v>
      </c>
      <c r="AC318" s="56" t="s">
        <v>1078</v>
      </c>
      <c r="AD318" s="56" t="s">
        <v>1647</v>
      </c>
      <c r="AE318" s="56" t="s">
        <v>1648</v>
      </c>
      <c r="AF318" s="56" t="s">
        <v>1060</v>
      </c>
      <c r="AG318" s="56" t="s">
        <v>1872</v>
      </c>
      <c r="AH318" s="56"/>
      <c r="AI318" s="56"/>
      <c r="AJ318" s="56"/>
      <c r="AK318" s="56"/>
      <c r="AL318" s="56"/>
      <c r="AM318" s="56"/>
      <c r="AN318" s="56"/>
      <c r="AO318" s="56"/>
      <c r="AP318" s="56"/>
      <c r="AQ318" s="131"/>
      <c r="AR318" s="130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</row>
    <row r="319" spans="1:56" x14ac:dyDescent="0.2">
      <c r="A319" s="56">
        <v>14100725</v>
      </c>
      <c r="B319" s="56">
        <v>175294581</v>
      </c>
      <c r="C319" s="56" t="s">
        <v>2363</v>
      </c>
      <c r="D319" s="56" t="s">
        <v>1185</v>
      </c>
      <c r="E319" s="56" t="s">
        <v>1047</v>
      </c>
      <c r="F319" s="56">
        <v>98</v>
      </c>
      <c r="G319" s="56">
        <v>17339</v>
      </c>
      <c r="H319" s="56" t="s">
        <v>1048</v>
      </c>
      <c r="I319" s="56" t="s">
        <v>1676</v>
      </c>
      <c r="J319" s="129">
        <v>46232</v>
      </c>
      <c r="K319" s="130">
        <v>0.20833333333333334</v>
      </c>
      <c r="L319" s="130">
        <v>0.21180555555555555</v>
      </c>
      <c r="M319" s="56" t="s">
        <v>1050</v>
      </c>
      <c r="N319" s="129">
        <v>46232</v>
      </c>
      <c r="O319" s="130">
        <v>0.2673611111111111</v>
      </c>
      <c r="P319" s="130">
        <v>0.25247685185185187</v>
      </c>
      <c r="Q319" s="56" t="s">
        <v>1050</v>
      </c>
      <c r="R319" s="56" t="s">
        <v>11</v>
      </c>
      <c r="S319" s="56">
        <v>31</v>
      </c>
      <c r="T319" s="131">
        <v>3.4722222222222099E-3</v>
      </c>
      <c r="U319" s="130">
        <v>-1.4884259259259236E-2</v>
      </c>
      <c r="V319" s="56" t="s">
        <v>1051</v>
      </c>
      <c r="W319" s="56" t="s">
        <v>1052</v>
      </c>
      <c r="X319" s="56" t="s">
        <v>1053</v>
      </c>
      <c r="Y319" s="56">
        <v>31</v>
      </c>
      <c r="Z319" s="56" t="s">
        <v>1054</v>
      </c>
      <c r="AA319" s="56" t="s">
        <v>1677</v>
      </c>
      <c r="AB319" s="56" t="s">
        <v>1678</v>
      </c>
      <c r="AC319" s="56" t="s">
        <v>1078</v>
      </c>
      <c r="AD319" s="56" t="s">
        <v>1679</v>
      </c>
      <c r="AE319" s="56" t="s">
        <v>1680</v>
      </c>
      <c r="AF319" s="56" t="s">
        <v>1060</v>
      </c>
      <c r="AG319" s="56" t="s">
        <v>2364</v>
      </c>
      <c r="AH319" s="56"/>
      <c r="AI319" s="56"/>
      <c r="AJ319" s="56"/>
      <c r="AK319" s="56"/>
      <c r="AL319" s="56"/>
      <c r="AM319" s="56"/>
      <c r="AN319" s="56"/>
      <c r="AO319" s="56"/>
      <c r="AP319" s="56"/>
      <c r="AQ319" s="131"/>
      <c r="AR319" s="130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</row>
    <row r="320" spans="1:56" x14ac:dyDescent="0.2">
      <c r="A320" s="56"/>
      <c r="B320" s="56">
        <v>175294666</v>
      </c>
      <c r="C320" s="56" t="s">
        <v>2146</v>
      </c>
      <c r="D320" s="56" t="s">
        <v>2147</v>
      </c>
      <c r="E320" s="56" t="s">
        <v>1047</v>
      </c>
      <c r="F320" s="56">
        <v>1</v>
      </c>
      <c r="G320" s="56">
        <v>11942</v>
      </c>
      <c r="H320" s="56" t="s">
        <v>1048</v>
      </c>
      <c r="I320" s="56" t="s">
        <v>2134</v>
      </c>
      <c r="J320" s="129">
        <v>46232</v>
      </c>
      <c r="K320" s="130">
        <v>0.20833333333333334</v>
      </c>
      <c r="L320" s="130">
        <v>0.24722222222222223</v>
      </c>
      <c r="M320" s="56" t="s">
        <v>1050</v>
      </c>
      <c r="N320" s="129">
        <v>46232</v>
      </c>
      <c r="O320" s="130">
        <v>0.29166666666666669</v>
      </c>
      <c r="P320" s="130">
        <v>0.25694444444444442</v>
      </c>
      <c r="Q320" s="56" t="s">
        <v>1050</v>
      </c>
      <c r="R320" s="56" t="s">
        <v>1414</v>
      </c>
      <c r="S320" s="56">
        <v>31</v>
      </c>
      <c r="T320" s="131">
        <v>3.888888888888889E-2</v>
      </c>
      <c r="U320" s="130">
        <v>-3.4722222222222265E-2</v>
      </c>
      <c r="V320" s="56" t="s">
        <v>1051</v>
      </c>
      <c r="W320" s="56" t="s">
        <v>1052</v>
      </c>
      <c r="X320" s="56" t="s">
        <v>1053</v>
      </c>
      <c r="Y320" s="56">
        <v>31</v>
      </c>
      <c r="Z320" s="56" t="s">
        <v>1054</v>
      </c>
      <c r="AA320" s="56" t="s">
        <v>2148</v>
      </c>
      <c r="AB320" s="56" t="s">
        <v>1342</v>
      </c>
      <c r="AC320" s="56" t="s">
        <v>1069</v>
      </c>
      <c r="AD320" s="56" t="s">
        <v>2149</v>
      </c>
      <c r="AE320" s="56" t="s">
        <v>2150</v>
      </c>
      <c r="AF320" s="56" t="s">
        <v>1060</v>
      </c>
      <c r="AG320" s="56" t="s">
        <v>2151</v>
      </c>
      <c r="AH320" s="56"/>
      <c r="AI320" s="56"/>
      <c r="AJ320" s="56"/>
      <c r="AK320" s="56"/>
      <c r="AL320" s="56"/>
      <c r="AM320" s="56"/>
      <c r="AN320" s="56"/>
      <c r="AO320" s="56"/>
      <c r="AP320" s="56"/>
      <c r="AQ320" s="131"/>
      <c r="AR320" s="130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</row>
    <row r="321" spans="1:56" x14ac:dyDescent="0.2">
      <c r="A321" s="56">
        <v>14108775</v>
      </c>
      <c r="B321" s="56">
        <v>175294667</v>
      </c>
      <c r="C321" s="56" t="s">
        <v>2152</v>
      </c>
      <c r="D321" s="56" t="s">
        <v>2153</v>
      </c>
      <c r="E321" s="56" t="s">
        <v>1047</v>
      </c>
      <c r="F321" s="56">
        <v>2</v>
      </c>
      <c r="G321" s="56">
        <v>11853</v>
      </c>
      <c r="H321" s="56" t="s">
        <v>1048</v>
      </c>
      <c r="I321" s="56" t="s">
        <v>2134</v>
      </c>
      <c r="J321" s="129">
        <v>46232</v>
      </c>
      <c r="K321" s="130">
        <v>0.20833333333333334</v>
      </c>
      <c r="L321" s="130">
        <v>0.2326388888888889</v>
      </c>
      <c r="M321" s="56" t="s">
        <v>1050</v>
      </c>
      <c r="N321" s="129">
        <v>46232</v>
      </c>
      <c r="O321" s="130">
        <v>0.29166666666666669</v>
      </c>
      <c r="P321" s="130">
        <v>0.25555555555555554</v>
      </c>
      <c r="Q321" s="56" t="s">
        <v>1050</v>
      </c>
      <c r="R321" s="56" t="s">
        <v>178</v>
      </c>
      <c r="S321" s="56">
        <v>31</v>
      </c>
      <c r="T321" s="131">
        <v>2.4305555555555552E-2</v>
      </c>
      <c r="U321" s="130">
        <v>-3.6111111111111149E-2</v>
      </c>
      <c r="V321" s="56" t="s">
        <v>1051</v>
      </c>
      <c r="W321" s="56" t="s">
        <v>1052</v>
      </c>
      <c r="X321" s="56" t="s">
        <v>1053</v>
      </c>
      <c r="Y321" s="56">
        <v>31</v>
      </c>
      <c r="Z321" s="56" t="s">
        <v>1054</v>
      </c>
      <c r="AA321" s="56" t="s">
        <v>2154</v>
      </c>
      <c r="AB321" s="56" t="e">
        <v>#N/A</v>
      </c>
      <c r="AC321" s="56" t="e">
        <v>#N/A</v>
      </c>
      <c r="AD321" s="56" t="s">
        <v>2155</v>
      </c>
      <c r="AE321" s="56" t="s">
        <v>2156</v>
      </c>
      <c r="AF321" s="56" t="s">
        <v>1060</v>
      </c>
      <c r="AG321" s="56" t="s">
        <v>2157</v>
      </c>
      <c r="AH321" s="56"/>
      <c r="AI321" s="56"/>
      <c r="AJ321" s="56"/>
      <c r="AK321" s="56"/>
      <c r="AL321" s="56"/>
      <c r="AM321" s="56"/>
      <c r="AN321" s="56"/>
      <c r="AO321" s="56"/>
      <c r="AP321" s="56"/>
      <c r="AQ321" s="131"/>
      <c r="AR321" s="130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</row>
    <row r="322" spans="1:56" x14ac:dyDescent="0.2">
      <c r="A322" s="56">
        <v>14122706</v>
      </c>
      <c r="B322" s="56">
        <v>175294669</v>
      </c>
      <c r="C322" s="56" t="s">
        <v>2158</v>
      </c>
      <c r="D322" s="56" t="s">
        <v>2159</v>
      </c>
      <c r="E322" s="56" t="s">
        <v>1047</v>
      </c>
      <c r="F322" s="56">
        <v>4</v>
      </c>
      <c r="G322" s="56">
        <v>7943</v>
      </c>
      <c r="H322" s="56" t="s">
        <v>1048</v>
      </c>
      <c r="I322" s="56" t="s">
        <v>2134</v>
      </c>
      <c r="J322" s="129">
        <v>46232</v>
      </c>
      <c r="K322" s="130">
        <v>0.20833333333333334</v>
      </c>
      <c r="L322" s="130">
        <v>0.24305555555555555</v>
      </c>
      <c r="M322" s="56" t="s">
        <v>1050</v>
      </c>
      <c r="N322" s="129">
        <v>46232</v>
      </c>
      <c r="O322" s="130">
        <v>0.29166666666666669</v>
      </c>
      <c r="P322" s="130">
        <v>0.26297453703703705</v>
      </c>
      <c r="Q322" s="56" t="s">
        <v>1050</v>
      </c>
      <c r="R322" s="56" t="s">
        <v>438</v>
      </c>
      <c r="S322" s="56">
        <v>31</v>
      </c>
      <c r="T322" s="131">
        <v>3.472222222222221E-2</v>
      </c>
      <c r="U322" s="130">
        <v>-2.8692129629629637E-2</v>
      </c>
      <c r="V322" s="56" t="s">
        <v>1051</v>
      </c>
      <c r="W322" s="56" t="s">
        <v>1052</v>
      </c>
      <c r="X322" s="56" t="s">
        <v>1053</v>
      </c>
      <c r="Y322" s="56">
        <v>31</v>
      </c>
      <c r="Z322" s="56" t="s">
        <v>1054</v>
      </c>
      <c r="AA322" s="56" t="s">
        <v>2160</v>
      </c>
      <c r="AB322" s="56" t="e">
        <v>#N/A</v>
      </c>
      <c r="AC322" s="56" t="e">
        <v>#N/A</v>
      </c>
      <c r="AD322" s="56" t="s">
        <v>2161</v>
      </c>
      <c r="AE322" s="56" t="s">
        <v>2162</v>
      </c>
      <c r="AF322" s="56" t="s">
        <v>1060</v>
      </c>
      <c r="AG322" s="56" t="s">
        <v>2163</v>
      </c>
      <c r="AH322" s="56"/>
      <c r="AI322" s="56"/>
      <c r="AJ322" s="56"/>
      <c r="AK322" s="56"/>
      <c r="AL322" s="56"/>
      <c r="AM322" s="56"/>
      <c r="AN322" s="56"/>
      <c r="AO322" s="56"/>
      <c r="AP322" s="56"/>
      <c r="AQ322" s="131"/>
      <c r="AR322" s="130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</row>
    <row r="323" spans="1:56" x14ac:dyDescent="0.2">
      <c r="A323" s="56">
        <v>14123004</v>
      </c>
      <c r="B323" s="56">
        <v>175306093</v>
      </c>
      <c r="C323" s="56" t="s">
        <v>1124</v>
      </c>
      <c r="D323" s="56" t="s">
        <v>1125</v>
      </c>
      <c r="E323" s="56" t="s">
        <v>1047</v>
      </c>
      <c r="F323" s="56">
        <v>45</v>
      </c>
      <c r="G323" s="56">
        <v>4875</v>
      </c>
      <c r="H323" s="56" t="s">
        <v>1048</v>
      </c>
      <c r="I323" s="56" t="s">
        <v>1090</v>
      </c>
      <c r="J323" s="129">
        <v>46232</v>
      </c>
      <c r="K323" s="130">
        <v>0.20833333333333334</v>
      </c>
      <c r="L323" s="130">
        <v>0.21180555555555555</v>
      </c>
      <c r="M323" s="56" t="s">
        <v>1050</v>
      </c>
      <c r="N323" s="129">
        <v>46232</v>
      </c>
      <c r="O323" s="130">
        <v>0.2673611111111111</v>
      </c>
      <c r="P323" s="130">
        <v>0.24968750000000001</v>
      </c>
      <c r="Q323" s="56" t="s">
        <v>1050</v>
      </c>
      <c r="R323" s="56" t="s">
        <v>468</v>
      </c>
      <c r="S323" s="56">
        <v>31</v>
      </c>
      <c r="T323" s="131">
        <v>3.4722222222222099E-3</v>
      </c>
      <c r="U323" s="130">
        <v>-1.7673611111111098E-2</v>
      </c>
      <c r="V323" s="56" t="s">
        <v>1051</v>
      </c>
      <c r="W323" s="56" t="s">
        <v>1052</v>
      </c>
      <c r="X323" s="56" t="s">
        <v>1053</v>
      </c>
      <c r="Y323" s="56">
        <v>31</v>
      </c>
      <c r="Z323" s="56" t="s">
        <v>1054</v>
      </c>
      <c r="AA323" s="56" t="s">
        <v>1126</v>
      </c>
      <c r="AB323" s="56" t="s">
        <v>1092</v>
      </c>
      <c r="AC323" s="56" t="s">
        <v>1078</v>
      </c>
      <c r="AD323" s="56" t="s">
        <v>1127</v>
      </c>
      <c r="AE323" s="56" t="s">
        <v>1128</v>
      </c>
      <c r="AF323" s="56" t="s">
        <v>1060</v>
      </c>
      <c r="AG323" s="56" t="s">
        <v>1129</v>
      </c>
      <c r="AH323" s="56"/>
      <c r="AI323" s="56"/>
      <c r="AJ323" s="56"/>
      <c r="AK323" s="56"/>
      <c r="AL323" s="56"/>
      <c r="AM323" s="56"/>
      <c r="AN323" s="56"/>
      <c r="AO323" s="56"/>
      <c r="AP323" s="56"/>
      <c r="AQ323" s="131"/>
      <c r="AR323" s="130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</row>
    <row r="324" spans="1:56" x14ac:dyDescent="0.2">
      <c r="A324" s="56">
        <v>14123789</v>
      </c>
      <c r="B324" s="56">
        <v>175306105</v>
      </c>
      <c r="C324" s="56" t="s">
        <v>2365</v>
      </c>
      <c r="D324" s="56" t="s">
        <v>2366</v>
      </c>
      <c r="E324" s="56" t="s">
        <v>1047</v>
      </c>
      <c r="F324" s="56">
        <v>51</v>
      </c>
      <c r="G324" s="56">
        <v>4165</v>
      </c>
      <c r="H324" s="56" t="s">
        <v>1048</v>
      </c>
      <c r="I324" s="56" t="s">
        <v>1090</v>
      </c>
      <c r="J324" s="129">
        <v>46232</v>
      </c>
      <c r="K324" s="130">
        <v>0.21041666666666667</v>
      </c>
      <c r="L324" s="130">
        <v>0.25624999999999998</v>
      </c>
      <c r="M324" s="56" t="s">
        <v>1050</v>
      </c>
      <c r="N324" s="129">
        <v>46232</v>
      </c>
      <c r="O324" s="130">
        <v>0.2673611111111111</v>
      </c>
      <c r="P324" s="130">
        <v>0.28765046296296298</v>
      </c>
      <c r="Q324" s="56" t="s">
        <v>1050</v>
      </c>
      <c r="R324" s="56" t="s">
        <v>964</v>
      </c>
      <c r="S324" s="56">
        <v>31</v>
      </c>
      <c r="T324" s="131">
        <v>4.5833333333333309E-2</v>
      </c>
      <c r="U324" s="130">
        <v>2.0289351851851878E-2</v>
      </c>
      <c r="V324" s="56" t="s">
        <v>1051</v>
      </c>
      <c r="W324" s="56" t="s">
        <v>1065</v>
      </c>
      <c r="X324" s="56" t="s">
        <v>1066</v>
      </c>
      <c r="Y324" s="56">
        <v>31</v>
      </c>
      <c r="Z324" s="56" t="s">
        <v>1054</v>
      </c>
      <c r="AA324" s="56" t="s">
        <v>2367</v>
      </c>
      <c r="AB324" s="56" t="s">
        <v>1092</v>
      </c>
      <c r="AC324" s="56" t="s">
        <v>1078</v>
      </c>
      <c r="AD324" s="56" t="s">
        <v>2368</v>
      </c>
      <c r="AE324" s="56" t="s">
        <v>2369</v>
      </c>
      <c r="AF324" s="56" t="s">
        <v>1060</v>
      </c>
      <c r="AG324" s="56" t="s">
        <v>2370</v>
      </c>
      <c r="AH324" s="56"/>
      <c r="AI324" s="56"/>
      <c r="AJ324" s="56"/>
      <c r="AK324" s="56"/>
      <c r="AL324" s="56"/>
      <c r="AM324" s="56"/>
      <c r="AN324" s="56"/>
      <c r="AO324" s="56"/>
      <c r="AP324" s="56"/>
      <c r="AQ324" s="131"/>
      <c r="AR324" s="130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</row>
    <row r="325" spans="1:56" x14ac:dyDescent="0.2">
      <c r="A325" s="56">
        <v>14120807</v>
      </c>
      <c r="B325" s="56">
        <v>175306045</v>
      </c>
      <c r="C325" s="56" t="s">
        <v>1137</v>
      </c>
      <c r="D325" s="56" t="s">
        <v>1138</v>
      </c>
      <c r="E325" s="56" t="s">
        <v>1047</v>
      </c>
      <c r="F325" s="56">
        <v>21</v>
      </c>
      <c r="G325" s="56">
        <v>4163</v>
      </c>
      <c r="H325" s="56" t="s">
        <v>1048</v>
      </c>
      <c r="I325" s="56" t="s">
        <v>1090</v>
      </c>
      <c r="J325" s="129">
        <v>46232</v>
      </c>
      <c r="K325" s="130">
        <v>0.21180555555555555</v>
      </c>
      <c r="L325" s="130">
        <v>0.21527777777777779</v>
      </c>
      <c r="M325" s="56" t="s">
        <v>1050</v>
      </c>
      <c r="N325" s="129">
        <v>46232</v>
      </c>
      <c r="O325" s="130">
        <v>0.2673611111111111</v>
      </c>
      <c r="P325" s="130">
        <v>0.24539351851851851</v>
      </c>
      <c r="Q325" s="56" t="s">
        <v>1050</v>
      </c>
      <c r="R325" s="56" t="s">
        <v>1139</v>
      </c>
      <c r="S325" s="56">
        <v>31</v>
      </c>
      <c r="T325" s="131">
        <v>3.4722222222222376E-3</v>
      </c>
      <c r="U325" s="130">
        <v>-2.1967592592592594E-2</v>
      </c>
      <c r="V325" s="56" t="s">
        <v>1051</v>
      </c>
      <c r="W325" s="56" t="s">
        <v>1052</v>
      </c>
      <c r="X325" s="56" t="s">
        <v>1053</v>
      </c>
      <c r="Y325" s="56">
        <v>31</v>
      </c>
      <c r="Z325" s="56" t="s">
        <v>1054</v>
      </c>
      <c r="AA325" s="56" t="s">
        <v>1140</v>
      </c>
      <c r="AB325" s="56" t="s">
        <v>1092</v>
      </c>
      <c r="AC325" s="56" t="s">
        <v>1078</v>
      </c>
      <c r="AD325" s="56" t="s">
        <v>1141</v>
      </c>
      <c r="AE325" s="56" t="s">
        <v>1142</v>
      </c>
      <c r="AF325" s="56" t="s">
        <v>1060</v>
      </c>
      <c r="AG325" s="56" t="s">
        <v>1143</v>
      </c>
      <c r="AH325" s="56"/>
      <c r="AI325" s="56"/>
      <c r="AJ325" s="56"/>
      <c r="AK325" s="56"/>
      <c r="AL325" s="56"/>
      <c r="AM325" s="56"/>
      <c r="AN325" s="56"/>
      <c r="AO325" s="56"/>
      <c r="AP325" s="56"/>
      <c r="AQ325" s="131"/>
      <c r="AR325" s="130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</row>
    <row r="326" spans="1:56" x14ac:dyDescent="0.2">
      <c r="A326" s="56">
        <v>14122673</v>
      </c>
      <c r="B326" s="56">
        <v>175294214</v>
      </c>
      <c r="C326" s="56" t="s">
        <v>1450</v>
      </c>
      <c r="D326" s="56" t="s">
        <v>1451</v>
      </c>
      <c r="E326" s="56" t="s">
        <v>1047</v>
      </c>
      <c r="F326" s="56">
        <v>17</v>
      </c>
      <c r="G326" s="56">
        <v>6352</v>
      </c>
      <c r="H326" s="56" t="s">
        <v>1048</v>
      </c>
      <c r="I326" s="56" t="s">
        <v>1118</v>
      </c>
      <c r="J326" s="129">
        <v>46232</v>
      </c>
      <c r="K326" s="130">
        <v>0.21319444444444444</v>
      </c>
      <c r="L326" s="130">
        <v>0.21666666666666667</v>
      </c>
      <c r="M326" s="56" t="s">
        <v>1050</v>
      </c>
      <c r="N326" s="129">
        <v>46232</v>
      </c>
      <c r="O326" s="130">
        <v>0.2673611111111111</v>
      </c>
      <c r="P326" s="130">
        <v>0.2525810185185185</v>
      </c>
      <c r="Q326" s="56" t="s">
        <v>1050</v>
      </c>
      <c r="R326" s="56" t="s">
        <v>432</v>
      </c>
      <c r="S326" s="56">
        <v>31</v>
      </c>
      <c r="T326" s="131">
        <v>3.4722222222222376E-3</v>
      </c>
      <c r="U326" s="130">
        <v>-1.4780092592592609E-2</v>
      </c>
      <c r="V326" s="56" t="s">
        <v>1051</v>
      </c>
      <c r="W326" s="56" t="s">
        <v>1052</v>
      </c>
      <c r="X326" s="56" t="s">
        <v>1053</v>
      </c>
      <c r="Y326" s="56">
        <v>31</v>
      </c>
      <c r="Z326" s="56" t="s">
        <v>1054</v>
      </c>
      <c r="AA326" s="56" t="s">
        <v>1452</v>
      </c>
      <c r="AB326" s="56" t="s">
        <v>1120</v>
      </c>
      <c r="AC326" s="56" t="s">
        <v>1078</v>
      </c>
      <c r="AD326" s="56" t="s">
        <v>1453</v>
      </c>
      <c r="AE326" s="56" t="s">
        <v>1454</v>
      </c>
      <c r="AF326" s="56" t="s">
        <v>1060</v>
      </c>
      <c r="AG326" s="56" t="s">
        <v>1455</v>
      </c>
      <c r="AH326" s="56"/>
      <c r="AI326" s="56"/>
      <c r="AJ326" s="56"/>
      <c r="AK326" s="56"/>
      <c r="AL326" s="56"/>
      <c r="AM326" s="56"/>
      <c r="AN326" s="56"/>
      <c r="AO326" s="56"/>
      <c r="AP326" s="56"/>
      <c r="AQ326" s="131"/>
      <c r="AR326" s="130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</row>
    <row r="327" spans="1:56" x14ac:dyDescent="0.2">
      <c r="A327" s="56"/>
      <c r="B327" s="56">
        <v>175284329</v>
      </c>
      <c r="C327" s="56" t="s">
        <v>1886</v>
      </c>
      <c r="D327" s="56" t="s">
        <v>1627</v>
      </c>
      <c r="E327" s="56" t="s">
        <v>1047</v>
      </c>
      <c r="F327" s="56">
        <v>68</v>
      </c>
      <c r="G327" s="56">
        <v>13416</v>
      </c>
      <c r="H327" s="56" t="s">
        <v>1048</v>
      </c>
      <c r="I327" s="56" t="s">
        <v>1075</v>
      </c>
      <c r="J327" s="129">
        <v>46232</v>
      </c>
      <c r="K327" s="130">
        <v>0.21527777777777779</v>
      </c>
      <c r="L327" s="130">
        <v>0.22361111111111112</v>
      </c>
      <c r="M327" s="56" t="s">
        <v>1050</v>
      </c>
      <c r="N327" s="129">
        <v>46232</v>
      </c>
      <c r="O327" s="130">
        <v>0.2673611111111111</v>
      </c>
      <c r="P327" s="130">
        <v>0.25649305555555557</v>
      </c>
      <c r="Q327" s="56" t="s">
        <v>1050</v>
      </c>
      <c r="R327" s="56" t="s">
        <v>1414</v>
      </c>
      <c r="S327" s="56">
        <v>31</v>
      </c>
      <c r="T327" s="131">
        <v>8.3333333333333315E-3</v>
      </c>
      <c r="U327" s="130">
        <v>-1.0868055555555534E-2</v>
      </c>
      <c r="V327" s="56" t="s">
        <v>1051</v>
      </c>
      <c r="W327" s="56" t="s">
        <v>1052</v>
      </c>
      <c r="X327" s="56" t="s">
        <v>1053</v>
      </c>
      <c r="Y327" s="56">
        <v>31</v>
      </c>
      <c r="Z327" s="56" t="s">
        <v>1054</v>
      </c>
      <c r="AA327" s="56" t="s">
        <v>1628</v>
      </c>
      <c r="AB327" s="56" t="s">
        <v>1077</v>
      </c>
      <c r="AC327" s="56" t="s">
        <v>1078</v>
      </c>
      <c r="AD327" s="56" t="s">
        <v>1629</v>
      </c>
      <c r="AE327" s="56" t="s">
        <v>1630</v>
      </c>
      <c r="AF327" s="56" t="s">
        <v>1060</v>
      </c>
      <c r="AG327" s="56" t="s">
        <v>1887</v>
      </c>
      <c r="AH327" s="56"/>
      <c r="AI327" s="56"/>
      <c r="AJ327" s="56"/>
      <c r="AK327" s="56"/>
      <c r="AL327" s="56"/>
      <c r="AM327" s="56"/>
      <c r="AN327" s="56"/>
      <c r="AO327" s="56"/>
      <c r="AP327" s="56"/>
      <c r="AQ327" s="131"/>
      <c r="AR327" s="130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</row>
    <row r="328" spans="1:56" x14ac:dyDescent="0.2">
      <c r="A328" s="56">
        <v>14109430</v>
      </c>
      <c r="B328" s="56">
        <v>175290093</v>
      </c>
      <c r="C328" s="56" t="s">
        <v>2185</v>
      </c>
      <c r="D328" s="56" t="s">
        <v>2186</v>
      </c>
      <c r="E328" s="56" t="s">
        <v>1047</v>
      </c>
      <c r="F328" s="56">
        <v>5</v>
      </c>
      <c r="G328" s="56">
        <v>13727</v>
      </c>
      <c r="H328" s="56" t="s">
        <v>1048</v>
      </c>
      <c r="I328" s="56" t="s">
        <v>1340</v>
      </c>
      <c r="J328" s="129">
        <v>46232</v>
      </c>
      <c r="K328" s="130">
        <v>0.21527777777777779</v>
      </c>
      <c r="L328" s="130">
        <v>0.21875</v>
      </c>
      <c r="M328" s="56" t="s">
        <v>1050</v>
      </c>
      <c r="N328" s="129">
        <v>46232</v>
      </c>
      <c r="O328" s="130">
        <v>0.23958333333333334</v>
      </c>
      <c r="P328" s="130">
        <v>0.23351851851851851</v>
      </c>
      <c r="Q328" s="56" t="s">
        <v>1050</v>
      </c>
      <c r="R328" s="56" t="s">
        <v>87</v>
      </c>
      <c r="S328" s="56">
        <v>31</v>
      </c>
      <c r="T328" s="131">
        <v>3.4722222222222099E-3</v>
      </c>
      <c r="U328" s="130">
        <v>-6.0648148148148284E-3</v>
      </c>
      <c r="V328" s="56" t="s">
        <v>1051</v>
      </c>
      <c r="W328" s="56" t="s">
        <v>1052</v>
      </c>
      <c r="X328" s="56" t="s">
        <v>1053</v>
      </c>
      <c r="Y328" s="56">
        <v>31</v>
      </c>
      <c r="Z328" s="56" t="s">
        <v>1054</v>
      </c>
      <c r="AA328" s="56" t="s">
        <v>2187</v>
      </c>
      <c r="AB328" s="56" t="s">
        <v>1342</v>
      </c>
      <c r="AC328" s="56" t="s">
        <v>1069</v>
      </c>
      <c r="AD328" s="56" t="s">
        <v>2188</v>
      </c>
      <c r="AE328" s="56" t="s">
        <v>2189</v>
      </c>
      <c r="AF328" s="56" t="s">
        <v>1060</v>
      </c>
      <c r="AG328" s="56" t="s">
        <v>2190</v>
      </c>
      <c r="AH328" s="56"/>
      <c r="AI328" s="56"/>
      <c r="AJ328" s="56"/>
      <c r="AK328" s="56"/>
      <c r="AL328" s="56"/>
      <c r="AM328" s="56"/>
      <c r="AN328" s="56"/>
      <c r="AO328" s="56"/>
      <c r="AP328" s="56"/>
      <c r="AQ328" s="131"/>
      <c r="AR328" s="130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</row>
    <row r="329" spans="1:56" x14ac:dyDescent="0.2">
      <c r="A329" s="56">
        <v>14108222</v>
      </c>
      <c r="B329" s="56">
        <v>175294234</v>
      </c>
      <c r="C329" s="56" t="s">
        <v>1468</v>
      </c>
      <c r="D329" s="56" t="s">
        <v>1242</v>
      </c>
      <c r="E329" s="56" t="s">
        <v>1047</v>
      </c>
      <c r="F329" s="56">
        <v>25</v>
      </c>
      <c r="G329" s="56">
        <v>13418</v>
      </c>
      <c r="H329" s="56" t="s">
        <v>1048</v>
      </c>
      <c r="I329" s="56" t="s">
        <v>1118</v>
      </c>
      <c r="J329" s="129">
        <v>46232</v>
      </c>
      <c r="K329" s="130">
        <v>0.21527777777777779</v>
      </c>
      <c r="L329" s="130">
        <v>0.22430555555555556</v>
      </c>
      <c r="M329" s="56" t="s">
        <v>1050</v>
      </c>
      <c r="N329" s="129">
        <v>46232</v>
      </c>
      <c r="O329" s="130">
        <v>0.2673611111111111</v>
      </c>
      <c r="P329" s="130">
        <v>0.25756944444444446</v>
      </c>
      <c r="Q329" s="56" t="s">
        <v>1050</v>
      </c>
      <c r="R329" s="56" t="s">
        <v>71</v>
      </c>
      <c r="S329" s="56">
        <v>31</v>
      </c>
      <c r="T329" s="131">
        <v>9.0277777777777735E-3</v>
      </c>
      <c r="U329" s="130">
        <v>-9.791666666666643E-3</v>
      </c>
      <c r="V329" s="56" t="s">
        <v>1051</v>
      </c>
      <c r="W329" s="56" t="s">
        <v>1052</v>
      </c>
      <c r="X329" s="56" t="s">
        <v>1053</v>
      </c>
      <c r="Y329" s="56">
        <v>31</v>
      </c>
      <c r="Z329" s="56" t="s">
        <v>1054</v>
      </c>
      <c r="AA329" s="56" t="s">
        <v>1243</v>
      </c>
      <c r="AB329" s="56" t="s">
        <v>1120</v>
      </c>
      <c r="AC329" s="56" t="s">
        <v>1078</v>
      </c>
      <c r="AD329" s="56" t="s">
        <v>1244</v>
      </c>
      <c r="AE329" s="56" t="s">
        <v>1245</v>
      </c>
      <c r="AF329" s="56" t="s">
        <v>1060</v>
      </c>
      <c r="AG329" s="56" t="s">
        <v>1469</v>
      </c>
      <c r="AH329" s="56"/>
      <c r="AI329" s="56"/>
      <c r="AJ329" s="56"/>
      <c r="AK329" s="56"/>
      <c r="AL329" s="56"/>
      <c r="AM329" s="56"/>
      <c r="AN329" s="56"/>
      <c r="AO329" s="56"/>
      <c r="AP329" s="56"/>
      <c r="AQ329" s="131"/>
      <c r="AR329" s="130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</row>
    <row r="330" spans="1:56" x14ac:dyDescent="0.2">
      <c r="A330" s="56">
        <v>14107217</v>
      </c>
      <c r="B330" s="56">
        <v>175306161</v>
      </c>
      <c r="C330" s="56" t="s">
        <v>2191</v>
      </c>
      <c r="D330" s="56" t="s">
        <v>1316</v>
      </c>
      <c r="E330" s="56" t="s">
        <v>1047</v>
      </c>
      <c r="F330" s="56">
        <v>79</v>
      </c>
      <c r="G330" s="56">
        <v>6885</v>
      </c>
      <c r="H330" s="56" t="s">
        <v>1048</v>
      </c>
      <c r="I330" s="56" t="s">
        <v>1090</v>
      </c>
      <c r="J330" s="129">
        <v>46232</v>
      </c>
      <c r="K330" s="130">
        <v>0.21527777777777779</v>
      </c>
      <c r="L330" s="130">
        <v>0.22222222222222221</v>
      </c>
      <c r="M330" s="56" t="s">
        <v>1050</v>
      </c>
      <c r="N330" s="129">
        <v>46232</v>
      </c>
      <c r="O330" s="130">
        <v>0.2673611111111111</v>
      </c>
      <c r="P330" s="130">
        <v>0.25638888888888889</v>
      </c>
      <c r="Q330" s="56" t="s">
        <v>1050</v>
      </c>
      <c r="R330" s="56" t="s">
        <v>59</v>
      </c>
      <c r="S330" s="56">
        <v>31</v>
      </c>
      <c r="T330" s="131">
        <v>6.9444444444444198E-3</v>
      </c>
      <c r="U330" s="130">
        <v>-1.0972222222222217E-2</v>
      </c>
      <c r="V330" s="56" t="s">
        <v>1051</v>
      </c>
      <c r="W330" s="56" t="s">
        <v>1052</v>
      </c>
      <c r="X330" s="56" t="s">
        <v>1053</v>
      </c>
      <c r="Y330" s="56">
        <v>31</v>
      </c>
      <c r="Z330" s="56" t="s">
        <v>1054</v>
      </c>
      <c r="AA330" s="56" t="s">
        <v>1317</v>
      </c>
      <c r="AB330" s="56" t="s">
        <v>1092</v>
      </c>
      <c r="AC330" s="56" t="s">
        <v>1078</v>
      </c>
      <c r="AD330" s="56" t="s">
        <v>1318</v>
      </c>
      <c r="AE330" s="56" t="s">
        <v>1319</v>
      </c>
      <c r="AF330" s="56" t="s">
        <v>1060</v>
      </c>
      <c r="AG330" s="56" t="s">
        <v>2192</v>
      </c>
      <c r="AH330" s="56"/>
      <c r="AI330" s="56"/>
      <c r="AJ330" s="56"/>
      <c r="AK330" s="56"/>
      <c r="AL330" s="56"/>
      <c r="AM330" s="56"/>
      <c r="AN330" s="56"/>
      <c r="AO330" s="56"/>
      <c r="AP330" s="56"/>
      <c r="AQ330" s="131"/>
      <c r="AR330" s="130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</row>
    <row r="331" spans="1:56" x14ac:dyDescent="0.2">
      <c r="A331" s="56">
        <v>14100718</v>
      </c>
      <c r="B331" s="56">
        <v>175306602</v>
      </c>
      <c r="C331" s="56" t="s">
        <v>2371</v>
      </c>
      <c r="D331" s="56" t="s">
        <v>2372</v>
      </c>
      <c r="E331" s="56" t="s">
        <v>1047</v>
      </c>
      <c r="F331" s="56">
        <v>231</v>
      </c>
      <c r="G331" s="56">
        <v>6782</v>
      </c>
      <c r="H331" s="56" t="s">
        <v>1048</v>
      </c>
      <c r="I331" s="56" t="s">
        <v>1104</v>
      </c>
      <c r="J331" s="129">
        <v>46232</v>
      </c>
      <c r="K331" s="130">
        <v>0.21527777777777779</v>
      </c>
      <c r="L331" s="130">
        <v>0.22430555555555556</v>
      </c>
      <c r="M331" s="56" t="s">
        <v>1050</v>
      </c>
      <c r="N331" s="129">
        <v>46232</v>
      </c>
      <c r="O331" s="130">
        <v>0.2673611111111111</v>
      </c>
      <c r="P331" s="130">
        <v>0.25821759259259258</v>
      </c>
      <c r="Q331" s="56" t="s">
        <v>1050</v>
      </c>
      <c r="R331" s="56" t="s">
        <v>8</v>
      </c>
      <c r="S331" s="56">
        <v>31</v>
      </c>
      <c r="T331" s="131">
        <v>9.0277777777777735E-3</v>
      </c>
      <c r="U331" s="130">
        <v>-9.143518518518523E-3</v>
      </c>
      <c r="V331" s="56" t="s">
        <v>1051</v>
      </c>
      <c r="W331" s="56" t="s">
        <v>1052</v>
      </c>
      <c r="X331" s="56" t="s">
        <v>1053</v>
      </c>
      <c r="Y331" s="56">
        <v>31</v>
      </c>
      <c r="Z331" s="56" t="s">
        <v>1054</v>
      </c>
      <c r="AA331" s="56" t="s">
        <v>2373</v>
      </c>
      <c r="AB331" s="56" t="s">
        <v>1106</v>
      </c>
      <c r="AC331" s="56" t="s">
        <v>1078</v>
      </c>
      <c r="AD331" s="56" t="s">
        <v>2374</v>
      </c>
      <c r="AE331" s="56" t="s">
        <v>2375</v>
      </c>
      <c r="AF331" s="56" t="s">
        <v>1060</v>
      </c>
      <c r="AG331" s="56" t="s">
        <v>2376</v>
      </c>
      <c r="AH331" s="56"/>
      <c r="AI331" s="56"/>
      <c r="AJ331" s="56"/>
      <c r="AK331" s="56"/>
      <c r="AL331" s="56"/>
      <c r="AM331" s="56"/>
      <c r="AN331" s="56"/>
      <c r="AO331" s="56"/>
      <c r="AP331" s="56"/>
      <c r="AQ331" s="131"/>
      <c r="AR331" s="130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</row>
    <row r="332" spans="1:56" x14ac:dyDescent="0.2">
      <c r="A332" s="56">
        <v>14123536</v>
      </c>
      <c r="B332" s="56">
        <v>175308305</v>
      </c>
      <c r="C332" s="56" t="s">
        <v>2377</v>
      </c>
      <c r="D332" s="56" t="s">
        <v>2378</v>
      </c>
      <c r="E332" s="56" t="s">
        <v>1047</v>
      </c>
      <c r="F332" s="56">
        <v>20</v>
      </c>
      <c r="G332" s="56">
        <v>13944</v>
      </c>
      <c r="H332" s="56" t="s">
        <v>1048</v>
      </c>
      <c r="I332" s="56" t="s">
        <v>1407</v>
      </c>
      <c r="J332" s="129">
        <v>46232</v>
      </c>
      <c r="K332" s="130">
        <v>0.21527777777777779</v>
      </c>
      <c r="L332" s="130">
        <v>0.22013888888888888</v>
      </c>
      <c r="M332" s="56" t="s">
        <v>1050</v>
      </c>
      <c r="N332" s="129">
        <v>46232</v>
      </c>
      <c r="O332" s="130">
        <v>0.24652777777777779</v>
      </c>
      <c r="P332" s="130">
        <v>0.23749999999999999</v>
      </c>
      <c r="Q332" s="56" t="s">
        <v>1050</v>
      </c>
      <c r="R332" s="56" t="s">
        <v>2379</v>
      </c>
      <c r="S332" s="56">
        <v>31</v>
      </c>
      <c r="T332" s="131">
        <v>4.8611111111110938E-3</v>
      </c>
      <c r="U332" s="130">
        <v>-9.0277777777778012E-3</v>
      </c>
      <c r="V332" s="56" t="s">
        <v>1051</v>
      </c>
      <c r="W332" s="56" t="s">
        <v>1052</v>
      </c>
      <c r="X332" s="56" t="s">
        <v>1053</v>
      </c>
      <c r="Y332" s="56">
        <v>31</v>
      </c>
      <c r="Z332" s="56" t="s">
        <v>1054</v>
      </c>
      <c r="AA332" s="56" t="s">
        <v>2380</v>
      </c>
      <c r="AB332" s="56" t="s">
        <v>1257</v>
      </c>
      <c r="AC332" s="56" t="s">
        <v>1069</v>
      </c>
      <c r="AD332" s="56" t="s">
        <v>2381</v>
      </c>
      <c r="AE332" s="56" t="s">
        <v>2382</v>
      </c>
      <c r="AF332" s="56" t="s">
        <v>1060</v>
      </c>
      <c r="AG332" s="56" t="s">
        <v>2383</v>
      </c>
      <c r="AH332" s="56"/>
      <c r="AI332" s="56"/>
      <c r="AJ332" s="56"/>
      <c r="AK332" s="56"/>
      <c r="AL332" s="56"/>
      <c r="AM332" s="56"/>
      <c r="AN332" s="56"/>
      <c r="AO332" s="56"/>
      <c r="AP332" s="56"/>
      <c r="AQ332" s="131"/>
      <c r="AR332" s="130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</row>
    <row r="333" spans="1:56" x14ac:dyDescent="0.2">
      <c r="A333" s="56">
        <v>14103183</v>
      </c>
      <c r="B333" s="56">
        <v>175290087</v>
      </c>
      <c r="C333" s="56" t="s">
        <v>2195</v>
      </c>
      <c r="D333" s="56" t="s">
        <v>1339</v>
      </c>
      <c r="E333" s="56" t="s">
        <v>1047</v>
      </c>
      <c r="F333" s="56">
        <v>1</v>
      </c>
      <c r="G333" s="56">
        <v>15313</v>
      </c>
      <c r="H333" s="56" t="s">
        <v>1048</v>
      </c>
      <c r="I333" s="56" t="s">
        <v>1340</v>
      </c>
      <c r="J333" s="129">
        <v>46232</v>
      </c>
      <c r="K333" s="130">
        <v>0.21875</v>
      </c>
      <c r="L333" s="130">
        <v>0.22222222222222221</v>
      </c>
      <c r="M333" s="56" t="s">
        <v>1050</v>
      </c>
      <c r="N333" s="129">
        <v>46232</v>
      </c>
      <c r="O333" s="130">
        <v>0.23958333333333334</v>
      </c>
      <c r="P333" s="130">
        <v>0.23524305555555555</v>
      </c>
      <c r="Q333" s="56" t="s">
        <v>1050</v>
      </c>
      <c r="R333" s="56" t="s">
        <v>35</v>
      </c>
      <c r="S333" s="56">
        <v>31</v>
      </c>
      <c r="T333" s="131">
        <v>3.4722222222222099E-3</v>
      </c>
      <c r="U333" s="130">
        <v>-4.3402777777777901E-3</v>
      </c>
      <c r="V333" s="56" t="s">
        <v>1051</v>
      </c>
      <c r="W333" s="56" t="s">
        <v>1052</v>
      </c>
      <c r="X333" s="56" t="s">
        <v>1053</v>
      </c>
      <c r="Y333" s="56">
        <v>31</v>
      </c>
      <c r="Z333" s="56" t="s">
        <v>1054</v>
      </c>
      <c r="AA333" s="56" t="s">
        <v>1341</v>
      </c>
      <c r="AB333" s="56" t="s">
        <v>1342</v>
      </c>
      <c r="AC333" s="56" t="s">
        <v>1069</v>
      </c>
      <c r="AD333" s="56" t="s">
        <v>1343</v>
      </c>
      <c r="AE333" s="56" t="s">
        <v>1344</v>
      </c>
      <c r="AF333" s="56" t="s">
        <v>1060</v>
      </c>
      <c r="AG333" s="56" t="s">
        <v>2196</v>
      </c>
      <c r="AH333" s="56"/>
      <c r="AI333" s="56"/>
      <c r="AJ333" s="56"/>
      <c r="AK333" s="56"/>
      <c r="AL333" s="56"/>
      <c r="AM333" s="56"/>
      <c r="AN333" s="56"/>
      <c r="AO333" s="56"/>
      <c r="AP333" s="56"/>
      <c r="AQ333" s="131"/>
      <c r="AR333" s="130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</row>
    <row r="334" spans="1:56" x14ac:dyDescent="0.2">
      <c r="A334" s="56">
        <v>14123894</v>
      </c>
      <c r="B334" s="56">
        <v>175306370</v>
      </c>
      <c r="C334" s="56" t="s">
        <v>2384</v>
      </c>
      <c r="D334" s="56" t="s">
        <v>1527</v>
      </c>
      <c r="E334" s="56" t="s">
        <v>1047</v>
      </c>
      <c r="F334" s="56">
        <v>227</v>
      </c>
      <c r="G334" s="56">
        <v>4980</v>
      </c>
      <c r="H334" s="56" t="s">
        <v>1048</v>
      </c>
      <c r="I334" s="56" t="s">
        <v>1104</v>
      </c>
      <c r="J334" s="129">
        <v>46232</v>
      </c>
      <c r="K334" s="130">
        <v>0.21875</v>
      </c>
      <c r="L334" s="130">
        <v>0.23402777777777778</v>
      </c>
      <c r="M334" s="56" t="s">
        <v>1050</v>
      </c>
      <c r="N334" s="129">
        <v>46232</v>
      </c>
      <c r="O334" s="130">
        <v>0.2673611111111111</v>
      </c>
      <c r="P334" s="130">
        <v>0.2737384259259259</v>
      </c>
      <c r="Q334" s="56" t="s">
        <v>1050</v>
      </c>
      <c r="R334" s="56" t="s">
        <v>981</v>
      </c>
      <c r="S334" s="56">
        <v>31</v>
      </c>
      <c r="T334" s="131">
        <v>1.5277777777777779E-2</v>
      </c>
      <c r="U334" s="130">
        <v>6.377314814814794E-3</v>
      </c>
      <c r="V334" s="56" t="s">
        <v>1051</v>
      </c>
      <c r="W334" s="56" t="s">
        <v>1065</v>
      </c>
      <c r="X334" s="56" t="s">
        <v>1066</v>
      </c>
      <c r="Y334" s="56">
        <v>31</v>
      </c>
      <c r="Z334" s="56" t="s">
        <v>1054</v>
      </c>
      <c r="AA334" s="56" t="s">
        <v>2250</v>
      </c>
      <c r="AB334" s="56" t="s">
        <v>1106</v>
      </c>
      <c r="AC334" s="56" t="s">
        <v>1078</v>
      </c>
      <c r="AD334" s="56" t="s">
        <v>2251</v>
      </c>
      <c r="AE334" s="56" t="s">
        <v>2252</v>
      </c>
      <c r="AF334" s="56" t="s">
        <v>1060</v>
      </c>
      <c r="AG334" s="56" t="s">
        <v>2385</v>
      </c>
      <c r="AH334" s="56"/>
      <c r="AI334" s="56"/>
      <c r="AJ334" s="56"/>
      <c r="AK334" s="56"/>
      <c r="AL334" s="56"/>
      <c r="AM334" s="56"/>
      <c r="AN334" s="56"/>
      <c r="AO334" s="56"/>
      <c r="AP334" s="56"/>
      <c r="AQ334" s="131"/>
      <c r="AR334" s="130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</row>
    <row r="335" spans="1:56" x14ac:dyDescent="0.2">
      <c r="A335" s="56">
        <v>14123651</v>
      </c>
      <c r="B335" s="56">
        <v>175294256</v>
      </c>
      <c r="C335" s="56" t="s">
        <v>2386</v>
      </c>
      <c r="D335" s="56" t="s">
        <v>2387</v>
      </c>
      <c r="E335" s="56" t="s">
        <v>1047</v>
      </c>
      <c r="F335" s="56">
        <v>33</v>
      </c>
      <c r="G335" s="56">
        <v>13901</v>
      </c>
      <c r="H335" s="56" t="s">
        <v>1048</v>
      </c>
      <c r="I335" s="56" t="s">
        <v>1118</v>
      </c>
      <c r="J335" s="129">
        <v>46232</v>
      </c>
      <c r="K335" s="130">
        <v>0.22222222222222221</v>
      </c>
      <c r="L335" s="130">
        <v>0.22916666666666666</v>
      </c>
      <c r="M335" s="56" t="s">
        <v>1050</v>
      </c>
      <c r="N335" s="129">
        <v>46232</v>
      </c>
      <c r="O335" s="130">
        <v>0.2673611111111111</v>
      </c>
      <c r="P335" s="130">
        <v>0.26024305555555555</v>
      </c>
      <c r="Q335" s="56" t="s">
        <v>1050</v>
      </c>
      <c r="R335" s="56" t="s">
        <v>904</v>
      </c>
      <c r="S335" s="56">
        <v>31</v>
      </c>
      <c r="T335" s="131">
        <v>6.9444444444444475E-3</v>
      </c>
      <c r="U335" s="130">
        <v>-7.118055555555558E-3</v>
      </c>
      <c r="V335" s="56" t="s">
        <v>1051</v>
      </c>
      <c r="W335" s="56" t="s">
        <v>1052</v>
      </c>
      <c r="X335" s="56" t="s">
        <v>1053</v>
      </c>
      <c r="Y335" s="56">
        <v>31</v>
      </c>
      <c r="Z335" s="56" t="s">
        <v>1054</v>
      </c>
      <c r="AA335" s="56" t="s">
        <v>2388</v>
      </c>
      <c r="AB335" s="56" t="s">
        <v>1120</v>
      </c>
      <c r="AC335" s="56" t="s">
        <v>1078</v>
      </c>
      <c r="AD335" s="56" t="s">
        <v>2389</v>
      </c>
      <c r="AE335" s="56" t="s">
        <v>2390</v>
      </c>
      <c r="AF335" s="56" t="s">
        <v>1060</v>
      </c>
      <c r="AG335" s="56" t="s">
        <v>2391</v>
      </c>
      <c r="AH335" s="56"/>
      <c r="AI335" s="56"/>
      <c r="AJ335" s="56"/>
      <c r="AK335" s="56"/>
      <c r="AL335" s="56"/>
      <c r="AM335" s="56"/>
      <c r="AN335" s="56"/>
      <c r="AO335" s="56"/>
      <c r="AP335" s="56"/>
      <c r="AQ335" s="131"/>
      <c r="AR335" s="130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</row>
    <row r="336" spans="1:56" x14ac:dyDescent="0.2">
      <c r="A336" s="56">
        <v>14100740</v>
      </c>
      <c r="B336" s="56">
        <v>175294473</v>
      </c>
      <c r="C336" s="56" t="s">
        <v>2392</v>
      </c>
      <c r="D336" s="56" t="s">
        <v>2393</v>
      </c>
      <c r="E336" s="56" t="s">
        <v>1047</v>
      </c>
      <c r="F336" s="56">
        <v>90</v>
      </c>
      <c r="G336" s="56">
        <v>16736</v>
      </c>
      <c r="H336" s="56" t="s">
        <v>1048</v>
      </c>
      <c r="I336" s="56" t="s">
        <v>1104</v>
      </c>
      <c r="J336" s="129">
        <v>46232</v>
      </c>
      <c r="K336" s="130">
        <v>0.22222222222222221</v>
      </c>
      <c r="L336" s="130">
        <v>0.22777777777777777</v>
      </c>
      <c r="M336" s="56" t="s">
        <v>1050</v>
      </c>
      <c r="N336" s="129">
        <v>46232</v>
      </c>
      <c r="O336" s="130">
        <v>0.2673611111111111</v>
      </c>
      <c r="P336" s="130">
        <v>0.24846064814814814</v>
      </c>
      <c r="Q336" s="56" t="s">
        <v>1050</v>
      </c>
      <c r="R336" s="56" t="s">
        <v>18</v>
      </c>
      <c r="S336" s="56">
        <v>31</v>
      </c>
      <c r="T336" s="131">
        <v>5.5555555555555636E-3</v>
      </c>
      <c r="U336" s="130">
        <v>-1.8900462962962966E-2</v>
      </c>
      <c r="V336" s="56" t="s">
        <v>1051</v>
      </c>
      <c r="W336" s="56" t="s">
        <v>1052</v>
      </c>
      <c r="X336" s="56" t="s">
        <v>1053</v>
      </c>
      <c r="Y336" s="56">
        <v>31</v>
      </c>
      <c r="Z336" s="56" t="s">
        <v>1054</v>
      </c>
      <c r="AA336" s="56" t="s">
        <v>2394</v>
      </c>
      <c r="AB336" s="56" t="s">
        <v>1106</v>
      </c>
      <c r="AC336" s="56" t="s">
        <v>1078</v>
      </c>
      <c r="AD336" s="56" t="s">
        <v>2395</v>
      </c>
      <c r="AE336" s="56" t="s">
        <v>2396</v>
      </c>
      <c r="AF336" s="56" t="s">
        <v>1060</v>
      </c>
      <c r="AG336" s="56" t="s">
        <v>2397</v>
      </c>
      <c r="AH336" s="56"/>
      <c r="AI336" s="56"/>
      <c r="AJ336" s="56"/>
      <c r="AK336" s="56"/>
      <c r="AL336" s="56"/>
      <c r="AM336" s="56"/>
      <c r="AN336" s="56"/>
      <c r="AO336" s="56"/>
      <c r="AP336" s="56"/>
      <c r="AQ336" s="131"/>
      <c r="AR336" s="130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</row>
    <row r="337" spans="1:56" x14ac:dyDescent="0.2">
      <c r="A337" s="56">
        <v>14116431</v>
      </c>
      <c r="B337" s="56">
        <v>175294224</v>
      </c>
      <c r="C337" s="56" t="s">
        <v>2398</v>
      </c>
      <c r="D337" s="56" t="s">
        <v>2399</v>
      </c>
      <c r="E337" s="56" t="s">
        <v>1047</v>
      </c>
      <c r="F337" s="56">
        <v>21</v>
      </c>
      <c r="G337" s="56">
        <v>16785</v>
      </c>
      <c r="H337" s="56" t="s">
        <v>1048</v>
      </c>
      <c r="I337" s="56" t="s">
        <v>1118</v>
      </c>
      <c r="J337" s="129">
        <v>46232</v>
      </c>
      <c r="K337" s="130">
        <v>0.22361111111111112</v>
      </c>
      <c r="L337" s="130">
        <v>0.24097222222222223</v>
      </c>
      <c r="M337" s="56" t="s">
        <v>1050</v>
      </c>
      <c r="N337" s="129">
        <v>46232</v>
      </c>
      <c r="O337" s="130">
        <v>0.2673611111111111</v>
      </c>
      <c r="P337" s="130">
        <v>0.27033564814814814</v>
      </c>
      <c r="Q337" s="56" t="s">
        <v>1050</v>
      </c>
      <c r="R337" s="56" t="s">
        <v>1132</v>
      </c>
      <c r="S337" s="56">
        <v>31</v>
      </c>
      <c r="T337" s="131">
        <v>1.7361111111111105E-2</v>
      </c>
      <c r="U337" s="130">
        <v>2.9745370370370394E-3</v>
      </c>
      <c r="V337" s="56" t="s">
        <v>1051</v>
      </c>
      <c r="W337" s="56" t="s">
        <v>1052</v>
      </c>
      <c r="X337" s="56" t="s">
        <v>1053</v>
      </c>
      <c r="Y337" s="56">
        <v>31</v>
      </c>
      <c r="Z337" s="56" t="s">
        <v>1054</v>
      </c>
      <c r="AA337" s="56" t="s">
        <v>2400</v>
      </c>
      <c r="AB337" s="56" t="s">
        <v>1120</v>
      </c>
      <c r="AC337" s="56" t="s">
        <v>1078</v>
      </c>
      <c r="AD337" s="56" t="s">
        <v>2401</v>
      </c>
      <c r="AE337" s="56" t="s">
        <v>2402</v>
      </c>
      <c r="AF337" s="56" t="s">
        <v>1060</v>
      </c>
      <c r="AG337" s="56" t="s">
        <v>2403</v>
      </c>
      <c r="AH337" s="56"/>
      <c r="AI337" s="56"/>
      <c r="AJ337" s="56"/>
      <c r="AK337" s="56"/>
      <c r="AL337" s="56"/>
      <c r="AM337" s="56"/>
      <c r="AN337" s="56"/>
      <c r="AO337" s="56"/>
      <c r="AP337" s="56"/>
      <c r="AQ337" s="131"/>
      <c r="AR337" s="130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</row>
    <row r="338" spans="1:56" x14ac:dyDescent="0.2">
      <c r="A338" s="56">
        <v>14121104</v>
      </c>
      <c r="B338" s="56">
        <v>175294565</v>
      </c>
      <c r="C338" s="56" t="s">
        <v>2404</v>
      </c>
      <c r="D338" s="56" t="s">
        <v>2405</v>
      </c>
      <c r="E338" s="56" t="s">
        <v>1047</v>
      </c>
      <c r="F338" s="56">
        <v>125</v>
      </c>
      <c r="G338" s="56">
        <v>15994</v>
      </c>
      <c r="H338" s="56" t="s">
        <v>1048</v>
      </c>
      <c r="I338" s="56" t="s">
        <v>1104</v>
      </c>
      <c r="J338" s="129">
        <v>46232</v>
      </c>
      <c r="K338" s="130">
        <v>0.22569444444444445</v>
      </c>
      <c r="L338" s="130">
        <v>0.23402777777777778</v>
      </c>
      <c r="M338" s="56" t="s">
        <v>1050</v>
      </c>
      <c r="N338" s="129">
        <v>46232</v>
      </c>
      <c r="O338" s="130">
        <v>0.2673611111111111</v>
      </c>
      <c r="P338" s="130">
        <v>0.2580324074074074</v>
      </c>
      <c r="Q338" s="56" t="s">
        <v>1050</v>
      </c>
      <c r="R338" s="56" t="s">
        <v>308</v>
      </c>
      <c r="S338" s="56">
        <v>31</v>
      </c>
      <c r="T338" s="131">
        <v>8.3333333333333315E-3</v>
      </c>
      <c r="U338" s="130">
        <v>-9.3287037037037002E-3</v>
      </c>
      <c r="V338" s="56" t="s">
        <v>1051</v>
      </c>
      <c r="W338" s="56" t="s">
        <v>1052</v>
      </c>
      <c r="X338" s="56" t="s">
        <v>1053</v>
      </c>
      <c r="Y338" s="56">
        <v>31</v>
      </c>
      <c r="Z338" s="56" t="s">
        <v>1054</v>
      </c>
      <c r="AA338" s="56" t="s">
        <v>2406</v>
      </c>
      <c r="AB338" s="56" t="s">
        <v>1106</v>
      </c>
      <c r="AC338" s="56" t="s">
        <v>1078</v>
      </c>
      <c r="AD338" s="56" t="s">
        <v>2407</v>
      </c>
      <c r="AE338" s="56" t="s">
        <v>2408</v>
      </c>
      <c r="AF338" s="56" t="s">
        <v>1060</v>
      </c>
      <c r="AG338" s="56" t="s">
        <v>2409</v>
      </c>
      <c r="AH338" s="56"/>
      <c r="AI338" s="56"/>
      <c r="AJ338" s="56"/>
      <c r="AK338" s="56"/>
      <c r="AL338" s="56"/>
      <c r="AM338" s="56"/>
      <c r="AN338" s="56"/>
      <c r="AO338" s="56"/>
      <c r="AP338" s="56"/>
      <c r="AQ338" s="131"/>
      <c r="AR338" s="130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</row>
    <row r="339" spans="1:56" x14ac:dyDescent="0.2">
      <c r="A339" s="56">
        <v>14117158</v>
      </c>
      <c r="B339" s="56">
        <v>175298062</v>
      </c>
      <c r="C339" s="56" t="s">
        <v>2410</v>
      </c>
      <c r="D339" s="56" t="s">
        <v>1185</v>
      </c>
      <c r="E339" s="56" t="s">
        <v>1047</v>
      </c>
      <c r="F339" s="56">
        <v>6</v>
      </c>
      <c r="G339" s="56">
        <v>15785</v>
      </c>
      <c r="H339" s="56" t="s">
        <v>1048</v>
      </c>
      <c r="I339" s="56" t="s">
        <v>1064</v>
      </c>
      <c r="J339" s="129">
        <v>46232</v>
      </c>
      <c r="K339" s="130">
        <v>0.22569444444444445</v>
      </c>
      <c r="L339" s="130">
        <v>0.23125000000000001</v>
      </c>
      <c r="M339" s="56" t="s">
        <v>1050</v>
      </c>
      <c r="N339" s="129">
        <v>46232</v>
      </c>
      <c r="O339" s="130">
        <v>0.25</v>
      </c>
      <c r="P339" s="130">
        <v>0.24930555555555556</v>
      </c>
      <c r="Q339" s="56" t="s">
        <v>1050</v>
      </c>
      <c r="R339" s="56" t="s">
        <v>172</v>
      </c>
      <c r="S339" s="56">
        <v>31</v>
      </c>
      <c r="T339" s="131">
        <v>5.5555555555555636E-3</v>
      </c>
      <c r="U339" s="130">
        <v>-6.9444444444444198E-4</v>
      </c>
      <c r="V339" s="56" t="s">
        <v>1051</v>
      </c>
      <c r="W339" s="56" t="s">
        <v>1052</v>
      </c>
      <c r="X339" s="56" t="s">
        <v>1053</v>
      </c>
      <c r="Y339" s="56">
        <v>31</v>
      </c>
      <c r="Z339" s="56" t="s">
        <v>1054</v>
      </c>
      <c r="AA339" s="56" t="s">
        <v>2411</v>
      </c>
      <c r="AB339" s="56" t="s">
        <v>1068</v>
      </c>
      <c r="AC339" s="56" t="s">
        <v>1069</v>
      </c>
      <c r="AD339" s="56" t="s">
        <v>2412</v>
      </c>
      <c r="AE339" s="56" t="s">
        <v>2413</v>
      </c>
      <c r="AF339" s="56" t="s">
        <v>1060</v>
      </c>
      <c r="AG339" s="56" t="s">
        <v>2414</v>
      </c>
      <c r="AH339" s="56"/>
      <c r="AI339" s="56"/>
      <c r="AJ339" s="56"/>
      <c r="AK339" s="56"/>
      <c r="AL339" s="56"/>
      <c r="AM339" s="56"/>
      <c r="AN339" s="56"/>
      <c r="AO339" s="56"/>
      <c r="AP339" s="56"/>
      <c r="AQ339" s="131"/>
      <c r="AR339" s="130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</row>
    <row r="340" spans="1:56" x14ac:dyDescent="0.2">
      <c r="A340" s="56">
        <v>14121158</v>
      </c>
      <c r="B340" s="56">
        <v>175306740</v>
      </c>
      <c r="C340" s="56" t="s">
        <v>1508</v>
      </c>
      <c r="D340" s="56" t="s">
        <v>1509</v>
      </c>
      <c r="E340" s="56" t="s">
        <v>1047</v>
      </c>
      <c r="F340" s="56">
        <v>91</v>
      </c>
      <c r="G340" s="56">
        <v>4532</v>
      </c>
      <c r="H340" s="56" t="s">
        <v>1048</v>
      </c>
      <c r="I340" s="56" t="s">
        <v>1090</v>
      </c>
      <c r="J340" s="129">
        <v>46232</v>
      </c>
      <c r="K340" s="130">
        <v>0.22569444444444445</v>
      </c>
      <c r="L340" s="130">
        <v>0.22916666666666666</v>
      </c>
      <c r="M340" s="56" t="s">
        <v>1050</v>
      </c>
      <c r="N340" s="129">
        <v>46232</v>
      </c>
      <c r="O340" s="130">
        <v>0.2673611111111111</v>
      </c>
      <c r="P340" s="130">
        <v>0.25138888888888888</v>
      </c>
      <c r="Q340" s="56" t="s">
        <v>2217</v>
      </c>
      <c r="R340" s="56" t="s">
        <v>317</v>
      </c>
      <c r="S340" s="56">
        <v>31</v>
      </c>
      <c r="T340" s="131">
        <v>3.4722222222222099E-3</v>
      </c>
      <c r="U340" s="130">
        <v>-1.5972222222222221E-2</v>
      </c>
      <c r="V340" s="56" t="s">
        <v>1051</v>
      </c>
      <c r="W340" s="56" t="s">
        <v>1052</v>
      </c>
      <c r="X340" s="56" t="s">
        <v>1053</v>
      </c>
      <c r="Y340" s="56">
        <v>31</v>
      </c>
      <c r="Z340" s="56" t="s">
        <v>1054</v>
      </c>
      <c r="AA340" s="56" t="s">
        <v>1510</v>
      </c>
      <c r="AB340" s="56" t="s">
        <v>1092</v>
      </c>
      <c r="AC340" s="56" t="s">
        <v>1078</v>
      </c>
      <c r="AD340" s="56" t="s">
        <v>1511</v>
      </c>
      <c r="AE340" s="56" t="s">
        <v>1512</v>
      </c>
      <c r="AF340" s="56" t="s">
        <v>1060</v>
      </c>
      <c r="AG340" s="56" t="s">
        <v>1513</v>
      </c>
      <c r="AH340" s="56"/>
      <c r="AI340" s="56"/>
      <c r="AJ340" s="56"/>
      <c r="AK340" s="56"/>
      <c r="AL340" s="56"/>
      <c r="AM340" s="56"/>
      <c r="AN340" s="56"/>
      <c r="AO340" s="56"/>
      <c r="AP340" s="56"/>
      <c r="AQ340" s="131"/>
      <c r="AR340" s="130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</row>
    <row r="341" spans="1:56" x14ac:dyDescent="0.2">
      <c r="A341" s="56">
        <v>14122618</v>
      </c>
      <c r="B341" s="56">
        <v>175299085</v>
      </c>
      <c r="C341" s="56" t="s">
        <v>1906</v>
      </c>
      <c r="D341" s="56" t="s">
        <v>1709</v>
      </c>
      <c r="E341" s="56" t="s">
        <v>1047</v>
      </c>
      <c r="F341" s="56">
        <v>25</v>
      </c>
      <c r="G341" s="56">
        <v>15320</v>
      </c>
      <c r="H341" s="56" t="s">
        <v>1048</v>
      </c>
      <c r="I341" s="56" t="s">
        <v>1172</v>
      </c>
      <c r="J341" s="129">
        <v>46232</v>
      </c>
      <c r="K341" s="130">
        <v>0.22916666666666666</v>
      </c>
      <c r="L341" s="130">
        <v>0.23402777777777778</v>
      </c>
      <c r="M341" s="56" t="s">
        <v>1050</v>
      </c>
      <c r="N341" s="129">
        <v>46232</v>
      </c>
      <c r="O341" s="130">
        <v>0.28125</v>
      </c>
      <c r="P341" s="130">
        <v>0.27505787037037038</v>
      </c>
      <c r="Q341" s="56" t="s">
        <v>1050</v>
      </c>
      <c r="R341" s="56" t="s">
        <v>430</v>
      </c>
      <c r="S341" s="56">
        <v>31</v>
      </c>
      <c r="T341" s="131">
        <v>4.8611111111111216E-3</v>
      </c>
      <c r="U341" s="130">
        <v>-6.1921296296296169E-3</v>
      </c>
      <c r="V341" s="56" t="s">
        <v>1051</v>
      </c>
      <c r="W341" s="56" t="s">
        <v>1052</v>
      </c>
      <c r="X341" s="56" t="s">
        <v>1053</v>
      </c>
      <c r="Y341" s="56">
        <v>31</v>
      </c>
      <c r="Z341" s="56" t="s">
        <v>1054</v>
      </c>
      <c r="AA341" s="56" t="s">
        <v>1710</v>
      </c>
      <c r="AB341" s="56" t="s">
        <v>1174</v>
      </c>
      <c r="AC341" s="56" t="s">
        <v>1057</v>
      </c>
      <c r="AD341" s="56" t="s">
        <v>1711</v>
      </c>
      <c r="AE341" s="56" t="s">
        <v>1712</v>
      </c>
      <c r="AF341" s="56" t="s">
        <v>1060</v>
      </c>
      <c r="AG341" s="56" t="s">
        <v>1907</v>
      </c>
      <c r="AH341" s="56"/>
      <c r="AI341" s="56"/>
      <c r="AJ341" s="56"/>
      <c r="AK341" s="56"/>
      <c r="AL341" s="56"/>
      <c r="AM341" s="56"/>
      <c r="AN341" s="56"/>
      <c r="AO341" s="56"/>
      <c r="AP341" s="56"/>
      <c r="AQ341" s="131"/>
      <c r="AR341" s="130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</row>
    <row r="342" spans="1:56" x14ac:dyDescent="0.2">
      <c r="A342" s="56">
        <v>14111754</v>
      </c>
      <c r="B342" s="56">
        <v>175300813</v>
      </c>
      <c r="C342" s="56" t="s">
        <v>1914</v>
      </c>
      <c r="D342" s="56" t="s">
        <v>1445</v>
      </c>
      <c r="E342" s="56" t="s">
        <v>1047</v>
      </c>
      <c r="F342" s="56">
        <v>63</v>
      </c>
      <c r="G342" s="56">
        <v>17089</v>
      </c>
      <c r="H342" s="56" t="s">
        <v>1048</v>
      </c>
      <c r="I342" s="56" t="s">
        <v>1172</v>
      </c>
      <c r="J342" s="129">
        <v>46232</v>
      </c>
      <c r="K342" s="130">
        <v>0.22916666666666666</v>
      </c>
      <c r="L342" s="130">
        <v>0.23680555555555555</v>
      </c>
      <c r="M342" s="56" t="s">
        <v>1050</v>
      </c>
      <c r="N342" s="129">
        <v>46232</v>
      </c>
      <c r="O342" s="130">
        <v>0.28125</v>
      </c>
      <c r="P342" s="130">
        <v>0.26231481481481483</v>
      </c>
      <c r="Q342" s="56" t="s">
        <v>1050</v>
      </c>
      <c r="R342" s="56" t="s">
        <v>311</v>
      </c>
      <c r="S342" s="56">
        <v>31</v>
      </c>
      <c r="T342" s="131">
        <v>7.6388888888888895E-3</v>
      </c>
      <c r="U342" s="130">
        <v>-1.8935185185185166E-2</v>
      </c>
      <c r="V342" s="56" t="s">
        <v>1051</v>
      </c>
      <c r="W342" s="56" t="s">
        <v>1052</v>
      </c>
      <c r="X342" s="56" t="s">
        <v>1053</v>
      </c>
      <c r="Y342" s="56">
        <v>31</v>
      </c>
      <c r="Z342" s="56" t="s">
        <v>1054</v>
      </c>
      <c r="AA342" s="56" t="s">
        <v>1915</v>
      </c>
      <c r="AB342" s="56" t="s">
        <v>1210</v>
      </c>
      <c r="AC342" s="56" t="s">
        <v>1057</v>
      </c>
      <c r="AD342" s="56" t="s">
        <v>1916</v>
      </c>
      <c r="AE342" s="56" t="s">
        <v>1917</v>
      </c>
      <c r="AF342" s="56" t="s">
        <v>1060</v>
      </c>
      <c r="AG342" s="56" t="s">
        <v>1918</v>
      </c>
      <c r="AH342" s="56"/>
      <c r="AI342" s="56"/>
      <c r="AJ342" s="56"/>
      <c r="AK342" s="56"/>
      <c r="AL342" s="56"/>
      <c r="AM342" s="56"/>
      <c r="AN342" s="56"/>
      <c r="AO342" s="56"/>
      <c r="AP342" s="56"/>
      <c r="AQ342" s="131"/>
      <c r="AR342" s="130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</row>
    <row r="343" spans="1:56" x14ac:dyDescent="0.2">
      <c r="A343" s="56">
        <v>14107206</v>
      </c>
      <c r="B343" s="56">
        <v>175306875</v>
      </c>
      <c r="C343" s="56" t="s">
        <v>2218</v>
      </c>
      <c r="D343" s="56" t="s">
        <v>2219</v>
      </c>
      <c r="E343" s="56" t="s">
        <v>1047</v>
      </c>
      <c r="F343" s="56">
        <v>151</v>
      </c>
      <c r="G343" s="56">
        <v>17183</v>
      </c>
      <c r="H343" s="56" t="s">
        <v>1048</v>
      </c>
      <c r="I343" s="56" t="s">
        <v>1172</v>
      </c>
      <c r="J343" s="129">
        <v>46232</v>
      </c>
      <c r="K343" s="130">
        <v>0.23055555555555557</v>
      </c>
      <c r="L343" s="130">
        <v>0.24166666666666667</v>
      </c>
      <c r="M343" s="56" t="s">
        <v>1050</v>
      </c>
      <c r="N343" s="129">
        <v>46232</v>
      </c>
      <c r="O343" s="130">
        <v>0.28125</v>
      </c>
      <c r="P343" s="130">
        <v>0.2711574074074074</v>
      </c>
      <c r="Q343" s="56" t="s">
        <v>1050</v>
      </c>
      <c r="R343" s="56" t="s">
        <v>58</v>
      </c>
      <c r="S343" s="56">
        <v>31</v>
      </c>
      <c r="T343" s="131">
        <v>1.1111111111111099E-2</v>
      </c>
      <c r="U343" s="130">
        <v>-1.0092592592592597E-2</v>
      </c>
      <c r="V343" s="56" t="s">
        <v>1051</v>
      </c>
      <c r="W343" s="56" t="s">
        <v>1052</v>
      </c>
      <c r="X343" s="56" t="s">
        <v>1053</v>
      </c>
      <c r="Y343" s="56">
        <v>31</v>
      </c>
      <c r="Z343" s="56" t="s">
        <v>1054</v>
      </c>
      <c r="AA343" s="56" t="s">
        <v>2220</v>
      </c>
      <c r="AB343" s="56" t="s">
        <v>1210</v>
      </c>
      <c r="AC343" s="56" t="s">
        <v>1057</v>
      </c>
      <c r="AD343" s="56" t="s">
        <v>2221</v>
      </c>
      <c r="AE343" s="56" t="s">
        <v>2222</v>
      </c>
      <c r="AF343" s="56" t="s">
        <v>1060</v>
      </c>
      <c r="AG343" s="56" t="s">
        <v>2223</v>
      </c>
      <c r="AH343" s="56"/>
      <c r="AI343" s="56"/>
      <c r="AJ343" s="56"/>
      <c r="AK343" s="56"/>
      <c r="AL343" s="56"/>
      <c r="AM343" s="56"/>
      <c r="AN343" s="56"/>
      <c r="AO343" s="56"/>
      <c r="AP343" s="56"/>
      <c r="AQ343" s="131"/>
      <c r="AR343" s="130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</row>
    <row r="344" spans="1:56" x14ac:dyDescent="0.2">
      <c r="A344" s="56">
        <v>14116295</v>
      </c>
      <c r="B344" s="56">
        <v>175296935</v>
      </c>
      <c r="C344" s="56" t="s">
        <v>2415</v>
      </c>
      <c r="D344" s="56" t="s">
        <v>2127</v>
      </c>
      <c r="E344" s="56" t="s">
        <v>1047</v>
      </c>
      <c r="F344" s="56">
        <v>1</v>
      </c>
      <c r="G344" s="56">
        <v>5924</v>
      </c>
      <c r="H344" s="56" t="s">
        <v>1048</v>
      </c>
      <c r="I344" s="56" t="s">
        <v>1358</v>
      </c>
      <c r="J344" s="129">
        <v>46232</v>
      </c>
      <c r="K344" s="130">
        <v>0.2326388888888889</v>
      </c>
      <c r="L344" s="130">
        <v>0.23819444444444443</v>
      </c>
      <c r="M344" s="56" t="s">
        <v>1050</v>
      </c>
      <c r="N344" s="129">
        <v>46232</v>
      </c>
      <c r="O344" s="130">
        <v>0.2638888888888889</v>
      </c>
      <c r="P344" s="130">
        <v>0.25916666666666666</v>
      </c>
      <c r="Q344" s="56" t="s">
        <v>1050</v>
      </c>
      <c r="R344" s="56" t="s">
        <v>158</v>
      </c>
      <c r="S344" s="56">
        <v>31</v>
      </c>
      <c r="T344" s="131">
        <v>5.5555555555555358E-3</v>
      </c>
      <c r="U344" s="130">
        <v>-4.7222222222222388E-3</v>
      </c>
      <c r="V344" s="56" t="s">
        <v>1051</v>
      </c>
      <c r="W344" s="56" t="s">
        <v>1052</v>
      </c>
      <c r="X344" s="56" t="s">
        <v>1053</v>
      </c>
      <c r="Y344" s="56">
        <v>31</v>
      </c>
      <c r="Z344" s="56" t="s">
        <v>1054</v>
      </c>
      <c r="AA344" s="56" t="s">
        <v>2128</v>
      </c>
      <c r="AB344" s="56" t="s">
        <v>1361</v>
      </c>
      <c r="AC344" s="56" t="s">
        <v>1069</v>
      </c>
      <c r="AD344" s="56" t="s">
        <v>2129</v>
      </c>
      <c r="AE344" s="56" t="s">
        <v>2130</v>
      </c>
      <c r="AF344" s="56" t="s">
        <v>1060</v>
      </c>
      <c r="AG344" s="56" t="s">
        <v>2416</v>
      </c>
      <c r="AH344" s="56"/>
      <c r="AI344" s="56"/>
      <c r="AJ344" s="56"/>
      <c r="AK344" s="56"/>
      <c r="AL344" s="56"/>
      <c r="AM344" s="56"/>
      <c r="AN344" s="56"/>
      <c r="AO344" s="132"/>
      <c r="AP344" s="56"/>
      <c r="AQ344" s="131"/>
      <c r="AR344" s="130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</row>
    <row r="345" spans="1:56" x14ac:dyDescent="0.2">
      <c r="A345" s="56">
        <v>14113056</v>
      </c>
      <c r="B345" s="56">
        <v>175301938</v>
      </c>
      <c r="C345" s="56" t="s">
        <v>2417</v>
      </c>
      <c r="D345" s="56" t="s">
        <v>2323</v>
      </c>
      <c r="E345" s="56" t="s">
        <v>1047</v>
      </c>
      <c r="F345" s="56">
        <v>49</v>
      </c>
      <c r="G345" s="56">
        <v>5424</v>
      </c>
      <c r="H345" s="56" t="s">
        <v>1048</v>
      </c>
      <c r="I345" s="56" t="s">
        <v>1158</v>
      </c>
      <c r="J345" s="129">
        <v>46232</v>
      </c>
      <c r="K345" s="130">
        <v>0.2326388888888889</v>
      </c>
      <c r="L345" s="130">
        <v>0.29236111111111113</v>
      </c>
      <c r="M345" s="56" t="s">
        <v>1050</v>
      </c>
      <c r="N345" s="129">
        <v>46232</v>
      </c>
      <c r="O345" s="130">
        <v>0.26041666666666669</v>
      </c>
      <c r="P345" s="130">
        <v>0</v>
      </c>
      <c r="Q345" s="56" t="s">
        <v>1367</v>
      </c>
      <c r="R345" s="56" t="s">
        <v>234</v>
      </c>
      <c r="S345" s="56">
        <v>31</v>
      </c>
      <c r="T345" s="131">
        <v>5.9722222222222232E-2</v>
      </c>
      <c r="U345" s="130">
        <v>-0.26041666666666669</v>
      </c>
      <c r="V345" s="56" t="s">
        <v>1051</v>
      </c>
      <c r="W345" s="56" t="s">
        <v>1052</v>
      </c>
      <c r="X345" s="56" t="s">
        <v>1053</v>
      </c>
      <c r="Y345" s="56">
        <v>31</v>
      </c>
      <c r="Z345" s="56" t="s">
        <v>1054</v>
      </c>
      <c r="AA345" s="56" t="s">
        <v>2324</v>
      </c>
      <c r="AB345" s="56" t="s">
        <v>1160</v>
      </c>
      <c r="AC345" s="56" t="s">
        <v>1069</v>
      </c>
      <c r="AD345" s="56" t="s">
        <v>2325</v>
      </c>
      <c r="AE345" s="56" t="s">
        <v>2326</v>
      </c>
      <c r="AF345" s="56" t="s">
        <v>1060</v>
      </c>
      <c r="AG345" s="56" t="s">
        <v>2418</v>
      </c>
      <c r="AH345" s="56"/>
      <c r="AI345" s="56"/>
      <c r="AJ345" s="56"/>
      <c r="AK345" s="56"/>
      <c r="AL345" s="56"/>
      <c r="AM345" s="56"/>
      <c r="AN345" s="56"/>
      <c r="AO345" s="56"/>
      <c r="AP345" s="56"/>
      <c r="AQ345" s="131"/>
      <c r="AR345" s="130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</row>
    <row r="346" spans="1:56" x14ac:dyDescent="0.2">
      <c r="A346" s="56">
        <v>14123649</v>
      </c>
      <c r="B346" s="56">
        <v>175309413</v>
      </c>
      <c r="C346" s="56" t="s">
        <v>2419</v>
      </c>
      <c r="D346" s="56" t="s">
        <v>2420</v>
      </c>
      <c r="E346" s="56" t="s">
        <v>1047</v>
      </c>
      <c r="F346" s="56">
        <v>254</v>
      </c>
      <c r="G346" s="56">
        <v>13850</v>
      </c>
      <c r="H346" s="56" t="s">
        <v>1048</v>
      </c>
      <c r="I346" s="56" t="s">
        <v>1172</v>
      </c>
      <c r="J346" s="129">
        <v>46232</v>
      </c>
      <c r="K346" s="130">
        <v>0.23541666666666666</v>
      </c>
      <c r="L346" s="130">
        <v>0.28541666666666665</v>
      </c>
      <c r="M346" s="56" t="s">
        <v>1050</v>
      </c>
      <c r="N346" s="129">
        <v>46232</v>
      </c>
      <c r="O346" s="130">
        <v>0.28125</v>
      </c>
      <c r="P346" s="130">
        <v>0.32091435185185185</v>
      </c>
      <c r="Q346" s="56" t="s">
        <v>1050</v>
      </c>
      <c r="R346" s="56" t="s">
        <v>902</v>
      </c>
      <c r="S346" s="56">
        <v>31</v>
      </c>
      <c r="T346" s="131">
        <v>4.9999999999999989E-2</v>
      </c>
      <c r="U346" s="130">
        <v>3.9664351851851853E-2</v>
      </c>
      <c r="V346" s="56" t="s">
        <v>1051</v>
      </c>
      <c r="W346" s="56" t="s">
        <v>1065</v>
      </c>
      <c r="X346" s="56" t="s">
        <v>1066</v>
      </c>
      <c r="Y346" s="56">
        <v>31</v>
      </c>
      <c r="Z346" s="56" t="s">
        <v>1054</v>
      </c>
      <c r="AA346" s="56" t="s">
        <v>2421</v>
      </c>
      <c r="AB346" s="56" t="s">
        <v>1210</v>
      </c>
      <c r="AC346" s="56" t="s">
        <v>1057</v>
      </c>
      <c r="AD346" s="56" t="s">
        <v>2422</v>
      </c>
      <c r="AE346" s="56" t="s">
        <v>2423</v>
      </c>
      <c r="AF346" s="56" t="s">
        <v>1060</v>
      </c>
      <c r="AG346" s="56" t="s">
        <v>2424</v>
      </c>
      <c r="AH346" s="56"/>
      <c r="AI346" s="56"/>
      <c r="AJ346" s="56"/>
      <c r="AK346" s="56"/>
      <c r="AL346" s="56"/>
      <c r="AM346" s="56"/>
      <c r="AN346" s="56"/>
      <c r="AO346" s="56"/>
      <c r="AP346" s="56"/>
      <c r="AQ346" s="131"/>
      <c r="AR346" s="130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</row>
    <row r="347" spans="1:56" x14ac:dyDescent="0.2">
      <c r="A347" s="56">
        <v>14112026</v>
      </c>
      <c r="B347" s="56">
        <v>175306839</v>
      </c>
      <c r="C347" s="56" t="s">
        <v>1539</v>
      </c>
      <c r="D347" s="56" t="s">
        <v>1540</v>
      </c>
      <c r="E347" s="56" t="s">
        <v>1047</v>
      </c>
      <c r="F347" s="56">
        <v>139</v>
      </c>
      <c r="G347" s="56">
        <v>10359</v>
      </c>
      <c r="H347" s="56" t="s">
        <v>1048</v>
      </c>
      <c r="I347" s="56" t="s">
        <v>1172</v>
      </c>
      <c r="J347" s="129">
        <v>46232</v>
      </c>
      <c r="K347" s="130">
        <v>0.2361111111111111</v>
      </c>
      <c r="L347" s="130">
        <v>0.24374999999999999</v>
      </c>
      <c r="M347" s="56" t="s">
        <v>1050</v>
      </c>
      <c r="N347" s="129">
        <v>46232</v>
      </c>
      <c r="O347" s="130">
        <v>0.28125</v>
      </c>
      <c r="P347" s="130">
        <v>0.2719212962962963</v>
      </c>
      <c r="Q347" s="56" t="s">
        <v>1050</v>
      </c>
      <c r="R347" s="56" t="s">
        <v>1541</v>
      </c>
      <c r="S347" s="56">
        <v>31</v>
      </c>
      <c r="T347" s="131">
        <v>7.6388888888888895E-3</v>
      </c>
      <c r="U347" s="130">
        <v>-9.3287037037037002E-3</v>
      </c>
      <c r="V347" s="56" t="s">
        <v>1051</v>
      </c>
      <c r="W347" s="56" t="s">
        <v>1052</v>
      </c>
      <c r="X347" s="56" t="s">
        <v>1053</v>
      </c>
      <c r="Y347" s="56">
        <v>31</v>
      </c>
      <c r="Z347" s="56" t="s">
        <v>1054</v>
      </c>
      <c r="AA347" s="56" t="s">
        <v>1542</v>
      </c>
      <c r="AB347" s="56" t="s">
        <v>1210</v>
      </c>
      <c r="AC347" s="56" t="s">
        <v>1057</v>
      </c>
      <c r="AD347" s="56" t="s">
        <v>1543</v>
      </c>
      <c r="AE347" s="56" t="s">
        <v>1544</v>
      </c>
      <c r="AF347" s="56" t="s">
        <v>1060</v>
      </c>
      <c r="AG347" s="56" t="s">
        <v>1545</v>
      </c>
      <c r="AH347" s="56"/>
      <c r="AI347" s="56"/>
      <c r="AJ347" s="56"/>
      <c r="AK347" s="56"/>
      <c r="AL347" s="56"/>
      <c r="AM347" s="56"/>
      <c r="AN347" s="56"/>
      <c r="AO347" s="56"/>
      <c r="AP347" s="56"/>
      <c r="AQ347" s="131"/>
      <c r="AR347" s="130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</row>
    <row r="348" spans="1:56" x14ac:dyDescent="0.2">
      <c r="A348" s="56">
        <v>14110604</v>
      </c>
      <c r="B348" s="56">
        <v>175300323</v>
      </c>
      <c r="C348" s="56" t="s">
        <v>1932</v>
      </c>
      <c r="D348" s="56" t="s">
        <v>1933</v>
      </c>
      <c r="E348" s="56" t="s">
        <v>1047</v>
      </c>
      <c r="F348" s="56">
        <v>28</v>
      </c>
      <c r="G348" s="56">
        <v>15485</v>
      </c>
      <c r="H348" s="56" t="s">
        <v>1048</v>
      </c>
      <c r="I348" s="56" t="s">
        <v>1049</v>
      </c>
      <c r="J348" s="129">
        <v>46232</v>
      </c>
      <c r="K348" s="130">
        <v>0.26041666666666669</v>
      </c>
      <c r="L348" s="130">
        <v>0.26527777777777778</v>
      </c>
      <c r="M348" s="56" t="s">
        <v>1050</v>
      </c>
      <c r="N348" s="129">
        <v>46232</v>
      </c>
      <c r="O348" s="130">
        <v>0.3125</v>
      </c>
      <c r="P348" s="130">
        <v>0.29822916666666666</v>
      </c>
      <c r="Q348" s="56" t="s">
        <v>1050</v>
      </c>
      <c r="R348" s="56" t="s">
        <v>330</v>
      </c>
      <c r="S348" s="56">
        <v>31</v>
      </c>
      <c r="T348" s="131">
        <v>4.8611111111110938E-3</v>
      </c>
      <c r="U348" s="130">
        <v>-1.4270833333333344E-2</v>
      </c>
      <c r="V348" s="56" t="s">
        <v>1051</v>
      </c>
      <c r="W348" s="56" t="s">
        <v>1052</v>
      </c>
      <c r="X348" s="56" t="s">
        <v>1053</v>
      </c>
      <c r="Y348" s="56">
        <v>31</v>
      </c>
      <c r="Z348" s="56" t="s">
        <v>1054</v>
      </c>
      <c r="AA348" s="56" t="s">
        <v>1934</v>
      </c>
      <c r="AB348" s="56" t="s">
        <v>1056</v>
      </c>
      <c r="AC348" s="56" t="s">
        <v>1057</v>
      </c>
      <c r="AD348" s="56" t="s">
        <v>1935</v>
      </c>
      <c r="AE348" s="56" t="s">
        <v>1936</v>
      </c>
      <c r="AF348" s="56" t="s">
        <v>1060</v>
      </c>
      <c r="AG348" s="56" t="s">
        <v>1937</v>
      </c>
      <c r="AH348" s="56"/>
      <c r="AI348" s="56"/>
      <c r="AJ348" s="56"/>
      <c r="AK348" s="56"/>
      <c r="AL348" s="56"/>
      <c r="AM348" s="56"/>
      <c r="AN348" s="56"/>
      <c r="AO348" s="56"/>
      <c r="AP348" s="56"/>
      <c r="AQ348" s="131"/>
      <c r="AR348" s="130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</row>
    <row r="349" spans="1:56" x14ac:dyDescent="0.2">
      <c r="A349" s="56">
        <v>14119271</v>
      </c>
      <c r="B349" s="56">
        <v>175294186</v>
      </c>
      <c r="C349" s="56" t="s">
        <v>1938</v>
      </c>
      <c r="D349" s="56" t="s">
        <v>1939</v>
      </c>
      <c r="E349" s="56" t="s">
        <v>1047</v>
      </c>
      <c r="F349" s="56">
        <v>1</v>
      </c>
      <c r="G349" s="56">
        <v>15991</v>
      </c>
      <c r="H349" s="56" t="s">
        <v>1048</v>
      </c>
      <c r="I349" s="56" t="s">
        <v>1118</v>
      </c>
      <c r="J349" s="129">
        <v>46232</v>
      </c>
      <c r="K349" s="130">
        <v>0.27430555555555558</v>
      </c>
      <c r="L349" s="130">
        <v>0.27916666666666667</v>
      </c>
      <c r="M349" s="56" t="s">
        <v>1050</v>
      </c>
      <c r="N349" s="129">
        <v>46232</v>
      </c>
      <c r="O349" s="130">
        <v>0.33333333333333331</v>
      </c>
      <c r="P349" s="130">
        <v>0.31880787037037039</v>
      </c>
      <c r="Q349" s="56" t="s">
        <v>1050</v>
      </c>
      <c r="R349" s="56" t="s">
        <v>1940</v>
      </c>
      <c r="S349" s="56">
        <v>31</v>
      </c>
      <c r="T349" s="131">
        <v>4.8611111111110938E-3</v>
      </c>
      <c r="U349" s="130">
        <v>-1.4525462962962921E-2</v>
      </c>
      <c r="V349" s="56" t="s">
        <v>1051</v>
      </c>
      <c r="W349" s="56" t="s">
        <v>1052</v>
      </c>
      <c r="X349" s="56" t="s">
        <v>1053</v>
      </c>
      <c r="Y349" s="56">
        <v>31</v>
      </c>
      <c r="Z349" s="56" t="s">
        <v>1054</v>
      </c>
      <c r="AA349" s="56" t="s">
        <v>1941</v>
      </c>
      <c r="AB349" s="56" t="s">
        <v>1120</v>
      </c>
      <c r="AC349" s="56" t="s">
        <v>1078</v>
      </c>
      <c r="AD349" s="56" t="s">
        <v>1942</v>
      </c>
      <c r="AE349" s="56" t="s">
        <v>1943</v>
      </c>
      <c r="AF349" s="56" t="s">
        <v>1060</v>
      </c>
      <c r="AG349" s="56" t="s">
        <v>1944</v>
      </c>
      <c r="AH349" s="56"/>
      <c r="AI349" s="56"/>
      <c r="AJ349" s="56"/>
      <c r="AK349" s="56"/>
      <c r="AL349" s="56"/>
      <c r="AM349" s="56"/>
      <c r="AN349" s="56"/>
      <c r="AO349" s="56"/>
      <c r="AP349" s="56"/>
      <c r="AQ349" s="131"/>
      <c r="AR349" s="130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</row>
    <row r="350" spans="1:56" x14ac:dyDescent="0.2">
      <c r="A350" s="56">
        <v>14108111</v>
      </c>
      <c r="B350" s="56">
        <v>175302011</v>
      </c>
      <c r="C350" s="56" t="s">
        <v>1945</v>
      </c>
      <c r="D350" s="56" t="s">
        <v>1946</v>
      </c>
      <c r="E350" s="56" t="s">
        <v>1047</v>
      </c>
      <c r="F350" s="56">
        <v>105</v>
      </c>
      <c r="G350" s="56">
        <v>17340</v>
      </c>
      <c r="H350" s="56" t="s">
        <v>1048</v>
      </c>
      <c r="I350" s="56" t="s">
        <v>1947</v>
      </c>
      <c r="J350" s="129">
        <v>46232</v>
      </c>
      <c r="K350" s="130">
        <v>0.27777777777777779</v>
      </c>
      <c r="L350" s="130">
        <v>0.28958333333333336</v>
      </c>
      <c r="M350" s="56" t="s">
        <v>1050</v>
      </c>
      <c r="N350" s="129">
        <v>46232</v>
      </c>
      <c r="O350" s="130">
        <v>0.34722222222222221</v>
      </c>
      <c r="P350" s="130">
        <v>0.32821759259259259</v>
      </c>
      <c r="Q350" s="56" t="s">
        <v>1050</v>
      </c>
      <c r="R350" s="56" t="s">
        <v>69</v>
      </c>
      <c r="S350" s="56">
        <v>31</v>
      </c>
      <c r="T350" s="131">
        <v>1.1805555555555569E-2</v>
      </c>
      <c r="U350" s="130">
        <v>-1.9004629629629621E-2</v>
      </c>
      <c r="V350" s="56" t="s">
        <v>1051</v>
      </c>
      <c r="W350" s="56" t="s">
        <v>1052</v>
      </c>
      <c r="X350" s="56" t="s">
        <v>1053</v>
      </c>
      <c r="Y350" s="56">
        <v>31</v>
      </c>
      <c r="Z350" s="56" t="s">
        <v>1054</v>
      </c>
      <c r="AA350" s="56" t="s">
        <v>1948</v>
      </c>
      <c r="AB350" s="56" t="s">
        <v>1949</v>
      </c>
      <c r="AC350" s="56" t="s">
        <v>1078</v>
      </c>
      <c r="AD350" s="56" t="s">
        <v>1950</v>
      </c>
      <c r="AE350" s="56" t="s">
        <v>1951</v>
      </c>
      <c r="AF350" s="56" t="s">
        <v>1060</v>
      </c>
      <c r="AG350" s="56" t="s">
        <v>1952</v>
      </c>
      <c r="AH350" s="56"/>
      <c r="AI350" s="56"/>
      <c r="AJ350" s="56"/>
      <c r="AK350" s="56"/>
      <c r="AL350" s="56"/>
      <c r="AM350" s="56"/>
      <c r="AN350" s="56"/>
      <c r="AO350" s="56"/>
      <c r="AP350" s="56"/>
      <c r="AQ350" s="131"/>
      <c r="AR350" s="130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</row>
    <row r="351" spans="1:56" x14ac:dyDescent="0.2">
      <c r="A351" s="56">
        <v>14123446</v>
      </c>
      <c r="B351" s="56">
        <v>175302023</v>
      </c>
      <c r="C351" s="56" t="s">
        <v>1953</v>
      </c>
      <c r="D351" s="56" t="s">
        <v>1185</v>
      </c>
      <c r="E351" s="56" t="s">
        <v>1047</v>
      </c>
      <c r="F351" s="56">
        <v>117</v>
      </c>
      <c r="G351" s="56">
        <v>5531</v>
      </c>
      <c r="H351" s="56" t="s">
        <v>1048</v>
      </c>
      <c r="I351" s="56" t="s">
        <v>1947</v>
      </c>
      <c r="J351" s="129">
        <v>46232</v>
      </c>
      <c r="K351" s="130">
        <v>0.27777777777777779</v>
      </c>
      <c r="L351" s="130">
        <v>0.28194444444444444</v>
      </c>
      <c r="M351" s="56" t="s">
        <v>1050</v>
      </c>
      <c r="N351" s="129">
        <v>46232</v>
      </c>
      <c r="O351" s="130">
        <v>0.34722222222222221</v>
      </c>
      <c r="P351" s="130">
        <v>0.31943287037037038</v>
      </c>
      <c r="Q351" s="56" t="s">
        <v>1050</v>
      </c>
      <c r="R351" s="56" t="s">
        <v>507</v>
      </c>
      <c r="S351" s="56">
        <v>31</v>
      </c>
      <c r="T351" s="131">
        <v>4.1666666666666519E-3</v>
      </c>
      <c r="U351" s="130">
        <v>-2.7789351851851829E-2</v>
      </c>
      <c r="V351" s="56" t="s">
        <v>1051</v>
      </c>
      <c r="W351" s="56" t="s">
        <v>1052</v>
      </c>
      <c r="X351" s="56" t="s">
        <v>1053</v>
      </c>
      <c r="Y351" s="56">
        <v>31</v>
      </c>
      <c r="Z351" s="56" t="s">
        <v>1054</v>
      </c>
      <c r="AA351" s="56" t="s">
        <v>1954</v>
      </c>
      <c r="AB351" s="56" t="s">
        <v>1949</v>
      </c>
      <c r="AC351" s="56" t="s">
        <v>1078</v>
      </c>
      <c r="AD351" s="56" t="s">
        <v>1955</v>
      </c>
      <c r="AE351" s="56" t="s">
        <v>1956</v>
      </c>
      <c r="AF351" s="56" t="s">
        <v>1060</v>
      </c>
      <c r="AG351" s="56" t="s">
        <v>1957</v>
      </c>
      <c r="AH351" s="56"/>
      <c r="AI351" s="56"/>
      <c r="AJ351" s="56"/>
      <c r="AK351" s="56"/>
      <c r="AL351" s="56"/>
      <c r="AM351" s="56"/>
      <c r="AN351" s="56"/>
      <c r="AO351" s="56"/>
      <c r="AP351" s="56"/>
      <c r="AQ351" s="131"/>
      <c r="AR351" s="130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</row>
    <row r="352" spans="1:56" x14ac:dyDescent="0.2">
      <c r="A352" s="56">
        <v>14123559</v>
      </c>
      <c r="B352" s="56">
        <v>175301982</v>
      </c>
      <c r="C352" s="56" t="s">
        <v>1970</v>
      </c>
      <c r="D352" s="56" t="s">
        <v>1971</v>
      </c>
      <c r="E352" s="56" t="s">
        <v>1047</v>
      </c>
      <c r="F352" s="56">
        <v>76</v>
      </c>
      <c r="G352" s="56">
        <v>13408</v>
      </c>
      <c r="H352" s="56" t="s">
        <v>1048</v>
      </c>
      <c r="I352" s="56" t="s">
        <v>1947</v>
      </c>
      <c r="J352" s="129">
        <v>46232</v>
      </c>
      <c r="K352" s="130">
        <v>0.28472222222222221</v>
      </c>
      <c r="L352" s="130">
        <v>0.29097222222222224</v>
      </c>
      <c r="M352" s="56" t="s">
        <v>1050</v>
      </c>
      <c r="N352" s="129">
        <v>46232</v>
      </c>
      <c r="O352" s="130">
        <v>0.34722222222222221</v>
      </c>
      <c r="P352" s="130">
        <v>0.32722222222222225</v>
      </c>
      <c r="Q352" s="56" t="s">
        <v>1050</v>
      </c>
      <c r="R352" s="56" t="s">
        <v>531</v>
      </c>
      <c r="S352" s="56">
        <v>31</v>
      </c>
      <c r="T352" s="131">
        <v>6.2500000000000333E-3</v>
      </c>
      <c r="U352" s="130">
        <v>-1.9999999999999962E-2</v>
      </c>
      <c r="V352" s="56" t="s">
        <v>1051</v>
      </c>
      <c r="W352" s="56" t="s">
        <v>1052</v>
      </c>
      <c r="X352" s="56" t="s">
        <v>1053</v>
      </c>
      <c r="Y352" s="56">
        <v>31</v>
      </c>
      <c r="Z352" s="56" t="s">
        <v>1054</v>
      </c>
      <c r="AA352" s="56" t="s">
        <v>1972</v>
      </c>
      <c r="AB352" s="56" t="s">
        <v>1949</v>
      </c>
      <c r="AC352" s="56" t="s">
        <v>1078</v>
      </c>
      <c r="AD352" s="56" t="s">
        <v>1973</v>
      </c>
      <c r="AE352" s="56" t="s">
        <v>1974</v>
      </c>
      <c r="AF352" s="56" t="s">
        <v>1060</v>
      </c>
      <c r="AG352" s="56" t="s">
        <v>1975</v>
      </c>
      <c r="AH352" s="56"/>
      <c r="AI352" s="56"/>
      <c r="AJ352" s="56"/>
      <c r="AK352" s="56"/>
      <c r="AL352" s="56"/>
      <c r="AM352" s="56"/>
      <c r="AN352" s="56"/>
      <c r="AO352" s="56"/>
      <c r="AP352" s="56"/>
      <c r="AQ352" s="131"/>
      <c r="AR352" s="130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</row>
    <row r="353" spans="1:56" x14ac:dyDescent="0.2">
      <c r="A353" s="56">
        <v>14116564</v>
      </c>
      <c r="B353" s="56">
        <v>175301995</v>
      </c>
      <c r="C353" s="56" t="s">
        <v>2425</v>
      </c>
      <c r="D353" s="56" t="s">
        <v>2426</v>
      </c>
      <c r="E353" s="56" t="s">
        <v>1047</v>
      </c>
      <c r="F353" s="56">
        <v>89</v>
      </c>
      <c r="G353" s="56">
        <v>17341</v>
      </c>
      <c r="H353" s="56" t="s">
        <v>1048</v>
      </c>
      <c r="I353" s="56" t="s">
        <v>1947</v>
      </c>
      <c r="J353" s="129">
        <v>46232</v>
      </c>
      <c r="K353" s="130">
        <v>0.29166666666666669</v>
      </c>
      <c r="L353" s="130">
        <v>0.29583333333333334</v>
      </c>
      <c r="M353" s="56" t="s">
        <v>1050</v>
      </c>
      <c r="N353" s="129">
        <v>46232</v>
      </c>
      <c r="O353" s="130">
        <v>0.34722222222222221</v>
      </c>
      <c r="P353" s="130">
        <v>0.33309027777777778</v>
      </c>
      <c r="Q353" s="56" t="s">
        <v>1050</v>
      </c>
      <c r="R353" s="56" t="s">
        <v>166</v>
      </c>
      <c r="S353" s="56">
        <v>31</v>
      </c>
      <c r="T353" s="131">
        <v>4.1666666666666519E-3</v>
      </c>
      <c r="U353" s="130">
        <v>-1.4131944444444433E-2</v>
      </c>
      <c r="V353" s="56" t="s">
        <v>1051</v>
      </c>
      <c r="W353" s="56" t="s">
        <v>1052</v>
      </c>
      <c r="X353" s="56" t="s">
        <v>1053</v>
      </c>
      <c r="Y353" s="56">
        <v>31</v>
      </c>
      <c r="Z353" s="56" t="s">
        <v>1054</v>
      </c>
      <c r="AA353" s="56" t="s">
        <v>2427</v>
      </c>
      <c r="AB353" s="56" t="s">
        <v>1949</v>
      </c>
      <c r="AC353" s="56" t="s">
        <v>1078</v>
      </c>
      <c r="AD353" s="56" t="s">
        <v>2428</v>
      </c>
      <c r="AE353" s="56" t="s">
        <v>2429</v>
      </c>
      <c r="AF353" s="56" t="s">
        <v>1060</v>
      </c>
      <c r="AG353" s="56" t="s">
        <v>2430</v>
      </c>
      <c r="AH353" s="56"/>
      <c r="AI353" s="56"/>
      <c r="AJ353" s="56"/>
      <c r="AK353" s="56"/>
      <c r="AL353" s="56"/>
      <c r="AM353" s="56"/>
      <c r="AN353" s="56"/>
      <c r="AO353" s="56"/>
      <c r="AP353" s="56"/>
      <c r="AQ353" s="131"/>
      <c r="AR353" s="130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</row>
    <row r="354" spans="1:56" x14ac:dyDescent="0.2">
      <c r="A354" s="56">
        <v>14121015</v>
      </c>
      <c r="B354" s="56">
        <v>175302015</v>
      </c>
      <c r="C354" s="56" t="s">
        <v>1989</v>
      </c>
      <c r="D354" s="56" t="s">
        <v>1990</v>
      </c>
      <c r="E354" s="56" t="s">
        <v>1047</v>
      </c>
      <c r="F354" s="56">
        <v>109</v>
      </c>
      <c r="G354" s="56">
        <v>15995</v>
      </c>
      <c r="H354" s="56" t="s">
        <v>1048</v>
      </c>
      <c r="I354" s="56" t="s">
        <v>1947</v>
      </c>
      <c r="J354" s="129">
        <v>46232</v>
      </c>
      <c r="K354" s="130">
        <v>0.2951388888888889</v>
      </c>
      <c r="L354" s="130">
        <v>0.30486111111111114</v>
      </c>
      <c r="M354" s="56" t="s">
        <v>1050</v>
      </c>
      <c r="N354" s="129">
        <v>46232</v>
      </c>
      <c r="O354" s="130">
        <v>0.34722222222222221</v>
      </c>
      <c r="P354" s="130">
        <v>0.33850694444444446</v>
      </c>
      <c r="Q354" s="56" t="s">
        <v>1050</v>
      </c>
      <c r="R354" s="56" t="s">
        <v>306</v>
      </c>
      <c r="S354" s="56">
        <v>31</v>
      </c>
      <c r="T354" s="131">
        <v>9.7222222222222432E-3</v>
      </c>
      <c r="U354" s="130">
        <v>-8.7152777777777524E-3</v>
      </c>
      <c r="V354" s="56" t="s">
        <v>1051</v>
      </c>
      <c r="W354" s="56" t="s">
        <v>1052</v>
      </c>
      <c r="X354" s="56" t="s">
        <v>1053</v>
      </c>
      <c r="Y354" s="56">
        <v>31</v>
      </c>
      <c r="Z354" s="56" t="s">
        <v>1054</v>
      </c>
      <c r="AA354" s="56" t="s">
        <v>1991</v>
      </c>
      <c r="AB354" s="56" t="s">
        <v>1949</v>
      </c>
      <c r="AC354" s="56" t="s">
        <v>1078</v>
      </c>
      <c r="AD354" s="56" t="s">
        <v>1992</v>
      </c>
      <c r="AE354" s="56" t="s">
        <v>1993</v>
      </c>
      <c r="AF354" s="56" t="s">
        <v>1060</v>
      </c>
      <c r="AG354" s="56" t="s">
        <v>1994</v>
      </c>
      <c r="AH354" s="56"/>
      <c r="AI354" s="56"/>
      <c r="AJ354" s="56"/>
      <c r="AK354" s="56"/>
      <c r="AL354" s="56"/>
      <c r="AM354" s="56"/>
      <c r="AN354" s="56"/>
      <c r="AO354" s="56"/>
      <c r="AP354" s="56"/>
      <c r="AQ354" s="131"/>
      <c r="AR354" s="130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</row>
    <row r="355" spans="1:56" x14ac:dyDescent="0.2">
      <c r="A355" s="56">
        <v>14123573</v>
      </c>
      <c r="B355" s="56">
        <v>175283623</v>
      </c>
      <c r="C355" s="56" t="s">
        <v>2003</v>
      </c>
      <c r="D355" s="56" t="s">
        <v>2004</v>
      </c>
      <c r="E355" s="56" t="s">
        <v>1047</v>
      </c>
      <c r="F355" s="56">
        <v>7</v>
      </c>
      <c r="G355" s="56">
        <v>5722</v>
      </c>
      <c r="H355" s="56" t="s">
        <v>1048</v>
      </c>
      <c r="I355" s="56" t="s">
        <v>1192</v>
      </c>
      <c r="J355" s="129">
        <v>46232</v>
      </c>
      <c r="K355" s="130">
        <v>0.51388888888888884</v>
      </c>
      <c r="L355" s="130">
        <v>0.51736111111111116</v>
      </c>
      <c r="M355" s="56" t="s">
        <v>1050</v>
      </c>
      <c r="N355" s="129">
        <v>46232</v>
      </c>
      <c r="O355" s="130">
        <v>0.60416666666666663</v>
      </c>
      <c r="P355" s="130">
        <v>0.57156249999999997</v>
      </c>
      <c r="Q355" s="56" t="s">
        <v>1050</v>
      </c>
      <c r="R355" s="56" t="s">
        <v>538</v>
      </c>
      <c r="S355" s="56">
        <v>31</v>
      </c>
      <c r="T355" s="131">
        <v>3.4722222222223209E-3</v>
      </c>
      <c r="U355" s="130">
        <v>-3.2604166666666656E-2</v>
      </c>
      <c r="V355" s="56" t="s">
        <v>1051</v>
      </c>
      <c r="W355" s="56" t="s">
        <v>1052</v>
      </c>
      <c r="X355" s="56" t="s">
        <v>1053</v>
      </c>
      <c r="Y355" s="56">
        <v>31</v>
      </c>
      <c r="Z355" s="56" t="s">
        <v>1054</v>
      </c>
      <c r="AA355" s="56" t="s">
        <v>2005</v>
      </c>
      <c r="AB355" s="56" t="s">
        <v>1194</v>
      </c>
      <c r="AC355" s="56" t="s">
        <v>1057</v>
      </c>
      <c r="AD355" s="56" t="s">
        <v>2006</v>
      </c>
      <c r="AE355" s="56" t="s">
        <v>2007</v>
      </c>
      <c r="AF355" s="56" t="s">
        <v>1237</v>
      </c>
      <c r="AG355" s="56" t="s">
        <v>2008</v>
      </c>
      <c r="AH355" s="56"/>
      <c r="AI355" s="56"/>
      <c r="AJ355" s="56"/>
      <c r="AK355" s="56"/>
      <c r="AL355" s="56"/>
      <c r="AM355" s="56"/>
      <c r="AN355" s="56"/>
      <c r="AO355" s="56"/>
      <c r="AP355" s="56"/>
      <c r="AQ355" s="131"/>
      <c r="AR355" s="130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</row>
    <row r="356" spans="1:56" x14ac:dyDescent="0.2">
      <c r="A356" s="56">
        <v>14119018</v>
      </c>
      <c r="B356" s="56">
        <v>175283562</v>
      </c>
      <c r="C356" s="56" t="s">
        <v>1232</v>
      </c>
      <c r="D356" s="56" t="s">
        <v>1233</v>
      </c>
      <c r="E356" s="56" t="s">
        <v>1047</v>
      </c>
      <c r="F356" s="56">
        <v>1</v>
      </c>
      <c r="G356" s="56">
        <v>10363</v>
      </c>
      <c r="H356" s="56" t="s">
        <v>1048</v>
      </c>
      <c r="I356" s="56" t="s">
        <v>1192</v>
      </c>
      <c r="J356" s="129">
        <v>46232</v>
      </c>
      <c r="K356" s="130">
        <v>0.52083333333333337</v>
      </c>
      <c r="L356" s="130">
        <v>0.52569444444444446</v>
      </c>
      <c r="M356" s="56" t="s">
        <v>1050</v>
      </c>
      <c r="N356" s="129">
        <v>46232</v>
      </c>
      <c r="O356" s="130">
        <v>0.60416666666666663</v>
      </c>
      <c r="P356" s="130">
        <v>0.57965277777777779</v>
      </c>
      <c r="Q356" s="56" t="s">
        <v>1050</v>
      </c>
      <c r="R356" s="56" t="s">
        <v>228</v>
      </c>
      <c r="S356" s="56">
        <v>31</v>
      </c>
      <c r="T356" s="131">
        <v>4.8611111111110938E-3</v>
      </c>
      <c r="U356" s="130">
        <v>-2.4513888888888835E-2</v>
      </c>
      <c r="V356" s="56" t="s">
        <v>1051</v>
      </c>
      <c r="W356" s="56" t="s">
        <v>1052</v>
      </c>
      <c r="X356" s="56" t="s">
        <v>1053</v>
      </c>
      <c r="Y356" s="56">
        <v>31</v>
      </c>
      <c r="Z356" s="56" t="s">
        <v>1054</v>
      </c>
      <c r="AA356" s="56" t="s">
        <v>1234</v>
      </c>
      <c r="AB356" s="56" t="s">
        <v>1194</v>
      </c>
      <c r="AC356" s="56" t="s">
        <v>1057</v>
      </c>
      <c r="AD356" s="56" t="s">
        <v>1235</v>
      </c>
      <c r="AE356" s="56" t="s">
        <v>1236</v>
      </c>
      <c r="AF356" s="56" t="s">
        <v>1237</v>
      </c>
      <c r="AG356" s="56" t="s">
        <v>1238</v>
      </c>
      <c r="AH356" s="56"/>
      <c r="AI356" s="56"/>
      <c r="AJ356" s="56"/>
      <c r="AK356" s="56"/>
      <c r="AL356" s="56"/>
      <c r="AM356" s="56"/>
      <c r="AN356" s="56"/>
      <c r="AO356" s="56"/>
      <c r="AP356" s="56"/>
      <c r="AQ356" s="131"/>
      <c r="AR356" s="130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</row>
    <row r="357" spans="1:56" x14ac:dyDescent="0.2">
      <c r="A357" s="56">
        <v>14122293</v>
      </c>
      <c r="B357" s="56">
        <v>175296295</v>
      </c>
      <c r="C357" s="56" t="s">
        <v>2009</v>
      </c>
      <c r="D357" s="56" t="s">
        <v>2010</v>
      </c>
      <c r="E357" s="56" t="s">
        <v>1047</v>
      </c>
      <c r="F357" s="56">
        <v>33</v>
      </c>
      <c r="G357" s="56">
        <v>11387</v>
      </c>
      <c r="H357" s="56" t="s">
        <v>1048</v>
      </c>
      <c r="I357" s="56" t="s">
        <v>2011</v>
      </c>
      <c r="J357" s="129">
        <v>46232</v>
      </c>
      <c r="K357" s="130">
        <v>0.52083333333333337</v>
      </c>
      <c r="L357" s="130">
        <v>0.52777777777777779</v>
      </c>
      <c r="M357" s="56" t="s">
        <v>1050</v>
      </c>
      <c r="N357" s="129">
        <v>46232</v>
      </c>
      <c r="O357" s="130">
        <v>0.57291666666666663</v>
      </c>
      <c r="P357" s="130">
        <v>0.57458333333333333</v>
      </c>
      <c r="Q357" s="56" t="s">
        <v>1050</v>
      </c>
      <c r="R357" s="56" t="s">
        <v>403</v>
      </c>
      <c r="S357" s="56">
        <v>31</v>
      </c>
      <c r="T357" s="131">
        <v>6.9444444444444198E-3</v>
      </c>
      <c r="U357" s="130">
        <v>1.6666666666667052E-3</v>
      </c>
      <c r="V357" s="56" t="s">
        <v>1051</v>
      </c>
      <c r="W357" s="56" t="s">
        <v>1052</v>
      </c>
      <c r="X357" s="56" t="s">
        <v>1053</v>
      </c>
      <c r="Y357" s="56">
        <v>31</v>
      </c>
      <c r="Z357" s="56" t="s">
        <v>1054</v>
      </c>
      <c r="AA357" s="56" t="s">
        <v>2012</v>
      </c>
      <c r="AB357" s="56" t="s">
        <v>1605</v>
      </c>
      <c r="AC357" s="56" t="s">
        <v>1069</v>
      </c>
      <c r="AD357" s="56" t="s">
        <v>2013</v>
      </c>
      <c r="AE357" s="56" t="s">
        <v>2014</v>
      </c>
      <c r="AF357" s="56" t="s">
        <v>1237</v>
      </c>
      <c r="AG357" s="56" t="s">
        <v>2015</v>
      </c>
      <c r="AH357" s="56"/>
      <c r="AI357" s="56"/>
      <c r="AJ357" s="56"/>
      <c r="AK357" s="56"/>
      <c r="AL357" s="56"/>
      <c r="AM357" s="56"/>
      <c r="AN357" s="56"/>
      <c r="AO357" s="56"/>
      <c r="AP357" s="56"/>
      <c r="AQ357" s="131"/>
      <c r="AR357" s="130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</row>
    <row r="358" spans="1:56" x14ac:dyDescent="0.2">
      <c r="A358" s="56">
        <v>14122320</v>
      </c>
      <c r="B358" s="56">
        <v>175302688</v>
      </c>
      <c r="C358" s="56" t="s">
        <v>2431</v>
      </c>
      <c r="D358" s="56" t="s">
        <v>2432</v>
      </c>
      <c r="E358" s="56" t="s">
        <v>1047</v>
      </c>
      <c r="F358" s="56">
        <v>57</v>
      </c>
      <c r="G358" s="56">
        <v>6983</v>
      </c>
      <c r="H358" s="56" t="s">
        <v>1048</v>
      </c>
      <c r="I358" s="56" t="s">
        <v>1118</v>
      </c>
      <c r="J358" s="129">
        <v>46232</v>
      </c>
      <c r="K358" s="130">
        <v>0.52777777777777779</v>
      </c>
      <c r="L358" s="130">
        <v>0.54027777777777775</v>
      </c>
      <c r="M358" s="56" t="s">
        <v>1050</v>
      </c>
      <c r="N358" s="129">
        <v>46232</v>
      </c>
      <c r="O358" s="130">
        <v>0.60069444444444442</v>
      </c>
      <c r="P358" s="130">
        <v>0.58373842592592595</v>
      </c>
      <c r="Q358" s="56" t="s">
        <v>1050</v>
      </c>
      <c r="R358" s="56" t="s">
        <v>405</v>
      </c>
      <c r="S358" s="56">
        <v>31</v>
      </c>
      <c r="T358" s="131">
        <v>1.2499999999999956E-2</v>
      </c>
      <c r="U358" s="130">
        <v>-1.6956018518518468E-2</v>
      </c>
      <c r="V358" s="56" t="s">
        <v>1051</v>
      </c>
      <c r="W358" s="56" t="s">
        <v>1052</v>
      </c>
      <c r="X358" s="56" t="s">
        <v>1053</v>
      </c>
      <c r="Y358" s="56">
        <v>31</v>
      </c>
      <c r="Z358" s="56" t="s">
        <v>1054</v>
      </c>
      <c r="AA358" s="56" t="s">
        <v>2433</v>
      </c>
      <c r="AB358" s="56" t="s">
        <v>1120</v>
      </c>
      <c r="AC358" s="56" t="s">
        <v>1078</v>
      </c>
      <c r="AD358" s="56" t="s">
        <v>2434</v>
      </c>
      <c r="AE358" s="56" t="s">
        <v>2435</v>
      </c>
      <c r="AF358" s="56" t="s">
        <v>1237</v>
      </c>
      <c r="AG358" s="56" t="s">
        <v>2436</v>
      </c>
      <c r="AH358" s="56"/>
      <c r="AI358" s="56"/>
      <c r="AJ358" s="56"/>
      <c r="AK358" s="56"/>
      <c r="AL358" s="56"/>
      <c r="AM358" s="56"/>
      <c r="AN358" s="56"/>
      <c r="AO358" s="56"/>
      <c r="AP358" s="56"/>
      <c r="AQ358" s="131"/>
      <c r="AR358" s="130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</row>
    <row r="359" spans="1:56" x14ac:dyDescent="0.2">
      <c r="A359" s="56">
        <v>14121994</v>
      </c>
      <c r="B359" s="56">
        <v>175284330</v>
      </c>
      <c r="C359" s="56" t="s">
        <v>1626</v>
      </c>
      <c r="D359" s="56" t="s">
        <v>1627</v>
      </c>
      <c r="E359" s="56" t="s">
        <v>1047</v>
      </c>
      <c r="F359" s="56">
        <v>68</v>
      </c>
      <c r="G359" s="56">
        <v>13416</v>
      </c>
      <c r="H359" s="56" t="s">
        <v>1048</v>
      </c>
      <c r="I359" s="56" t="s">
        <v>1075</v>
      </c>
      <c r="J359" s="129">
        <v>46232</v>
      </c>
      <c r="K359" s="130">
        <v>0.53472222222222221</v>
      </c>
      <c r="L359" s="130">
        <v>0.53819444444444442</v>
      </c>
      <c r="M359" s="56" t="s">
        <v>1050</v>
      </c>
      <c r="N359" s="129">
        <v>46232</v>
      </c>
      <c r="O359" s="130">
        <v>0.60069444444444442</v>
      </c>
      <c r="P359" s="130">
        <v>0.57881944444444444</v>
      </c>
      <c r="Q359" s="56" t="s">
        <v>1050</v>
      </c>
      <c r="R359" s="56" t="s">
        <v>370</v>
      </c>
      <c r="S359" s="56">
        <v>31</v>
      </c>
      <c r="T359" s="131">
        <v>3.4722222222222099E-3</v>
      </c>
      <c r="U359" s="130">
        <v>-2.1874999999999978E-2</v>
      </c>
      <c r="V359" s="56" t="s">
        <v>1051</v>
      </c>
      <c r="W359" s="56" t="s">
        <v>1052</v>
      </c>
      <c r="X359" s="56" t="s">
        <v>1053</v>
      </c>
      <c r="Y359" s="56">
        <v>31</v>
      </c>
      <c r="Z359" s="56" t="s">
        <v>1054</v>
      </c>
      <c r="AA359" s="56" t="s">
        <v>1628</v>
      </c>
      <c r="AB359" s="56" t="s">
        <v>1077</v>
      </c>
      <c r="AC359" s="56" t="s">
        <v>1078</v>
      </c>
      <c r="AD359" s="56" t="s">
        <v>1629</v>
      </c>
      <c r="AE359" s="56" t="s">
        <v>1630</v>
      </c>
      <c r="AF359" s="56" t="s">
        <v>1237</v>
      </c>
      <c r="AG359" s="56" t="s">
        <v>1631</v>
      </c>
      <c r="AH359" s="56"/>
      <c r="AI359" s="56"/>
      <c r="AJ359" s="56"/>
      <c r="AK359" s="56"/>
      <c r="AL359" s="56"/>
      <c r="AM359" s="56"/>
      <c r="AN359" s="56"/>
      <c r="AO359" s="56"/>
      <c r="AP359" s="56"/>
      <c r="AQ359" s="131"/>
      <c r="AR359" s="130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</row>
    <row r="360" spans="1:56" x14ac:dyDescent="0.2">
      <c r="A360" s="56">
        <v>14122709</v>
      </c>
      <c r="B360" s="56">
        <v>175284338</v>
      </c>
      <c r="C360" s="56" t="s">
        <v>1632</v>
      </c>
      <c r="D360" s="56" t="s">
        <v>1633</v>
      </c>
      <c r="E360" s="56" t="s">
        <v>1047</v>
      </c>
      <c r="F360" s="56">
        <v>71</v>
      </c>
      <c r="G360" s="56">
        <v>16003</v>
      </c>
      <c r="H360" s="56" t="s">
        <v>1048</v>
      </c>
      <c r="I360" s="56" t="s">
        <v>1075</v>
      </c>
      <c r="J360" s="129">
        <v>46232</v>
      </c>
      <c r="K360" s="130">
        <v>0.53472222222222221</v>
      </c>
      <c r="L360" s="130">
        <v>0.54027777777777775</v>
      </c>
      <c r="M360" s="56" t="s">
        <v>1050</v>
      </c>
      <c r="N360" s="129">
        <v>46232</v>
      </c>
      <c r="O360" s="130">
        <v>0.60069444444444442</v>
      </c>
      <c r="P360" s="130">
        <v>0.58782407407407411</v>
      </c>
      <c r="Q360" s="56" t="s">
        <v>1050</v>
      </c>
      <c r="R360" s="56" t="s">
        <v>441</v>
      </c>
      <c r="S360" s="56">
        <v>31</v>
      </c>
      <c r="T360" s="131">
        <v>5.5555555555555358E-3</v>
      </c>
      <c r="U360" s="130">
        <v>-1.287037037037031E-2</v>
      </c>
      <c r="V360" s="56" t="s">
        <v>1051</v>
      </c>
      <c r="W360" s="56" t="s">
        <v>1052</v>
      </c>
      <c r="X360" s="56" t="s">
        <v>1053</v>
      </c>
      <c r="Y360" s="56">
        <v>31</v>
      </c>
      <c r="Z360" s="56" t="s">
        <v>1054</v>
      </c>
      <c r="AA360" s="56" t="s">
        <v>1634</v>
      </c>
      <c r="AB360" s="56" t="s">
        <v>1077</v>
      </c>
      <c r="AC360" s="56" t="s">
        <v>1078</v>
      </c>
      <c r="AD360" s="56" t="s">
        <v>1635</v>
      </c>
      <c r="AE360" s="56" t="s">
        <v>1636</v>
      </c>
      <c r="AF360" s="56" t="s">
        <v>1237</v>
      </c>
      <c r="AG360" s="56" t="s">
        <v>1637</v>
      </c>
      <c r="AH360" s="56"/>
      <c r="AI360" s="56"/>
      <c r="AJ360" s="56"/>
      <c r="AK360" s="56"/>
      <c r="AL360" s="56"/>
      <c r="AM360" s="56"/>
      <c r="AN360" s="56"/>
      <c r="AO360" s="56"/>
      <c r="AP360" s="56"/>
      <c r="AQ360" s="131"/>
      <c r="AR360" s="130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</row>
    <row r="361" spans="1:56" x14ac:dyDescent="0.2">
      <c r="A361" s="56">
        <v>14123925</v>
      </c>
      <c r="B361" s="56">
        <v>175294449</v>
      </c>
      <c r="C361" s="56" t="s">
        <v>1638</v>
      </c>
      <c r="D361" s="56" t="s">
        <v>1639</v>
      </c>
      <c r="E361" s="56" t="s">
        <v>1047</v>
      </c>
      <c r="F361" s="56">
        <v>82</v>
      </c>
      <c r="G361" s="56">
        <v>13537</v>
      </c>
      <c r="H361" s="56" t="s">
        <v>1048</v>
      </c>
      <c r="I361" s="56" t="s">
        <v>1104</v>
      </c>
      <c r="J361" s="129">
        <v>46232</v>
      </c>
      <c r="K361" s="130">
        <v>0.53472222222222221</v>
      </c>
      <c r="L361" s="130">
        <v>0.5395833333333333</v>
      </c>
      <c r="M361" s="56" t="s">
        <v>1050</v>
      </c>
      <c r="N361" s="129">
        <v>46232</v>
      </c>
      <c r="O361" s="130">
        <v>0.60069444444444442</v>
      </c>
      <c r="P361" s="130">
        <v>0.57916666666666672</v>
      </c>
      <c r="Q361" s="56" t="s">
        <v>1050</v>
      </c>
      <c r="R361" s="56" t="s">
        <v>994</v>
      </c>
      <c r="S361" s="56">
        <v>31</v>
      </c>
      <c r="T361" s="131">
        <v>4.8611111111110938E-3</v>
      </c>
      <c r="U361" s="130">
        <v>-2.1527777777777701E-2</v>
      </c>
      <c r="V361" s="56" t="s">
        <v>1051</v>
      </c>
      <c r="W361" s="56" t="s">
        <v>1052</v>
      </c>
      <c r="X361" s="56" t="s">
        <v>1053</v>
      </c>
      <c r="Y361" s="56">
        <v>31</v>
      </c>
      <c r="Z361" s="56" t="s">
        <v>1054</v>
      </c>
      <c r="AA361" s="56" t="s">
        <v>1640</v>
      </c>
      <c r="AB361" s="56" t="s">
        <v>1106</v>
      </c>
      <c r="AC361" s="56" t="s">
        <v>1078</v>
      </c>
      <c r="AD361" s="56" t="s">
        <v>1641</v>
      </c>
      <c r="AE361" s="56" t="s">
        <v>1642</v>
      </c>
      <c r="AF361" s="56" t="s">
        <v>1237</v>
      </c>
      <c r="AG361" s="56" t="s">
        <v>1643</v>
      </c>
      <c r="AH361" s="56"/>
      <c r="AI361" s="56"/>
      <c r="AJ361" s="56"/>
      <c r="AK361" s="56"/>
      <c r="AL361" s="56"/>
      <c r="AM361" s="56"/>
      <c r="AN361" s="56"/>
      <c r="AO361" s="56"/>
      <c r="AP361" s="56"/>
      <c r="AQ361" s="131"/>
      <c r="AR361" s="130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</row>
    <row r="362" spans="1:56" x14ac:dyDescent="0.2">
      <c r="A362" s="56">
        <v>14122263</v>
      </c>
      <c r="B362" s="56">
        <v>175305516</v>
      </c>
      <c r="C362" s="56" t="s">
        <v>2030</v>
      </c>
      <c r="D362" s="56" t="s">
        <v>2031</v>
      </c>
      <c r="E362" s="56" t="s">
        <v>1047</v>
      </c>
      <c r="F362" s="56">
        <v>83</v>
      </c>
      <c r="G362" s="56">
        <v>5437</v>
      </c>
      <c r="H362" s="56" t="s">
        <v>1048</v>
      </c>
      <c r="I362" s="56" t="s">
        <v>1118</v>
      </c>
      <c r="J362" s="129">
        <v>46232</v>
      </c>
      <c r="K362" s="130">
        <v>0.53680555555555554</v>
      </c>
      <c r="L362" s="130">
        <v>0.54166666666666663</v>
      </c>
      <c r="M362" s="56" t="s">
        <v>1050</v>
      </c>
      <c r="N362" s="129">
        <v>46232</v>
      </c>
      <c r="O362" s="130">
        <v>0.60069444444444442</v>
      </c>
      <c r="P362" s="130">
        <v>0.58960648148148154</v>
      </c>
      <c r="Q362" s="56" t="s">
        <v>1050</v>
      </c>
      <c r="R362" s="56" t="s">
        <v>401</v>
      </c>
      <c r="S362" s="56">
        <v>31</v>
      </c>
      <c r="T362" s="131">
        <v>4.8611111111110938E-3</v>
      </c>
      <c r="U362" s="130">
        <v>-1.1087962962962883E-2</v>
      </c>
      <c r="V362" s="56" t="s">
        <v>1051</v>
      </c>
      <c r="W362" s="56" t="s">
        <v>1052</v>
      </c>
      <c r="X362" s="56" t="s">
        <v>1053</v>
      </c>
      <c r="Y362" s="56">
        <v>31</v>
      </c>
      <c r="Z362" s="56" t="s">
        <v>1054</v>
      </c>
      <c r="AA362" s="56" t="s">
        <v>2032</v>
      </c>
      <c r="AB362" s="56" t="s">
        <v>1120</v>
      </c>
      <c r="AC362" s="56" t="s">
        <v>1078</v>
      </c>
      <c r="AD362" s="56" t="s">
        <v>2033</v>
      </c>
      <c r="AE362" s="56" t="s">
        <v>2034</v>
      </c>
      <c r="AF362" s="56" t="s">
        <v>1237</v>
      </c>
      <c r="AG362" s="56" t="s">
        <v>2035</v>
      </c>
      <c r="AH362" s="56"/>
      <c r="AI362" s="56"/>
      <c r="AJ362" s="56"/>
      <c r="AK362" s="56"/>
      <c r="AL362" s="56"/>
      <c r="AM362" s="56"/>
      <c r="AN362" s="56"/>
      <c r="AO362" s="56"/>
      <c r="AP362" s="56"/>
      <c r="AQ362" s="131"/>
      <c r="AR362" s="130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</row>
    <row r="363" spans="1:56" x14ac:dyDescent="0.2">
      <c r="A363" s="56">
        <v>14107967</v>
      </c>
      <c r="B363" s="56">
        <v>175305549</v>
      </c>
      <c r="C363" s="56" t="s">
        <v>1669</v>
      </c>
      <c r="D363" s="56" t="s">
        <v>1670</v>
      </c>
      <c r="E363" s="56" t="s">
        <v>1047</v>
      </c>
      <c r="F363" s="56">
        <v>84</v>
      </c>
      <c r="G363" s="56">
        <v>16734</v>
      </c>
      <c r="H363" s="56" t="s">
        <v>1048</v>
      </c>
      <c r="I363" s="56" t="s">
        <v>1118</v>
      </c>
      <c r="J363" s="129">
        <v>46232</v>
      </c>
      <c r="K363" s="130">
        <v>0.53819444444444442</v>
      </c>
      <c r="L363" s="130">
        <v>0.54513888888888884</v>
      </c>
      <c r="M363" s="56" t="s">
        <v>1050</v>
      </c>
      <c r="N363" s="129">
        <v>46232</v>
      </c>
      <c r="O363" s="130">
        <v>0.60069444444444442</v>
      </c>
      <c r="P363" s="130">
        <v>0.58793981481481483</v>
      </c>
      <c r="Q363" s="56" t="s">
        <v>1050</v>
      </c>
      <c r="R363" s="56" t="s">
        <v>67</v>
      </c>
      <c r="S363" s="56">
        <v>31</v>
      </c>
      <c r="T363" s="131">
        <v>6.9444444444444198E-3</v>
      </c>
      <c r="U363" s="130">
        <v>-1.2754629629629588E-2</v>
      </c>
      <c r="V363" s="56" t="s">
        <v>1051</v>
      </c>
      <c r="W363" s="56" t="s">
        <v>1052</v>
      </c>
      <c r="X363" s="56" t="s">
        <v>1053</v>
      </c>
      <c r="Y363" s="56">
        <v>31</v>
      </c>
      <c r="Z363" s="56" t="s">
        <v>1054</v>
      </c>
      <c r="AA363" s="56" t="s">
        <v>1671</v>
      </c>
      <c r="AB363" s="56" t="s">
        <v>1120</v>
      </c>
      <c r="AC363" s="56" t="s">
        <v>1078</v>
      </c>
      <c r="AD363" s="56" t="s">
        <v>1672</v>
      </c>
      <c r="AE363" s="56" t="s">
        <v>1673</v>
      </c>
      <c r="AF363" s="56" t="s">
        <v>1237</v>
      </c>
      <c r="AG363" s="56" t="s">
        <v>1674</v>
      </c>
      <c r="AH363" s="56"/>
      <c r="AI363" s="56"/>
      <c r="AJ363" s="56"/>
      <c r="AK363" s="56"/>
      <c r="AL363" s="56"/>
      <c r="AM363" s="56"/>
      <c r="AN363" s="56"/>
      <c r="AO363" s="56"/>
      <c r="AP363" s="56"/>
      <c r="AQ363" s="131"/>
      <c r="AR363" s="130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</row>
    <row r="364" spans="1:56" x14ac:dyDescent="0.2">
      <c r="A364" s="56">
        <v>14103106</v>
      </c>
      <c r="B364" s="56">
        <v>175294244</v>
      </c>
      <c r="C364" s="56" t="s">
        <v>1261</v>
      </c>
      <c r="D364" s="56" t="s">
        <v>1117</v>
      </c>
      <c r="E364" s="56" t="s">
        <v>1047</v>
      </c>
      <c r="F364" s="56">
        <v>28</v>
      </c>
      <c r="G364" s="56">
        <v>16733</v>
      </c>
      <c r="H364" s="56" t="s">
        <v>1048</v>
      </c>
      <c r="I364" s="56" t="s">
        <v>1118</v>
      </c>
      <c r="J364" s="129">
        <v>46232</v>
      </c>
      <c r="K364" s="130">
        <v>0.5395833333333333</v>
      </c>
      <c r="L364" s="130">
        <v>0.54583333333333328</v>
      </c>
      <c r="M364" s="56" t="s">
        <v>1050</v>
      </c>
      <c r="N364" s="129">
        <v>46232</v>
      </c>
      <c r="O364" s="130">
        <v>0.60069444444444442</v>
      </c>
      <c r="P364" s="130">
        <v>0.58719907407407412</v>
      </c>
      <c r="Q364" s="56" t="s">
        <v>1050</v>
      </c>
      <c r="R364" s="56" t="s">
        <v>34</v>
      </c>
      <c r="S364" s="56">
        <v>31</v>
      </c>
      <c r="T364" s="131">
        <v>6.2499999999999778E-3</v>
      </c>
      <c r="U364" s="130">
        <v>-1.3495370370370297E-2</v>
      </c>
      <c r="V364" s="56" t="s">
        <v>1051</v>
      </c>
      <c r="W364" s="56" t="s">
        <v>1052</v>
      </c>
      <c r="X364" s="56" t="s">
        <v>1053</v>
      </c>
      <c r="Y364" s="56">
        <v>31</v>
      </c>
      <c r="Z364" s="56" t="s">
        <v>1054</v>
      </c>
      <c r="AA364" s="56" t="s">
        <v>1119</v>
      </c>
      <c r="AB364" s="56" t="s">
        <v>1120</v>
      </c>
      <c r="AC364" s="56" t="s">
        <v>1078</v>
      </c>
      <c r="AD364" s="56" t="s">
        <v>1121</v>
      </c>
      <c r="AE364" s="56" t="s">
        <v>1122</v>
      </c>
      <c r="AF364" s="56" t="s">
        <v>1237</v>
      </c>
      <c r="AG364" s="56" t="s">
        <v>1262</v>
      </c>
      <c r="AH364" s="56"/>
      <c r="AI364" s="56"/>
      <c r="AJ364" s="56"/>
      <c r="AK364" s="56"/>
      <c r="AL364" s="56"/>
      <c r="AM364" s="56"/>
      <c r="AN364" s="56"/>
      <c r="AO364" s="56"/>
      <c r="AP364" s="56"/>
      <c r="AQ364" s="131"/>
      <c r="AR364" s="130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</row>
    <row r="365" spans="1:56" x14ac:dyDescent="0.2">
      <c r="A365" s="56">
        <v>14116431</v>
      </c>
      <c r="B365" s="56">
        <v>175294225</v>
      </c>
      <c r="C365" s="56" t="s">
        <v>2437</v>
      </c>
      <c r="D365" s="56" t="s">
        <v>2399</v>
      </c>
      <c r="E365" s="56" t="s">
        <v>1047</v>
      </c>
      <c r="F365" s="56">
        <v>21</v>
      </c>
      <c r="G365" s="56">
        <v>16785</v>
      </c>
      <c r="H365" s="56" t="s">
        <v>1048</v>
      </c>
      <c r="I365" s="56" t="s">
        <v>1118</v>
      </c>
      <c r="J365" s="129">
        <v>46232</v>
      </c>
      <c r="K365" s="130">
        <v>0.54166666666666663</v>
      </c>
      <c r="L365" s="130">
        <v>0.54722222222222228</v>
      </c>
      <c r="M365" s="56" t="s">
        <v>1050</v>
      </c>
      <c r="N365" s="129">
        <v>46232</v>
      </c>
      <c r="O365" s="130">
        <v>0.60069444444444442</v>
      </c>
      <c r="P365" s="130">
        <v>0.58630787037037035</v>
      </c>
      <c r="Q365" s="56" t="s">
        <v>1050</v>
      </c>
      <c r="R365" s="56" t="s">
        <v>1132</v>
      </c>
      <c r="S365" s="56">
        <v>31</v>
      </c>
      <c r="T365" s="131">
        <v>5.5555555555556468E-3</v>
      </c>
      <c r="U365" s="130">
        <v>-1.4386574074074066E-2</v>
      </c>
      <c r="V365" s="56" t="s">
        <v>1051</v>
      </c>
      <c r="W365" s="56" t="s">
        <v>1052</v>
      </c>
      <c r="X365" s="56" t="s">
        <v>1053</v>
      </c>
      <c r="Y365" s="56">
        <v>31</v>
      </c>
      <c r="Z365" s="56" t="s">
        <v>1054</v>
      </c>
      <c r="AA365" s="56" t="s">
        <v>2400</v>
      </c>
      <c r="AB365" s="56" t="s">
        <v>1120</v>
      </c>
      <c r="AC365" s="56" t="s">
        <v>1078</v>
      </c>
      <c r="AD365" s="56" t="s">
        <v>2401</v>
      </c>
      <c r="AE365" s="56" t="s">
        <v>2402</v>
      </c>
      <c r="AF365" s="56" t="s">
        <v>1237</v>
      </c>
      <c r="AG365" s="56" t="s">
        <v>2438</v>
      </c>
      <c r="AH365" s="56"/>
      <c r="AI365" s="56"/>
      <c r="AJ365" s="56"/>
      <c r="AK365" s="56"/>
      <c r="AL365" s="56"/>
      <c r="AM365" s="56"/>
      <c r="AN365" s="56"/>
      <c r="AO365" s="56"/>
      <c r="AP365" s="56"/>
      <c r="AQ365" s="131"/>
      <c r="AR365" s="130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</row>
    <row r="366" spans="1:56" x14ac:dyDescent="0.2">
      <c r="A366" s="56">
        <v>14123894</v>
      </c>
      <c r="B366" s="56">
        <v>175306371</v>
      </c>
      <c r="C366" s="56" t="s">
        <v>2249</v>
      </c>
      <c r="D366" s="56" t="s">
        <v>1527</v>
      </c>
      <c r="E366" s="56" t="s">
        <v>1047</v>
      </c>
      <c r="F366" s="56">
        <v>227</v>
      </c>
      <c r="G366" s="56">
        <v>4980</v>
      </c>
      <c r="H366" s="56" t="s">
        <v>1048</v>
      </c>
      <c r="I366" s="56" t="s">
        <v>1104</v>
      </c>
      <c r="J366" s="129">
        <v>46232</v>
      </c>
      <c r="K366" s="130">
        <v>0.54166666666666663</v>
      </c>
      <c r="L366" s="130">
        <v>0.54791666666666672</v>
      </c>
      <c r="M366" s="56" t="s">
        <v>1050</v>
      </c>
      <c r="N366" s="129">
        <v>46232</v>
      </c>
      <c r="O366" s="130">
        <v>0.60069444444444442</v>
      </c>
      <c r="P366" s="130">
        <v>0.58697916666666672</v>
      </c>
      <c r="Q366" s="56" t="s">
        <v>1050</v>
      </c>
      <c r="R366" s="56" t="s">
        <v>981</v>
      </c>
      <c r="S366" s="56">
        <v>31</v>
      </c>
      <c r="T366" s="131">
        <v>6.2500000000000888E-3</v>
      </c>
      <c r="U366" s="130">
        <v>-1.3715277777777701E-2</v>
      </c>
      <c r="V366" s="56" t="s">
        <v>1051</v>
      </c>
      <c r="W366" s="56" t="s">
        <v>1052</v>
      </c>
      <c r="X366" s="56" t="s">
        <v>1053</v>
      </c>
      <c r="Y366" s="56">
        <v>31</v>
      </c>
      <c r="Z366" s="56" t="s">
        <v>1054</v>
      </c>
      <c r="AA366" s="56" t="s">
        <v>2250</v>
      </c>
      <c r="AB366" s="56" t="s">
        <v>1106</v>
      </c>
      <c r="AC366" s="56" t="s">
        <v>1078</v>
      </c>
      <c r="AD366" s="56" t="s">
        <v>2251</v>
      </c>
      <c r="AE366" s="56" t="s">
        <v>2252</v>
      </c>
      <c r="AF366" s="56" t="s">
        <v>1237</v>
      </c>
      <c r="AG366" s="56" t="s">
        <v>2253</v>
      </c>
      <c r="AH366" s="56"/>
      <c r="AI366" s="56"/>
      <c r="AJ366" s="56"/>
      <c r="AK366" s="56"/>
      <c r="AL366" s="56"/>
      <c r="AM366" s="56"/>
      <c r="AN366" s="56"/>
      <c r="AO366" s="56"/>
      <c r="AP366" s="56"/>
      <c r="AQ366" s="131"/>
      <c r="AR366" s="130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</row>
    <row r="367" spans="1:56" x14ac:dyDescent="0.2">
      <c r="A367" s="56">
        <v>14117509</v>
      </c>
      <c r="B367" s="56">
        <v>175294443</v>
      </c>
      <c r="C367" s="56" t="s">
        <v>2439</v>
      </c>
      <c r="D367" s="56" t="s">
        <v>2440</v>
      </c>
      <c r="E367" s="56" t="s">
        <v>1047</v>
      </c>
      <c r="F367" s="56">
        <v>80</v>
      </c>
      <c r="G367" s="56">
        <v>13375</v>
      </c>
      <c r="H367" s="56" t="s">
        <v>1048</v>
      </c>
      <c r="I367" s="56" t="s">
        <v>1104</v>
      </c>
      <c r="J367" s="129">
        <v>46232</v>
      </c>
      <c r="K367" s="130">
        <v>0.54513888888888884</v>
      </c>
      <c r="L367" s="130">
        <v>0.55694444444444446</v>
      </c>
      <c r="M367" s="56" t="s">
        <v>1050</v>
      </c>
      <c r="N367" s="129">
        <v>46232</v>
      </c>
      <c r="O367" s="130">
        <v>0.60069444444444442</v>
      </c>
      <c r="P367" s="130">
        <v>0.57874999999999999</v>
      </c>
      <c r="Q367" s="56" t="s">
        <v>1050</v>
      </c>
      <c r="R367" s="56" t="s">
        <v>235</v>
      </c>
      <c r="S367" s="56">
        <v>31</v>
      </c>
      <c r="T367" s="131">
        <v>1.1805555555555625E-2</v>
      </c>
      <c r="U367" s="130">
        <v>-2.1944444444444433E-2</v>
      </c>
      <c r="V367" s="56" t="s">
        <v>1051</v>
      </c>
      <c r="W367" s="56" t="s">
        <v>1052</v>
      </c>
      <c r="X367" s="56" t="s">
        <v>1053</v>
      </c>
      <c r="Y367" s="56">
        <v>31</v>
      </c>
      <c r="Z367" s="56" t="s">
        <v>1054</v>
      </c>
      <c r="AA367" s="56" t="s">
        <v>2441</v>
      </c>
      <c r="AB367" s="56" t="s">
        <v>1106</v>
      </c>
      <c r="AC367" s="56" t="s">
        <v>1078</v>
      </c>
      <c r="AD367" s="56" t="s">
        <v>2442</v>
      </c>
      <c r="AE367" s="56" t="s">
        <v>2443</v>
      </c>
      <c r="AF367" s="56" t="s">
        <v>1237</v>
      </c>
      <c r="AG367" s="56" t="s">
        <v>2444</v>
      </c>
      <c r="AH367" s="56"/>
      <c r="AI367" s="56"/>
      <c r="AJ367" s="56"/>
      <c r="AK367" s="56"/>
      <c r="AL367" s="56"/>
      <c r="AM367" s="56"/>
      <c r="AN367" s="56"/>
      <c r="AO367" s="56"/>
      <c r="AP367" s="56"/>
      <c r="AQ367" s="131"/>
      <c r="AR367" s="130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</row>
    <row r="368" spans="1:56" x14ac:dyDescent="0.2">
      <c r="A368" s="56"/>
      <c r="B368" s="56">
        <v>175300826</v>
      </c>
      <c r="C368" s="56" t="s">
        <v>2254</v>
      </c>
      <c r="D368" s="56" t="s">
        <v>2255</v>
      </c>
      <c r="E368" s="56" t="s">
        <v>1047</v>
      </c>
      <c r="F368" s="56">
        <v>67</v>
      </c>
      <c r="G368" s="56">
        <v>5870</v>
      </c>
      <c r="H368" s="56" t="s">
        <v>1048</v>
      </c>
      <c r="I368" s="56" t="s">
        <v>1172</v>
      </c>
      <c r="J368" s="129">
        <v>46232</v>
      </c>
      <c r="K368" s="130">
        <v>0.54513888888888884</v>
      </c>
      <c r="L368" s="130">
        <v>0.56805555555555554</v>
      </c>
      <c r="M368" s="56" t="s">
        <v>1050</v>
      </c>
      <c r="N368" s="129">
        <v>46232</v>
      </c>
      <c r="O368" s="130">
        <v>0.61458333333333337</v>
      </c>
      <c r="P368" s="130">
        <v>0.62114583333333329</v>
      </c>
      <c r="Q368" s="56" t="s">
        <v>1050</v>
      </c>
      <c r="R368" s="56" t="s">
        <v>1414</v>
      </c>
      <c r="S368" s="56">
        <v>31</v>
      </c>
      <c r="T368" s="131">
        <v>2.2916666666666696E-2</v>
      </c>
      <c r="U368" s="130">
        <v>6.5624999999999156E-3</v>
      </c>
      <c r="V368" s="56" t="s">
        <v>1051</v>
      </c>
      <c r="W368" s="56" t="s">
        <v>1065</v>
      </c>
      <c r="X368" s="56" t="s">
        <v>1066</v>
      </c>
      <c r="Y368" s="56">
        <v>31</v>
      </c>
      <c r="Z368" s="56" t="s">
        <v>1054</v>
      </c>
      <c r="AA368" s="56" t="s">
        <v>2256</v>
      </c>
      <c r="AB368" s="56" t="s">
        <v>1210</v>
      </c>
      <c r="AC368" s="56" t="s">
        <v>1057</v>
      </c>
      <c r="AD368" s="56" t="s">
        <v>2257</v>
      </c>
      <c r="AE368" s="56" t="s">
        <v>2258</v>
      </c>
      <c r="AF368" s="56" t="s">
        <v>1237</v>
      </c>
      <c r="AG368" s="56" t="s">
        <v>2259</v>
      </c>
      <c r="AH368" s="56"/>
      <c r="AI368" s="56"/>
      <c r="AJ368" s="56"/>
      <c r="AK368" s="56"/>
      <c r="AL368" s="56"/>
      <c r="AM368" s="56"/>
      <c r="AN368" s="56"/>
      <c r="AO368" s="56"/>
      <c r="AP368" s="56"/>
      <c r="AQ368" s="131"/>
      <c r="AR368" s="130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</row>
    <row r="369" spans="1:56" x14ac:dyDescent="0.2">
      <c r="A369" s="56">
        <v>14109430</v>
      </c>
      <c r="B369" s="56">
        <v>175290094</v>
      </c>
      <c r="C369" s="56" t="s">
        <v>2445</v>
      </c>
      <c r="D369" s="56" t="s">
        <v>2186</v>
      </c>
      <c r="E369" s="56" t="s">
        <v>1047</v>
      </c>
      <c r="F369" s="56">
        <v>5</v>
      </c>
      <c r="G369" s="56">
        <v>13727</v>
      </c>
      <c r="H369" s="56" t="s">
        <v>1048</v>
      </c>
      <c r="I369" s="56" t="s">
        <v>1340</v>
      </c>
      <c r="J369" s="129">
        <v>46232</v>
      </c>
      <c r="K369" s="130">
        <v>0.54861111111111116</v>
      </c>
      <c r="L369" s="130">
        <v>0.55208333333333337</v>
      </c>
      <c r="M369" s="56" t="s">
        <v>1050</v>
      </c>
      <c r="N369" s="129">
        <v>46232</v>
      </c>
      <c r="O369" s="130">
        <v>0.57291666666666663</v>
      </c>
      <c r="P369" s="130">
        <v>0.56642361111111106</v>
      </c>
      <c r="Q369" s="56" t="s">
        <v>1050</v>
      </c>
      <c r="R369" s="56" t="s">
        <v>87</v>
      </c>
      <c r="S369" s="56">
        <v>31</v>
      </c>
      <c r="T369" s="131">
        <v>3.4722222222222099E-3</v>
      </c>
      <c r="U369" s="130">
        <v>-6.4930555555555713E-3</v>
      </c>
      <c r="V369" s="56" t="s">
        <v>1051</v>
      </c>
      <c r="W369" s="56" t="s">
        <v>1052</v>
      </c>
      <c r="X369" s="56" t="s">
        <v>1053</v>
      </c>
      <c r="Y369" s="56">
        <v>31</v>
      </c>
      <c r="Z369" s="56" t="s">
        <v>1054</v>
      </c>
      <c r="AA369" s="56" t="s">
        <v>2187</v>
      </c>
      <c r="AB369" s="56" t="s">
        <v>1342</v>
      </c>
      <c r="AC369" s="56" t="s">
        <v>1069</v>
      </c>
      <c r="AD369" s="56" t="s">
        <v>2188</v>
      </c>
      <c r="AE369" s="56" t="s">
        <v>2189</v>
      </c>
      <c r="AF369" s="56" t="s">
        <v>1237</v>
      </c>
      <c r="AG369" s="56" t="s">
        <v>2446</v>
      </c>
      <c r="AH369" s="56"/>
      <c r="AI369" s="56"/>
      <c r="AJ369" s="56"/>
      <c r="AK369" s="56"/>
      <c r="AL369" s="56"/>
      <c r="AM369" s="56"/>
      <c r="AN369" s="56"/>
      <c r="AO369" s="56"/>
      <c r="AP369" s="56"/>
      <c r="AQ369" s="131"/>
      <c r="AR369" s="130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</row>
    <row r="370" spans="1:56" x14ac:dyDescent="0.2">
      <c r="A370" s="56">
        <v>14103183</v>
      </c>
      <c r="B370" s="56">
        <v>175290088</v>
      </c>
      <c r="C370" s="56" t="s">
        <v>2048</v>
      </c>
      <c r="D370" s="56" t="s">
        <v>1339</v>
      </c>
      <c r="E370" s="56" t="s">
        <v>1047</v>
      </c>
      <c r="F370" s="56">
        <v>1</v>
      </c>
      <c r="G370" s="56">
        <v>15313</v>
      </c>
      <c r="H370" s="56" t="s">
        <v>1048</v>
      </c>
      <c r="I370" s="56" t="s">
        <v>1340</v>
      </c>
      <c r="J370" s="129">
        <v>46232</v>
      </c>
      <c r="K370" s="130">
        <v>0.55208333333333337</v>
      </c>
      <c r="L370" s="130">
        <v>0.55555555555555558</v>
      </c>
      <c r="M370" s="56" t="s">
        <v>1050</v>
      </c>
      <c r="N370" s="129">
        <v>46232</v>
      </c>
      <c r="O370" s="130">
        <v>0.57291666666666663</v>
      </c>
      <c r="P370" s="130">
        <v>0.57033564814814819</v>
      </c>
      <c r="Q370" s="56" t="s">
        <v>1050</v>
      </c>
      <c r="R370" s="56" t="s">
        <v>35</v>
      </c>
      <c r="S370" s="56">
        <v>31</v>
      </c>
      <c r="T370" s="131">
        <v>3.4722222222222099E-3</v>
      </c>
      <c r="U370" s="130">
        <v>-2.5810185185184409E-3</v>
      </c>
      <c r="V370" s="56" t="s">
        <v>1051</v>
      </c>
      <c r="W370" s="56" t="s">
        <v>1052</v>
      </c>
      <c r="X370" s="56" t="s">
        <v>1053</v>
      </c>
      <c r="Y370" s="56">
        <v>31</v>
      </c>
      <c r="Z370" s="56" t="s">
        <v>1054</v>
      </c>
      <c r="AA370" s="56" t="s">
        <v>1341</v>
      </c>
      <c r="AB370" s="56" t="s">
        <v>1342</v>
      </c>
      <c r="AC370" s="56" t="s">
        <v>1069</v>
      </c>
      <c r="AD370" s="56" t="s">
        <v>1343</v>
      </c>
      <c r="AE370" s="56" t="s">
        <v>1344</v>
      </c>
      <c r="AF370" s="56" t="s">
        <v>1237</v>
      </c>
      <c r="AG370" s="56" t="s">
        <v>2049</v>
      </c>
      <c r="AH370" s="56"/>
      <c r="AI370" s="56"/>
      <c r="AJ370" s="56"/>
      <c r="AK370" s="56"/>
      <c r="AL370" s="56"/>
      <c r="AM370" s="56"/>
      <c r="AN370" s="56"/>
      <c r="AO370" s="56"/>
      <c r="AP370" s="56"/>
      <c r="AQ370" s="131"/>
      <c r="AR370" s="130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</row>
    <row r="371" spans="1:56" x14ac:dyDescent="0.2">
      <c r="A371" s="56">
        <v>14122618</v>
      </c>
      <c r="B371" s="56">
        <v>175299086</v>
      </c>
      <c r="C371" s="56" t="s">
        <v>1708</v>
      </c>
      <c r="D371" s="56" t="s">
        <v>1709</v>
      </c>
      <c r="E371" s="56" t="s">
        <v>1047</v>
      </c>
      <c r="F371" s="56">
        <v>25</v>
      </c>
      <c r="G371" s="56">
        <v>15320</v>
      </c>
      <c r="H371" s="56" t="s">
        <v>1048</v>
      </c>
      <c r="I371" s="56" t="s">
        <v>1172</v>
      </c>
      <c r="J371" s="129">
        <v>46232</v>
      </c>
      <c r="K371" s="130">
        <v>0.55208333333333337</v>
      </c>
      <c r="L371" s="130">
        <v>0.56111111111111112</v>
      </c>
      <c r="M371" s="56" t="s">
        <v>1050</v>
      </c>
      <c r="N371" s="129">
        <v>46232</v>
      </c>
      <c r="O371" s="130">
        <v>0.61458333333333337</v>
      </c>
      <c r="P371" s="130">
        <v>0.61130787037037038</v>
      </c>
      <c r="Q371" s="56" t="s">
        <v>1050</v>
      </c>
      <c r="R371" s="56" t="s">
        <v>430</v>
      </c>
      <c r="S371" s="56">
        <v>31</v>
      </c>
      <c r="T371" s="131">
        <v>9.0277777777777457E-3</v>
      </c>
      <c r="U371" s="130">
        <v>-3.2754629629629939E-3</v>
      </c>
      <c r="V371" s="56" t="s">
        <v>1051</v>
      </c>
      <c r="W371" s="56" t="s">
        <v>1052</v>
      </c>
      <c r="X371" s="56" t="s">
        <v>1053</v>
      </c>
      <c r="Y371" s="56">
        <v>31</v>
      </c>
      <c r="Z371" s="56" t="s">
        <v>1054</v>
      </c>
      <c r="AA371" s="56" t="s">
        <v>1710</v>
      </c>
      <c r="AB371" s="56" t="s">
        <v>1174</v>
      </c>
      <c r="AC371" s="56" t="s">
        <v>1057</v>
      </c>
      <c r="AD371" s="56" t="s">
        <v>1711</v>
      </c>
      <c r="AE371" s="56" t="s">
        <v>1712</v>
      </c>
      <c r="AF371" s="56" t="s">
        <v>1237</v>
      </c>
      <c r="AG371" s="56" t="s">
        <v>1713</v>
      </c>
      <c r="AH371" s="56"/>
      <c r="AI371" s="56"/>
      <c r="AJ371" s="56"/>
      <c r="AK371" s="56"/>
      <c r="AL371" s="56"/>
      <c r="AM371" s="56"/>
      <c r="AN371" s="56"/>
      <c r="AO371" s="56"/>
      <c r="AP371" s="56"/>
      <c r="AQ371" s="131"/>
      <c r="AR371" s="130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</row>
    <row r="372" spans="1:56" x14ac:dyDescent="0.2">
      <c r="A372" s="56">
        <v>14112292</v>
      </c>
      <c r="B372" s="56">
        <v>175299349</v>
      </c>
      <c r="C372" s="56" t="s">
        <v>2447</v>
      </c>
      <c r="D372" s="56" t="s">
        <v>2448</v>
      </c>
      <c r="E372" s="56" t="s">
        <v>1047</v>
      </c>
      <c r="F372" s="56">
        <v>30</v>
      </c>
      <c r="G372" s="56">
        <v>15317</v>
      </c>
      <c r="H372" s="56" t="s">
        <v>1048</v>
      </c>
      <c r="I372" s="56" t="s">
        <v>1172</v>
      </c>
      <c r="J372" s="129">
        <v>46232</v>
      </c>
      <c r="K372" s="130">
        <v>0.55277777777777781</v>
      </c>
      <c r="L372" s="130">
        <v>0.55833333333333335</v>
      </c>
      <c r="M372" s="56" t="s">
        <v>1050</v>
      </c>
      <c r="N372" s="129">
        <v>46232</v>
      </c>
      <c r="O372" s="130">
        <v>0.61458333333333337</v>
      </c>
      <c r="P372" s="130">
        <v>0.59508101851851847</v>
      </c>
      <c r="Q372" s="56" t="s">
        <v>1050</v>
      </c>
      <c r="R372" s="56" t="s">
        <v>190</v>
      </c>
      <c r="S372" s="56">
        <v>31</v>
      </c>
      <c r="T372" s="131">
        <v>5.5555555555555358E-3</v>
      </c>
      <c r="U372" s="130">
        <v>-1.9502314814814903E-2</v>
      </c>
      <c r="V372" s="56" t="s">
        <v>1051</v>
      </c>
      <c r="W372" s="56" t="s">
        <v>1052</v>
      </c>
      <c r="X372" s="56" t="s">
        <v>1053</v>
      </c>
      <c r="Y372" s="56">
        <v>31</v>
      </c>
      <c r="Z372" s="56" t="s">
        <v>1054</v>
      </c>
      <c r="AA372" s="56" t="s">
        <v>2449</v>
      </c>
      <c r="AB372" s="56" t="s">
        <v>1174</v>
      </c>
      <c r="AC372" s="56" t="s">
        <v>1057</v>
      </c>
      <c r="AD372" s="56" t="s">
        <v>2450</v>
      </c>
      <c r="AE372" s="56" t="s">
        <v>2451</v>
      </c>
      <c r="AF372" s="56" t="s">
        <v>1237</v>
      </c>
      <c r="AG372" s="56" t="s">
        <v>2452</v>
      </c>
      <c r="AH372" s="56"/>
      <c r="AI372" s="56"/>
      <c r="AJ372" s="56"/>
      <c r="AK372" s="56"/>
      <c r="AL372" s="56"/>
      <c r="AM372" s="56"/>
      <c r="AN372" s="56"/>
      <c r="AO372" s="56"/>
      <c r="AP372" s="56"/>
      <c r="AQ372" s="131"/>
      <c r="AR372" s="130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</row>
    <row r="373" spans="1:56" x14ac:dyDescent="0.2">
      <c r="A373" s="56">
        <v>14122855</v>
      </c>
      <c r="B373" s="56">
        <v>175294495</v>
      </c>
      <c r="C373" s="56" t="s">
        <v>1722</v>
      </c>
      <c r="D373" s="56" t="s">
        <v>1089</v>
      </c>
      <c r="E373" s="56" t="s">
        <v>1047</v>
      </c>
      <c r="F373" s="56">
        <v>99</v>
      </c>
      <c r="G373" s="56">
        <v>6251</v>
      </c>
      <c r="H373" s="56" t="s">
        <v>1048</v>
      </c>
      <c r="I373" s="56" t="s">
        <v>1104</v>
      </c>
      <c r="J373" s="129">
        <v>46232</v>
      </c>
      <c r="K373" s="130">
        <v>0.55902777777777779</v>
      </c>
      <c r="L373" s="130">
        <v>0.5625</v>
      </c>
      <c r="M373" s="56" t="s">
        <v>1050</v>
      </c>
      <c r="N373" s="129">
        <v>46232</v>
      </c>
      <c r="O373" s="130">
        <v>0.60069444444444442</v>
      </c>
      <c r="P373" s="130">
        <v>0.59688657407407408</v>
      </c>
      <c r="Q373" s="56" t="s">
        <v>1050</v>
      </c>
      <c r="R373" s="56" t="s">
        <v>451</v>
      </c>
      <c r="S373" s="56">
        <v>31</v>
      </c>
      <c r="T373" s="131">
        <v>3.4722222222222099E-3</v>
      </c>
      <c r="U373" s="130">
        <v>-3.8078703703703365E-3</v>
      </c>
      <c r="V373" s="56" t="s">
        <v>1051</v>
      </c>
      <c r="W373" s="56" t="s">
        <v>1052</v>
      </c>
      <c r="X373" s="56" t="s">
        <v>1053</v>
      </c>
      <c r="Y373" s="56">
        <v>31</v>
      </c>
      <c r="Z373" s="56" t="s">
        <v>1054</v>
      </c>
      <c r="AA373" s="56" t="s">
        <v>1723</v>
      </c>
      <c r="AB373" s="56" t="s">
        <v>1106</v>
      </c>
      <c r="AC373" s="56" t="s">
        <v>1078</v>
      </c>
      <c r="AD373" s="56" t="s">
        <v>1724</v>
      </c>
      <c r="AE373" s="56" t="s">
        <v>1725</v>
      </c>
      <c r="AF373" s="56" t="s">
        <v>1237</v>
      </c>
      <c r="AG373" s="56" t="s">
        <v>1726</v>
      </c>
      <c r="AH373" s="56"/>
      <c r="AI373" s="56"/>
      <c r="AJ373" s="56"/>
      <c r="AK373" s="56"/>
      <c r="AL373" s="56"/>
      <c r="AM373" s="56"/>
      <c r="AN373" s="56"/>
      <c r="AO373" s="56"/>
      <c r="AP373" s="56"/>
      <c r="AQ373" s="131"/>
      <c r="AR373" s="130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</row>
    <row r="374" spans="1:56" x14ac:dyDescent="0.2">
      <c r="A374" s="56">
        <v>14118956</v>
      </c>
      <c r="B374" s="56">
        <v>175306219</v>
      </c>
      <c r="C374" s="56" t="s">
        <v>1733</v>
      </c>
      <c r="D374" s="56" t="s">
        <v>1734</v>
      </c>
      <c r="E374" s="56" t="s">
        <v>1047</v>
      </c>
      <c r="F374" s="56">
        <v>114</v>
      </c>
      <c r="G374" s="56">
        <v>13289</v>
      </c>
      <c r="H374" s="56" t="s">
        <v>1048</v>
      </c>
      <c r="I374" s="56" t="s">
        <v>1172</v>
      </c>
      <c r="J374" s="129">
        <v>46232</v>
      </c>
      <c r="K374" s="130">
        <v>0.56805555555555554</v>
      </c>
      <c r="L374" s="130">
        <v>0.57291666666666663</v>
      </c>
      <c r="M374" s="56" t="s">
        <v>1050</v>
      </c>
      <c r="N374" s="129">
        <v>46232</v>
      </c>
      <c r="O374" s="130">
        <v>0.61458333333333337</v>
      </c>
      <c r="P374" s="130">
        <v>0.59969907407407408</v>
      </c>
      <c r="Q374" s="56" t="s">
        <v>1050</v>
      </c>
      <c r="R374" s="56" t="s">
        <v>222</v>
      </c>
      <c r="S374" s="56">
        <v>31</v>
      </c>
      <c r="T374" s="131">
        <v>4.8611111111110938E-3</v>
      </c>
      <c r="U374" s="130">
        <v>-1.4884259259259291E-2</v>
      </c>
      <c r="V374" s="56" t="s">
        <v>1051</v>
      </c>
      <c r="W374" s="56" t="s">
        <v>1052</v>
      </c>
      <c r="X374" s="56" t="s">
        <v>1053</v>
      </c>
      <c r="Y374" s="56">
        <v>31</v>
      </c>
      <c r="Z374" s="56" t="s">
        <v>1054</v>
      </c>
      <c r="AA374" s="56" t="s">
        <v>1735</v>
      </c>
      <c r="AB374" s="56" t="s">
        <v>1174</v>
      </c>
      <c r="AC374" s="56" t="s">
        <v>1057</v>
      </c>
      <c r="AD374" s="56" t="s">
        <v>1736</v>
      </c>
      <c r="AE374" s="56" t="s">
        <v>1737</v>
      </c>
      <c r="AF374" s="56" t="s">
        <v>1237</v>
      </c>
      <c r="AG374" s="56" t="s">
        <v>1738</v>
      </c>
      <c r="AH374" s="56"/>
      <c r="AI374" s="56"/>
      <c r="AJ374" s="56"/>
      <c r="AK374" s="56"/>
      <c r="AL374" s="56"/>
      <c r="AM374" s="56"/>
      <c r="AN374" s="56"/>
      <c r="AO374" s="56"/>
      <c r="AP374" s="56"/>
      <c r="AQ374" s="131"/>
      <c r="AR374" s="130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</row>
    <row r="375" spans="1:56" x14ac:dyDescent="0.2">
      <c r="A375" s="56">
        <v>14118773</v>
      </c>
      <c r="B375" s="56">
        <v>175298093</v>
      </c>
      <c r="C375" s="56" t="s">
        <v>2453</v>
      </c>
      <c r="D375" s="56" t="s">
        <v>1577</v>
      </c>
      <c r="E375" s="56" t="s">
        <v>1047</v>
      </c>
      <c r="F375" s="56">
        <v>16</v>
      </c>
      <c r="G375" s="56">
        <v>14867</v>
      </c>
      <c r="H375" s="56" t="s">
        <v>1048</v>
      </c>
      <c r="I375" s="56" t="s">
        <v>1064</v>
      </c>
      <c r="J375" s="129">
        <v>46232</v>
      </c>
      <c r="K375" s="130">
        <v>0.57638888888888884</v>
      </c>
      <c r="L375" s="130">
        <v>0.59166666666666667</v>
      </c>
      <c r="M375" s="56" t="s">
        <v>1050</v>
      </c>
      <c r="N375" s="129">
        <v>46232</v>
      </c>
      <c r="O375" s="130">
        <v>0.60416666666666663</v>
      </c>
      <c r="P375" s="130">
        <v>0.61335648148148147</v>
      </c>
      <c r="Q375" s="56" t="s">
        <v>1050</v>
      </c>
      <c r="R375" s="56" t="s">
        <v>210</v>
      </c>
      <c r="S375" s="56">
        <v>31</v>
      </c>
      <c r="T375" s="131">
        <v>1.5277777777777835E-2</v>
      </c>
      <c r="U375" s="130">
        <v>9.1898148148148451E-3</v>
      </c>
      <c r="V375" s="56" t="s">
        <v>1051</v>
      </c>
      <c r="W375" s="56" t="s">
        <v>1065</v>
      </c>
      <c r="X375" s="56" t="s">
        <v>1066</v>
      </c>
      <c r="Y375" s="56">
        <v>31</v>
      </c>
      <c r="Z375" s="56" t="s">
        <v>1054</v>
      </c>
      <c r="AA375" s="56" t="s">
        <v>1578</v>
      </c>
      <c r="AB375" s="56" t="s">
        <v>1068</v>
      </c>
      <c r="AC375" s="56" t="s">
        <v>1069</v>
      </c>
      <c r="AD375" s="56" t="s">
        <v>1579</v>
      </c>
      <c r="AE375" s="56" t="s">
        <v>1580</v>
      </c>
      <c r="AF375" s="56" t="s">
        <v>1237</v>
      </c>
      <c r="AG375" s="56" t="s">
        <v>2454</v>
      </c>
      <c r="AH375" s="56"/>
      <c r="AI375" s="56"/>
      <c r="AJ375" s="56"/>
      <c r="AK375" s="56"/>
      <c r="AL375" s="56"/>
      <c r="AM375" s="56"/>
      <c r="AN375" s="56"/>
      <c r="AO375" s="56"/>
      <c r="AP375" s="56"/>
      <c r="AQ375" s="131"/>
      <c r="AR375" s="130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</row>
    <row r="376" spans="1:56" x14ac:dyDescent="0.2">
      <c r="A376" s="56">
        <v>14123375</v>
      </c>
      <c r="B376" s="56">
        <v>175295507</v>
      </c>
      <c r="C376" s="56" t="s">
        <v>2455</v>
      </c>
      <c r="D376" s="56" t="s">
        <v>2456</v>
      </c>
      <c r="E376" s="56" t="s">
        <v>1047</v>
      </c>
      <c r="F376" s="56">
        <v>11</v>
      </c>
      <c r="G376" s="56">
        <v>6474</v>
      </c>
      <c r="H376" s="56" t="s">
        <v>1048</v>
      </c>
      <c r="I376" s="56" t="s">
        <v>1503</v>
      </c>
      <c r="J376" s="129">
        <v>46232</v>
      </c>
      <c r="K376" s="130">
        <v>0.61805555555555558</v>
      </c>
      <c r="L376" s="130">
        <v>0.62152777777777779</v>
      </c>
      <c r="M376" s="56" t="s">
        <v>1050</v>
      </c>
      <c r="N376" s="129">
        <v>46232</v>
      </c>
      <c r="O376" s="130">
        <v>0.65972222222222221</v>
      </c>
      <c r="P376" s="130">
        <v>0.65069444444444446</v>
      </c>
      <c r="Q376" s="56" t="s">
        <v>1050</v>
      </c>
      <c r="R376" s="56" t="s">
        <v>504</v>
      </c>
      <c r="S376" s="56">
        <v>31</v>
      </c>
      <c r="T376" s="131">
        <v>3.4722222222222099E-3</v>
      </c>
      <c r="U376" s="130">
        <v>-9.0277777777777457E-3</v>
      </c>
      <c r="V376" s="56" t="s">
        <v>1051</v>
      </c>
      <c r="W376" s="56" t="s">
        <v>1052</v>
      </c>
      <c r="X376" s="56" t="s">
        <v>1053</v>
      </c>
      <c r="Y376" s="56">
        <v>31</v>
      </c>
      <c r="Z376" s="56" t="s">
        <v>1054</v>
      </c>
      <c r="AA376" s="56" t="s">
        <v>2457</v>
      </c>
      <c r="AB376" s="56" t="s">
        <v>1361</v>
      </c>
      <c r="AC376" s="56" t="s">
        <v>1069</v>
      </c>
      <c r="AD376" s="56" t="s">
        <v>2458</v>
      </c>
      <c r="AE376" s="56" t="s">
        <v>2459</v>
      </c>
      <c r="AF376" s="56" t="s">
        <v>1237</v>
      </c>
      <c r="AG376" s="56" t="s">
        <v>2460</v>
      </c>
      <c r="AH376" s="56"/>
      <c r="AI376" s="56"/>
      <c r="AJ376" s="56"/>
      <c r="AK376" s="56"/>
      <c r="AL376" s="56"/>
      <c r="AM376" s="56"/>
      <c r="AN376" s="56"/>
      <c r="AO376" s="56"/>
      <c r="AP376" s="56"/>
      <c r="AQ376" s="131"/>
      <c r="AR376" s="130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</row>
    <row r="377" spans="1:56" x14ac:dyDescent="0.2">
      <c r="A377" s="56">
        <v>14119517</v>
      </c>
      <c r="B377" s="56">
        <v>175310548</v>
      </c>
      <c r="C377" s="56" t="s">
        <v>2071</v>
      </c>
      <c r="D377" s="56" t="s">
        <v>1563</v>
      </c>
      <c r="E377" s="56" t="s">
        <v>1047</v>
      </c>
      <c r="F377" s="56">
        <v>267</v>
      </c>
      <c r="G377" s="56">
        <v>6780</v>
      </c>
      <c r="H377" s="56" t="s">
        <v>1048</v>
      </c>
      <c r="I377" s="56" t="s">
        <v>1172</v>
      </c>
      <c r="J377" s="129">
        <v>46232</v>
      </c>
      <c r="K377" s="130">
        <v>0.63888888888888884</v>
      </c>
      <c r="L377" s="130">
        <v>0.6430555555555556</v>
      </c>
      <c r="M377" s="56" t="s">
        <v>1050</v>
      </c>
      <c r="N377" s="129">
        <v>46232</v>
      </c>
      <c r="O377" s="130">
        <v>0.64583333333333337</v>
      </c>
      <c r="P377" s="130">
        <v>0.64652777777777781</v>
      </c>
      <c r="Q377" s="56" t="s">
        <v>1359</v>
      </c>
      <c r="R377" s="56" t="s">
        <v>251</v>
      </c>
      <c r="S377" s="56">
        <v>31</v>
      </c>
      <c r="T377" s="131">
        <v>4.1666666666667629E-3</v>
      </c>
      <c r="U377" s="130">
        <v>6.9444444444444198E-4</v>
      </c>
      <c r="V377" s="56" t="s">
        <v>1051</v>
      </c>
      <c r="W377" s="56" t="s">
        <v>1052</v>
      </c>
      <c r="X377" s="56" t="s">
        <v>1053</v>
      </c>
      <c r="Y377" s="56">
        <v>31</v>
      </c>
      <c r="Z377" s="56" t="s">
        <v>1054</v>
      </c>
      <c r="AA377" s="56" t="s">
        <v>1564</v>
      </c>
      <c r="AB377" s="56" t="s">
        <v>1565</v>
      </c>
      <c r="AC377" s="56" t="s">
        <v>1057</v>
      </c>
      <c r="AD377" s="56" t="s">
        <v>1566</v>
      </c>
      <c r="AE377" s="56" t="e">
        <v>#N/A</v>
      </c>
      <c r="AF377" s="56" t="s">
        <v>1237</v>
      </c>
      <c r="AG377" s="56" t="s">
        <v>2072</v>
      </c>
      <c r="AH377" s="56"/>
      <c r="AI377" s="56"/>
      <c r="AJ377" s="56"/>
      <c r="AK377" s="56"/>
      <c r="AL377" s="56"/>
      <c r="AM377" s="56"/>
      <c r="AN377" s="56"/>
      <c r="AO377" s="56"/>
      <c r="AP377" s="56"/>
      <c r="AQ377" s="131"/>
      <c r="AR377" s="130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</row>
    <row r="378" spans="1:56" x14ac:dyDescent="0.2">
      <c r="A378" s="56">
        <v>14118640</v>
      </c>
      <c r="B378" s="56">
        <v>175301585</v>
      </c>
      <c r="C378" s="56" t="s">
        <v>2079</v>
      </c>
      <c r="D378" s="56" t="s">
        <v>1379</v>
      </c>
      <c r="E378" s="56" t="s">
        <v>1047</v>
      </c>
      <c r="F378" s="56">
        <v>38</v>
      </c>
      <c r="G378" s="56">
        <v>15865</v>
      </c>
      <c r="H378" s="56" t="s">
        <v>1048</v>
      </c>
      <c r="I378" s="56" t="s">
        <v>1049</v>
      </c>
      <c r="J378" s="129">
        <v>46232</v>
      </c>
      <c r="K378" s="130">
        <v>0.68055555555555558</v>
      </c>
      <c r="L378" s="130">
        <v>0.68888888888888888</v>
      </c>
      <c r="M378" s="56" t="s">
        <v>1050</v>
      </c>
      <c r="N378" s="129">
        <v>46232</v>
      </c>
      <c r="O378" s="130">
        <v>0.76041666666666663</v>
      </c>
      <c r="P378" s="130">
        <v>0.76277777777777778</v>
      </c>
      <c r="Q378" s="56" t="s">
        <v>1050</v>
      </c>
      <c r="R378" s="56" t="s">
        <v>205</v>
      </c>
      <c r="S378" s="56">
        <v>31</v>
      </c>
      <c r="T378" s="131">
        <v>8.3333333333333037E-3</v>
      </c>
      <c r="U378" s="130">
        <v>2.3611111111111471E-3</v>
      </c>
      <c r="V378" s="56" t="s">
        <v>1051</v>
      </c>
      <c r="W378" s="56" t="s">
        <v>1052</v>
      </c>
      <c r="X378" s="56" t="s">
        <v>1053</v>
      </c>
      <c r="Y378" s="56">
        <v>31</v>
      </c>
      <c r="Z378" s="56" t="s">
        <v>1054</v>
      </c>
      <c r="AA378" s="56" t="s">
        <v>1380</v>
      </c>
      <c r="AB378" s="56" t="s">
        <v>1056</v>
      </c>
      <c r="AC378" s="56" t="s">
        <v>1057</v>
      </c>
      <c r="AD378" s="56" t="s">
        <v>1381</v>
      </c>
      <c r="AE378" s="56" t="s">
        <v>1382</v>
      </c>
      <c r="AF378" s="56" t="s">
        <v>1237</v>
      </c>
      <c r="AG378" s="56" t="s">
        <v>2080</v>
      </c>
      <c r="AH378" s="56"/>
      <c r="AI378" s="56"/>
      <c r="AJ378" s="56"/>
      <c r="AK378" s="56"/>
      <c r="AL378" s="56"/>
      <c r="AM378" s="56"/>
      <c r="AN378" s="56"/>
      <c r="AO378" s="56"/>
      <c r="AP378" s="56"/>
      <c r="AQ378" s="131"/>
      <c r="AR378" s="130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</row>
    <row r="379" spans="1:56" x14ac:dyDescent="0.2">
      <c r="A379" s="56">
        <v>14123473</v>
      </c>
      <c r="B379" s="56">
        <v>175306042</v>
      </c>
      <c r="C379" s="56" t="s">
        <v>1305</v>
      </c>
      <c r="D379" s="56" t="s">
        <v>1111</v>
      </c>
      <c r="E379" s="56" t="s">
        <v>1047</v>
      </c>
      <c r="F379" s="56">
        <v>19</v>
      </c>
      <c r="G379" s="56">
        <v>6906</v>
      </c>
      <c r="H379" s="56" t="s">
        <v>1048</v>
      </c>
      <c r="I379" s="56" t="s">
        <v>1090</v>
      </c>
      <c r="J379" s="129">
        <v>46232</v>
      </c>
      <c r="K379" s="130">
        <v>0.68402777777777779</v>
      </c>
      <c r="L379" s="130">
        <v>0.68819444444444444</v>
      </c>
      <c r="M379" s="56" t="s">
        <v>1050</v>
      </c>
      <c r="N379" s="129">
        <v>46232</v>
      </c>
      <c r="O379" s="130">
        <v>0.76736111111111116</v>
      </c>
      <c r="P379" s="130">
        <v>0.73912037037037037</v>
      </c>
      <c r="Q379" s="56" t="s">
        <v>1050</v>
      </c>
      <c r="R379" s="56" t="s">
        <v>514</v>
      </c>
      <c r="S379" s="56">
        <v>31</v>
      </c>
      <c r="T379" s="131">
        <v>4.1666666666666519E-3</v>
      </c>
      <c r="U379" s="130">
        <v>-2.8240740740740788E-2</v>
      </c>
      <c r="V379" s="56" t="s">
        <v>1051</v>
      </c>
      <c r="W379" s="56" t="s">
        <v>1052</v>
      </c>
      <c r="X379" s="56" t="s">
        <v>1053</v>
      </c>
      <c r="Y379" s="56">
        <v>31</v>
      </c>
      <c r="Z379" s="56" t="s">
        <v>1054</v>
      </c>
      <c r="AA379" s="56" t="s">
        <v>1112</v>
      </c>
      <c r="AB379" s="56" t="s">
        <v>1092</v>
      </c>
      <c r="AC379" s="56" t="s">
        <v>1078</v>
      </c>
      <c r="AD379" s="56" t="s">
        <v>1113</v>
      </c>
      <c r="AE379" s="56" t="s">
        <v>1114</v>
      </c>
      <c r="AF379" s="56" t="s">
        <v>1237</v>
      </c>
      <c r="AG379" s="56" t="s">
        <v>1306</v>
      </c>
      <c r="AH379" s="56"/>
      <c r="AI379" s="56"/>
      <c r="AJ379" s="56"/>
      <c r="AK379" s="56"/>
      <c r="AL379" s="56"/>
      <c r="AM379" s="56"/>
      <c r="AN379" s="56"/>
      <c r="AO379" s="56"/>
      <c r="AP379" s="56"/>
      <c r="AQ379" s="131"/>
      <c r="AR379" s="130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</row>
    <row r="380" spans="1:56" x14ac:dyDescent="0.2">
      <c r="A380" s="56">
        <v>14123460</v>
      </c>
      <c r="B380" s="56">
        <v>175306158</v>
      </c>
      <c r="C380" s="56" t="s">
        <v>2461</v>
      </c>
      <c r="D380" s="56" t="s">
        <v>2171</v>
      </c>
      <c r="E380" s="56" t="s">
        <v>1047</v>
      </c>
      <c r="F380" s="56">
        <v>77</v>
      </c>
      <c r="G380" s="56">
        <v>4446</v>
      </c>
      <c r="H380" s="56" t="s">
        <v>1048</v>
      </c>
      <c r="I380" s="56" t="s">
        <v>1090</v>
      </c>
      <c r="J380" s="129">
        <v>46232</v>
      </c>
      <c r="K380" s="130">
        <v>0.70138888888888884</v>
      </c>
      <c r="L380" s="130">
        <v>0.7055555555555556</v>
      </c>
      <c r="M380" s="56" t="s">
        <v>1050</v>
      </c>
      <c r="N380" s="129">
        <v>46232</v>
      </c>
      <c r="O380" s="130">
        <v>0.76736111111111116</v>
      </c>
      <c r="P380" s="130">
        <v>0.75878472222222226</v>
      </c>
      <c r="Q380" s="56" t="s">
        <v>1050</v>
      </c>
      <c r="R380" s="56" t="s">
        <v>510</v>
      </c>
      <c r="S380" s="56">
        <v>31</v>
      </c>
      <c r="T380" s="131">
        <v>4.1666666666667629E-3</v>
      </c>
      <c r="U380" s="130">
        <v>-8.5763888888888973E-3</v>
      </c>
      <c r="V380" s="56" t="s">
        <v>1051</v>
      </c>
      <c r="W380" s="56" t="s">
        <v>1052</v>
      </c>
      <c r="X380" s="56" t="s">
        <v>1053</v>
      </c>
      <c r="Y380" s="56">
        <v>31</v>
      </c>
      <c r="Z380" s="56" t="s">
        <v>1054</v>
      </c>
      <c r="AA380" s="56" t="s">
        <v>2172</v>
      </c>
      <c r="AB380" s="56" t="s">
        <v>1092</v>
      </c>
      <c r="AC380" s="56" t="s">
        <v>1078</v>
      </c>
      <c r="AD380" s="56" t="s">
        <v>2173</v>
      </c>
      <c r="AE380" s="56" t="s">
        <v>2174</v>
      </c>
      <c r="AF380" s="56" t="s">
        <v>1237</v>
      </c>
      <c r="AG380" s="56" t="s">
        <v>2462</v>
      </c>
      <c r="AH380" s="56"/>
      <c r="AI380" s="56"/>
      <c r="AJ380" s="56"/>
      <c r="AK380" s="56"/>
      <c r="AL380" s="56"/>
      <c r="AM380" s="56"/>
      <c r="AN380" s="56"/>
      <c r="AO380" s="56"/>
      <c r="AP380" s="56"/>
      <c r="AQ380" s="131"/>
      <c r="AR380" s="130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</row>
    <row r="381" spans="1:56" x14ac:dyDescent="0.2">
      <c r="A381" s="56">
        <v>14116262</v>
      </c>
      <c r="B381" s="56">
        <v>175300310</v>
      </c>
      <c r="C381" s="56" t="s">
        <v>2295</v>
      </c>
      <c r="D381" s="56" t="s">
        <v>2296</v>
      </c>
      <c r="E381" s="56" t="s">
        <v>1047</v>
      </c>
      <c r="F381" s="56">
        <v>18</v>
      </c>
      <c r="G381" s="56">
        <v>11943</v>
      </c>
      <c r="H381" s="56" t="s">
        <v>1048</v>
      </c>
      <c r="I381" s="56" t="s">
        <v>1049</v>
      </c>
      <c r="J381" s="129">
        <v>46232</v>
      </c>
      <c r="K381" s="130">
        <v>0.70486111111111116</v>
      </c>
      <c r="L381" s="130">
        <v>0.72638888888888886</v>
      </c>
      <c r="M381" s="56" t="s">
        <v>1050</v>
      </c>
      <c r="N381" s="129">
        <v>46232</v>
      </c>
      <c r="O381" s="130">
        <v>0.76041666666666663</v>
      </c>
      <c r="P381" s="130">
        <v>0.74895833333333328</v>
      </c>
      <c r="Q381" s="56" t="s">
        <v>1050</v>
      </c>
      <c r="R381" s="56" t="s">
        <v>157</v>
      </c>
      <c r="S381" s="56">
        <v>31</v>
      </c>
      <c r="T381" s="131">
        <v>2.1527777777777701E-2</v>
      </c>
      <c r="U381" s="130">
        <v>-1.1458333333333348E-2</v>
      </c>
      <c r="V381" s="56" t="s">
        <v>1051</v>
      </c>
      <c r="W381" s="56" t="s">
        <v>1052</v>
      </c>
      <c r="X381" s="56" t="s">
        <v>1053</v>
      </c>
      <c r="Y381" s="56">
        <v>31</v>
      </c>
      <c r="Z381" s="56" t="s">
        <v>1054</v>
      </c>
      <c r="AA381" s="56" t="s">
        <v>2297</v>
      </c>
      <c r="AB381" s="56" t="s">
        <v>1056</v>
      </c>
      <c r="AC381" s="56" t="s">
        <v>1057</v>
      </c>
      <c r="AD381" s="56" t="s">
        <v>2298</v>
      </c>
      <c r="AE381" s="56" t="s">
        <v>2299</v>
      </c>
      <c r="AF381" s="56" t="s">
        <v>1237</v>
      </c>
      <c r="AG381" s="56" t="s">
        <v>2300</v>
      </c>
      <c r="AH381" s="56"/>
      <c r="AI381" s="56"/>
      <c r="AJ381" s="56"/>
      <c r="AK381" s="56"/>
      <c r="AL381" s="56"/>
      <c r="AM381" s="56"/>
      <c r="AN381" s="56"/>
      <c r="AO381" s="56"/>
      <c r="AP381" s="56"/>
      <c r="AQ381" s="131"/>
      <c r="AR381" s="130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</row>
    <row r="382" spans="1:56" x14ac:dyDescent="0.2">
      <c r="A382" s="56">
        <v>14107217</v>
      </c>
      <c r="B382" s="56">
        <v>175306162</v>
      </c>
      <c r="C382" s="56" t="s">
        <v>1315</v>
      </c>
      <c r="D382" s="56" t="s">
        <v>1316</v>
      </c>
      <c r="E382" s="56" t="s">
        <v>1047</v>
      </c>
      <c r="F382" s="56">
        <v>79</v>
      </c>
      <c r="G382" s="56">
        <v>6885</v>
      </c>
      <c r="H382" s="56" t="s">
        <v>1048</v>
      </c>
      <c r="I382" s="56" t="s">
        <v>1090</v>
      </c>
      <c r="J382" s="129">
        <v>46232</v>
      </c>
      <c r="K382" s="130">
        <v>0.70833333333333337</v>
      </c>
      <c r="L382" s="130">
        <v>0.72013888888888888</v>
      </c>
      <c r="M382" s="56" t="s">
        <v>1050</v>
      </c>
      <c r="N382" s="129">
        <v>46232</v>
      </c>
      <c r="O382" s="130">
        <v>0.76736111111111116</v>
      </c>
      <c r="P382" s="130">
        <v>0.75291666666666668</v>
      </c>
      <c r="Q382" s="56" t="s">
        <v>1050</v>
      </c>
      <c r="R382" s="56" t="s">
        <v>59</v>
      </c>
      <c r="S382" s="56">
        <v>31</v>
      </c>
      <c r="T382" s="131">
        <v>1.1805555555555514E-2</v>
      </c>
      <c r="U382" s="130">
        <v>-1.4444444444444482E-2</v>
      </c>
      <c r="V382" s="56" t="s">
        <v>1051</v>
      </c>
      <c r="W382" s="56" t="s">
        <v>1052</v>
      </c>
      <c r="X382" s="56" t="s">
        <v>1053</v>
      </c>
      <c r="Y382" s="56">
        <v>31</v>
      </c>
      <c r="Z382" s="56" t="s">
        <v>1054</v>
      </c>
      <c r="AA382" s="56" t="s">
        <v>1317</v>
      </c>
      <c r="AB382" s="56" t="s">
        <v>1092</v>
      </c>
      <c r="AC382" s="56" t="s">
        <v>1078</v>
      </c>
      <c r="AD382" s="56" t="s">
        <v>1318</v>
      </c>
      <c r="AE382" s="56" t="s">
        <v>1319</v>
      </c>
      <c r="AF382" s="56" t="s">
        <v>1237</v>
      </c>
      <c r="AG382" s="56" t="s">
        <v>1320</v>
      </c>
      <c r="AH382" s="56"/>
      <c r="AI382" s="56"/>
      <c r="AJ382" s="56"/>
      <c r="AK382" s="56"/>
      <c r="AL382" s="56"/>
      <c r="AM382" s="56"/>
      <c r="AN382" s="56"/>
      <c r="AO382" s="56"/>
      <c r="AP382" s="56"/>
      <c r="AQ382" s="131"/>
      <c r="AR382" s="130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</row>
    <row r="383" spans="1:56" x14ac:dyDescent="0.2">
      <c r="A383" s="56">
        <v>14123331</v>
      </c>
      <c r="B383" s="56">
        <v>175306689</v>
      </c>
      <c r="C383" s="56" t="s">
        <v>2301</v>
      </c>
      <c r="D383" s="56" t="s">
        <v>2302</v>
      </c>
      <c r="E383" s="56" t="s">
        <v>1047</v>
      </c>
      <c r="F383" s="56">
        <v>87</v>
      </c>
      <c r="G383" s="56">
        <v>5160</v>
      </c>
      <c r="H383" s="56" t="s">
        <v>1048</v>
      </c>
      <c r="I383" s="56" t="s">
        <v>1090</v>
      </c>
      <c r="J383" s="129">
        <v>46232</v>
      </c>
      <c r="K383" s="130">
        <v>0.70833333333333337</v>
      </c>
      <c r="L383" s="130">
        <v>0.71458333333333335</v>
      </c>
      <c r="M383" s="56" t="s">
        <v>1050</v>
      </c>
      <c r="N383" s="129">
        <v>46232</v>
      </c>
      <c r="O383" s="130">
        <v>0.76736111111111116</v>
      </c>
      <c r="P383" s="130">
        <v>0.74960648148148146</v>
      </c>
      <c r="Q383" s="56" t="s">
        <v>1050</v>
      </c>
      <c r="R383" s="56" t="s">
        <v>500</v>
      </c>
      <c r="S383" s="56">
        <v>31</v>
      </c>
      <c r="T383" s="131">
        <v>6.2499999999999778E-3</v>
      </c>
      <c r="U383" s="130">
        <v>-1.7754629629629703E-2</v>
      </c>
      <c r="V383" s="56" t="s">
        <v>1051</v>
      </c>
      <c r="W383" s="56" t="s">
        <v>1052</v>
      </c>
      <c r="X383" s="56" t="s">
        <v>1053</v>
      </c>
      <c r="Y383" s="56">
        <v>31</v>
      </c>
      <c r="Z383" s="56" t="s">
        <v>1054</v>
      </c>
      <c r="AA383" s="56" t="s">
        <v>2304</v>
      </c>
      <c r="AB383" s="56" t="s">
        <v>1092</v>
      </c>
      <c r="AC383" s="56" t="s">
        <v>1078</v>
      </c>
      <c r="AD383" s="56" t="s">
        <v>2305</v>
      </c>
      <c r="AE383" s="56" t="s">
        <v>2306</v>
      </c>
      <c r="AF383" s="56" t="s">
        <v>1237</v>
      </c>
      <c r="AG383" s="56" t="s">
        <v>2307</v>
      </c>
      <c r="AH383" s="56"/>
      <c r="AI383" s="56"/>
      <c r="AJ383" s="56"/>
      <c r="AK383" s="56"/>
      <c r="AL383" s="56"/>
      <c r="AM383" s="56"/>
      <c r="AN383" s="56"/>
      <c r="AO383" s="56"/>
      <c r="AP383" s="56"/>
      <c r="AQ383" s="131"/>
      <c r="AR383" s="130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</row>
    <row r="384" spans="1:56" x14ac:dyDescent="0.2">
      <c r="A384" s="56">
        <v>14123080</v>
      </c>
      <c r="B384" s="56">
        <v>175306737</v>
      </c>
      <c r="C384" s="56" t="s">
        <v>2081</v>
      </c>
      <c r="D384" s="56" t="s">
        <v>1445</v>
      </c>
      <c r="E384" s="56" t="s">
        <v>1047</v>
      </c>
      <c r="F384" s="56">
        <v>89</v>
      </c>
      <c r="G384" s="56">
        <v>4411</v>
      </c>
      <c r="H384" s="56" t="s">
        <v>1048</v>
      </c>
      <c r="I384" s="56" t="s">
        <v>1090</v>
      </c>
      <c r="J384" s="129">
        <v>46232</v>
      </c>
      <c r="K384" s="130">
        <v>0.70833333333333337</v>
      </c>
      <c r="L384" s="130">
        <v>0.71388888888888891</v>
      </c>
      <c r="M384" s="56" t="s">
        <v>1050</v>
      </c>
      <c r="N384" s="129">
        <v>46232</v>
      </c>
      <c r="O384" s="130">
        <v>0.76736111111111116</v>
      </c>
      <c r="P384" s="130">
        <v>0.75528935185185186</v>
      </c>
      <c r="Q384" s="56" t="s">
        <v>1050</v>
      </c>
      <c r="R384" s="56" t="s">
        <v>475</v>
      </c>
      <c r="S384" s="56">
        <v>31</v>
      </c>
      <c r="T384" s="131">
        <v>5.5555555555555358E-3</v>
      </c>
      <c r="U384" s="130">
        <v>-1.2071759259259296E-2</v>
      </c>
      <c r="V384" s="56" t="s">
        <v>1051</v>
      </c>
      <c r="W384" s="56" t="s">
        <v>1052</v>
      </c>
      <c r="X384" s="56" t="s">
        <v>1053</v>
      </c>
      <c r="Y384" s="56">
        <v>31</v>
      </c>
      <c r="Z384" s="56" t="s">
        <v>1054</v>
      </c>
      <c r="AA384" s="56" t="s">
        <v>1446</v>
      </c>
      <c r="AB384" s="56" t="s">
        <v>1092</v>
      </c>
      <c r="AC384" s="56" t="s">
        <v>1078</v>
      </c>
      <c r="AD384" s="56" t="s">
        <v>1447</v>
      </c>
      <c r="AE384" s="56" t="s">
        <v>1448</v>
      </c>
      <c r="AF384" s="56" t="s">
        <v>1237</v>
      </c>
      <c r="AG384" s="56" t="s">
        <v>2082</v>
      </c>
      <c r="AH384" s="56"/>
      <c r="AI384" s="56"/>
      <c r="AJ384" s="56"/>
      <c r="AK384" s="56"/>
      <c r="AL384" s="56"/>
      <c r="AM384" s="56"/>
      <c r="AN384" s="56"/>
      <c r="AO384" s="56"/>
      <c r="AP384" s="56"/>
      <c r="AQ384" s="131"/>
      <c r="AR384" s="130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</row>
    <row r="385" spans="1:56" x14ac:dyDescent="0.2">
      <c r="A385" s="56">
        <v>14120807</v>
      </c>
      <c r="B385" s="56">
        <v>175306046</v>
      </c>
      <c r="C385" s="56" t="s">
        <v>2463</v>
      </c>
      <c r="D385" s="56" t="s">
        <v>1138</v>
      </c>
      <c r="E385" s="56" t="s">
        <v>1047</v>
      </c>
      <c r="F385" s="56">
        <v>21</v>
      </c>
      <c r="G385" s="56">
        <v>4163</v>
      </c>
      <c r="H385" s="56" t="s">
        <v>1048</v>
      </c>
      <c r="I385" s="56" t="s">
        <v>1090</v>
      </c>
      <c r="J385" s="129">
        <v>46232</v>
      </c>
      <c r="K385" s="130">
        <v>0.71180555555555558</v>
      </c>
      <c r="L385" s="130">
        <v>0.71527777777777779</v>
      </c>
      <c r="M385" s="56" t="s">
        <v>1050</v>
      </c>
      <c r="N385" s="129">
        <v>46232</v>
      </c>
      <c r="O385" s="130">
        <v>0.76736111111111116</v>
      </c>
      <c r="P385" s="130">
        <v>0.74559027777777775</v>
      </c>
      <c r="Q385" s="56" t="s">
        <v>1050</v>
      </c>
      <c r="R385" s="56" t="s">
        <v>1139</v>
      </c>
      <c r="S385" s="56">
        <v>31</v>
      </c>
      <c r="T385" s="131">
        <v>3.4722222222222099E-3</v>
      </c>
      <c r="U385" s="130">
        <v>-2.1770833333333406E-2</v>
      </c>
      <c r="V385" s="56" t="s">
        <v>1051</v>
      </c>
      <c r="W385" s="56" t="s">
        <v>1052</v>
      </c>
      <c r="X385" s="56" t="s">
        <v>1053</v>
      </c>
      <c r="Y385" s="56">
        <v>31</v>
      </c>
      <c r="Z385" s="56" t="s">
        <v>1054</v>
      </c>
      <c r="AA385" s="56" t="s">
        <v>1140</v>
      </c>
      <c r="AB385" s="56" t="s">
        <v>1092</v>
      </c>
      <c r="AC385" s="56" t="s">
        <v>1078</v>
      </c>
      <c r="AD385" s="56" t="s">
        <v>1141</v>
      </c>
      <c r="AE385" s="56" t="s">
        <v>1142</v>
      </c>
      <c r="AF385" s="56" t="s">
        <v>1237</v>
      </c>
      <c r="AG385" s="56" t="s">
        <v>2464</v>
      </c>
      <c r="AH385" s="56"/>
      <c r="AI385" s="56"/>
      <c r="AJ385" s="56"/>
      <c r="AK385" s="56"/>
      <c r="AL385" s="56"/>
      <c r="AM385" s="56"/>
      <c r="AN385" s="56"/>
      <c r="AO385" s="56"/>
      <c r="AP385" s="56"/>
      <c r="AQ385" s="131"/>
      <c r="AR385" s="130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</row>
    <row r="386" spans="1:56" x14ac:dyDescent="0.2">
      <c r="A386" s="56">
        <v>14118186</v>
      </c>
      <c r="B386" s="56">
        <v>175289631</v>
      </c>
      <c r="C386" s="56" t="s">
        <v>2465</v>
      </c>
      <c r="D386" s="56" t="s">
        <v>2017</v>
      </c>
      <c r="E386" s="56" t="s">
        <v>1047</v>
      </c>
      <c r="F386" s="56">
        <v>38</v>
      </c>
      <c r="G386" s="56">
        <v>6660</v>
      </c>
      <c r="H386" s="56" t="s">
        <v>1048</v>
      </c>
      <c r="I386" s="56" t="s">
        <v>1192</v>
      </c>
      <c r="J386" s="129">
        <v>46232</v>
      </c>
      <c r="K386" s="130">
        <v>0.84722222222222221</v>
      </c>
      <c r="L386" s="130">
        <v>0.85833333333333328</v>
      </c>
      <c r="M386" s="56" t="s">
        <v>1050</v>
      </c>
      <c r="N386" s="129">
        <v>46232</v>
      </c>
      <c r="O386" s="130">
        <v>0.90277777777777779</v>
      </c>
      <c r="P386" s="130">
        <v>0.90625</v>
      </c>
      <c r="Q386" s="56" t="s">
        <v>1050</v>
      </c>
      <c r="R386" s="56" t="s">
        <v>187</v>
      </c>
      <c r="S386" s="56">
        <v>31</v>
      </c>
      <c r="T386" s="131">
        <v>1.1111111111111072E-2</v>
      </c>
      <c r="U386" s="130">
        <v>3.4722222222222099E-3</v>
      </c>
      <c r="V386" s="56" t="s">
        <v>1051</v>
      </c>
      <c r="W386" s="56" t="s">
        <v>1065</v>
      </c>
      <c r="X386" s="56" t="s">
        <v>1066</v>
      </c>
      <c r="Y386" s="56">
        <v>31</v>
      </c>
      <c r="Z386" s="56" t="s">
        <v>1054</v>
      </c>
      <c r="AA386" s="56" t="s">
        <v>2018</v>
      </c>
      <c r="AB386" s="56" t="s">
        <v>1194</v>
      </c>
      <c r="AC386" s="56" t="s">
        <v>1057</v>
      </c>
      <c r="AD386" s="56" t="s">
        <v>2019</v>
      </c>
      <c r="AE386" s="56" t="s">
        <v>2020</v>
      </c>
      <c r="AF386" s="56" t="s">
        <v>1336</v>
      </c>
      <c r="AG386" s="56" t="s">
        <v>2466</v>
      </c>
      <c r="AH386" s="56"/>
      <c r="AI386" s="56"/>
      <c r="AJ386" s="56"/>
      <c r="AK386" s="56"/>
      <c r="AL386" s="56"/>
      <c r="AM386" s="56"/>
      <c r="AN386" s="56"/>
      <c r="AO386" s="56"/>
      <c r="AP386" s="56"/>
      <c r="AQ386" s="131"/>
      <c r="AR386" s="130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</row>
    <row r="387" spans="1:56" x14ac:dyDescent="0.2">
      <c r="A387" s="56">
        <v>14103183</v>
      </c>
      <c r="B387" s="56">
        <v>175290089</v>
      </c>
      <c r="C387" s="56" t="s">
        <v>1338</v>
      </c>
      <c r="D387" s="56" t="s">
        <v>1339</v>
      </c>
      <c r="E387" s="56" t="s">
        <v>1047</v>
      </c>
      <c r="F387" s="56">
        <v>1</v>
      </c>
      <c r="G387" s="56">
        <v>15313</v>
      </c>
      <c r="H387" s="56" t="s">
        <v>1048</v>
      </c>
      <c r="I387" s="56" t="s">
        <v>1340</v>
      </c>
      <c r="J387" s="129">
        <v>46232</v>
      </c>
      <c r="K387" s="130">
        <v>0.86805555555555558</v>
      </c>
      <c r="L387" s="130">
        <v>0.87152777777777779</v>
      </c>
      <c r="M387" s="56" t="s">
        <v>1050</v>
      </c>
      <c r="N387" s="129">
        <v>46232</v>
      </c>
      <c r="O387" s="130">
        <v>0.88888888888888884</v>
      </c>
      <c r="P387" s="130">
        <v>0.88402777777777775</v>
      </c>
      <c r="Q387" s="56" t="s">
        <v>1050</v>
      </c>
      <c r="R387" s="56" t="s">
        <v>35</v>
      </c>
      <c r="S387" s="56">
        <v>31</v>
      </c>
      <c r="T387" s="131">
        <v>3.4722222222222099E-3</v>
      </c>
      <c r="U387" s="130">
        <v>-4.8611111111110938E-3</v>
      </c>
      <c r="V387" s="56" t="s">
        <v>1051</v>
      </c>
      <c r="W387" s="56" t="s">
        <v>1052</v>
      </c>
      <c r="X387" s="56" t="s">
        <v>1053</v>
      </c>
      <c r="Y387" s="56">
        <v>31</v>
      </c>
      <c r="Z387" s="56" t="s">
        <v>1054</v>
      </c>
      <c r="AA387" s="56" t="s">
        <v>1341</v>
      </c>
      <c r="AB387" s="56" t="s">
        <v>1342</v>
      </c>
      <c r="AC387" s="56" t="s">
        <v>1069</v>
      </c>
      <c r="AD387" s="56" t="s">
        <v>1343</v>
      </c>
      <c r="AE387" s="56" t="s">
        <v>1344</v>
      </c>
      <c r="AF387" s="56" t="s">
        <v>1336</v>
      </c>
      <c r="AG387" s="56" t="s">
        <v>1345</v>
      </c>
      <c r="AH387" s="56"/>
      <c r="AI387" s="56"/>
      <c r="AJ387" s="56"/>
      <c r="AK387" s="56"/>
      <c r="AL387" s="56"/>
      <c r="AM387" s="56"/>
      <c r="AN387" s="56"/>
      <c r="AO387" s="56"/>
      <c r="AP387" s="56"/>
      <c r="AQ387" s="131"/>
      <c r="AR387" s="130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</row>
    <row r="388" spans="1:56" x14ac:dyDescent="0.2">
      <c r="A388" s="56">
        <v>14121994</v>
      </c>
      <c r="B388" s="56">
        <v>175306366</v>
      </c>
      <c r="C388" s="56" t="s">
        <v>2467</v>
      </c>
      <c r="D388" s="56" t="s">
        <v>2468</v>
      </c>
      <c r="E388" s="56" t="s">
        <v>1047</v>
      </c>
      <c r="F388" s="56">
        <v>490</v>
      </c>
      <c r="G388" s="56">
        <v>13416</v>
      </c>
      <c r="H388" s="56" t="s">
        <v>1048</v>
      </c>
      <c r="I388" s="56" t="s">
        <v>1075</v>
      </c>
      <c r="J388" s="129">
        <v>46232</v>
      </c>
      <c r="K388" s="130">
        <v>0.86805555555555558</v>
      </c>
      <c r="L388" s="130">
        <v>0.88611111111111107</v>
      </c>
      <c r="M388" s="56" t="s">
        <v>1050</v>
      </c>
      <c r="N388" s="129">
        <v>46232</v>
      </c>
      <c r="O388" s="130">
        <v>0.93402777777777779</v>
      </c>
      <c r="P388" s="130">
        <v>0.93402777777777779</v>
      </c>
      <c r="Q388" s="56" t="s">
        <v>1050</v>
      </c>
      <c r="R388" s="56" t="s">
        <v>370</v>
      </c>
      <c r="S388" s="56">
        <v>31</v>
      </c>
      <c r="T388" s="131">
        <v>1.8055555555555491E-2</v>
      </c>
      <c r="U388" s="130">
        <v>0</v>
      </c>
      <c r="V388" s="56" t="s">
        <v>1051</v>
      </c>
      <c r="W388" s="56" t="s">
        <v>1052</v>
      </c>
      <c r="X388" s="56" t="s">
        <v>1053</v>
      </c>
      <c r="Y388" s="56">
        <v>31</v>
      </c>
      <c r="Z388" s="56" t="s">
        <v>1054</v>
      </c>
      <c r="AA388" s="56" t="s">
        <v>2469</v>
      </c>
      <c r="AB388" s="56" t="s">
        <v>1077</v>
      </c>
      <c r="AC388" s="56" t="s">
        <v>1078</v>
      </c>
      <c r="AD388" s="56" t="s">
        <v>2470</v>
      </c>
      <c r="AE388" s="56" t="s">
        <v>2471</v>
      </c>
      <c r="AF388" s="56" t="s">
        <v>1336</v>
      </c>
      <c r="AG388" s="56" t="s">
        <v>2472</v>
      </c>
      <c r="AH388" s="56"/>
      <c r="AI388" s="56"/>
      <c r="AJ388" s="56"/>
      <c r="AK388" s="56"/>
      <c r="AL388" s="56"/>
      <c r="AM388" s="56"/>
      <c r="AN388" s="56"/>
      <c r="AO388" s="56"/>
      <c r="AP388" s="56"/>
      <c r="AQ388" s="131"/>
      <c r="AR388" s="130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</row>
    <row r="389" spans="1:56" x14ac:dyDescent="0.2">
      <c r="A389" s="56"/>
      <c r="B389" s="56">
        <v>175307337</v>
      </c>
      <c r="C389" s="56" t="s">
        <v>2473</v>
      </c>
      <c r="D389" s="56" t="s">
        <v>2474</v>
      </c>
      <c r="E389" s="56" t="s">
        <v>1047</v>
      </c>
      <c r="F389" s="56">
        <v>181</v>
      </c>
      <c r="G389" s="56">
        <v>14711</v>
      </c>
      <c r="H389" s="56" t="s">
        <v>1048</v>
      </c>
      <c r="I389" s="56" t="s">
        <v>1172</v>
      </c>
      <c r="J389" s="129">
        <v>46232</v>
      </c>
      <c r="K389" s="130">
        <v>0.87013888888888891</v>
      </c>
      <c r="L389" s="130">
        <v>0.87569444444444444</v>
      </c>
      <c r="M389" s="56" t="s">
        <v>1050</v>
      </c>
      <c r="N389" s="129">
        <v>46232</v>
      </c>
      <c r="O389" s="130">
        <v>0.92708333333333337</v>
      </c>
      <c r="P389" s="130">
        <v>0.91527777777777775</v>
      </c>
      <c r="Q389" s="56" t="s">
        <v>1050</v>
      </c>
      <c r="R389" s="56"/>
      <c r="S389" s="56">
        <v>31</v>
      </c>
      <c r="T389" s="131">
        <v>5.5555555555555358E-3</v>
      </c>
      <c r="U389" s="130">
        <v>-1.1805555555555625E-2</v>
      </c>
      <c r="V389" s="56" t="s">
        <v>1051</v>
      </c>
      <c r="W389" s="56" t="s">
        <v>1052</v>
      </c>
      <c r="X389" s="56" t="s">
        <v>1053</v>
      </c>
      <c r="Y389" s="56">
        <v>31</v>
      </c>
      <c r="Z389" s="56" t="s">
        <v>1054</v>
      </c>
      <c r="AA389" s="56" t="s">
        <v>2475</v>
      </c>
      <c r="AB389" s="56" t="s">
        <v>1174</v>
      </c>
      <c r="AC389" s="56" t="s">
        <v>1057</v>
      </c>
      <c r="AD389" s="56" t="s">
        <v>2476</v>
      </c>
      <c r="AE389" s="56" t="s">
        <v>2477</v>
      </c>
      <c r="AF389" s="56" t="s">
        <v>1336</v>
      </c>
      <c r="AG389" s="56" t="s">
        <v>2478</v>
      </c>
      <c r="AH389" s="56"/>
      <c r="AI389" s="56"/>
      <c r="AJ389" s="56"/>
      <c r="AK389" s="56"/>
      <c r="AL389" s="56"/>
      <c r="AM389" s="56"/>
      <c r="AN389" s="56"/>
      <c r="AO389" s="56"/>
      <c r="AP389" s="56"/>
      <c r="AQ389" s="131"/>
      <c r="AR389" s="130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</row>
    <row r="390" spans="1:56" x14ac:dyDescent="0.2">
      <c r="A390" s="56">
        <v>14119956</v>
      </c>
      <c r="B390" s="56">
        <v>175284316</v>
      </c>
      <c r="C390" s="56" t="s">
        <v>2479</v>
      </c>
      <c r="D390" s="56" t="s">
        <v>2480</v>
      </c>
      <c r="E390" s="56" t="s">
        <v>1047</v>
      </c>
      <c r="F390" s="56">
        <v>61</v>
      </c>
      <c r="G390" s="56">
        <v>16744</v>
      </c>
      <c r="H390" s="56" t="s">
        <v>1048</v>
      </c>
      <c r="I390" s="56" t="s">
        <v>1075</v>
      </c>
      <c r="J390" s="129">
        <v>46232</v>
      </c>
      <c r="K390" s="130">
        <v>0.875</v>
      </c>
      <c r="L390" s="130">
        <v>0.87986111111111109</v>
      </c>
      <c r="M390" s="56" t="s">
        <v>1050</v>
      </c>
      <c r="N390" s="129">
        <v>46232</v>
      </c>
      <c r="O390" s="130">
        <v>0.93402777777777779</v>
      </c>
      <c r="P390" s="130">
        <v>0.91874999999999996</v>
      </c>
      <c r="Q390" s="56" t="s">
        <v>1050</v>
      </c>
      <c r="R390" s="56" t="s">
        <v>269</v>
      </c>
      <c r="S390" s="56">
        <v>31</v>
      </c>
      <c r="T390" s="131">
        <v>4.8611111111110938E-3</v>
      </c>
      <c r="U390" s="130">
        <v>-1.5277777777777835E-2</v>
      </c>
      <c r="V390" s="56" t="s">
        <v>1051</v>
      </c>
      <c r="W390" s="56" t="s">
        <v>1052</v>
      </c>
      <c r="X390" s="56" t="s">
        <v>1053</v>
      </c>
      <c r="Y390" s="56">
        <v>31</v>
      </c>
      <c r="Z390" s="56" t="s">
        <v>1054</v>
      </c>
      <c r="AA390" s="56" t="s">
        <v>2481</v>
      </c>
      <c r="AB390" s="56" t="s">
        <v>1077</v>
      </c>
      <c r="AC390" s="56" t="s">
        <v>1078</v>
      </c>
      <c r="AD390" s="56" t="s">
        <v>2482</v>
      </c>
      <c r="AE390" s="56" t="s">
        <v>2483</v>
      </c>
      <c r="AF390" s="56" t="s">
        <v>1336</v>
      </c>
      <c r="AG390" s="56" t="s">
        <v>2484</v>
      </c>
      <c r="AH390" s="56"/>
      <c r="AI390" s="56"/>
      <c r="AJ390" s="56"/>
      <c r="AK390" s="56"/>
      <c r="AL390" s="56"/>
      <c r="AM390" s="56"/>
      <c r="AN390" s="56"/>
      <c r="AO390" s="56"/>
      <c r="AP390" s="56"/>
      <c r="AQ390" s="131"/>
      <c r="AR390" s="130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</row>
    <row r="391" spans="1:56" x14ac:dyDescent="0.2">
      <c r="A391" s="56">
        <v>14114737</v>
      </c>
      <c r="B391" s="56">
        <v>175301837</v>
      </c>
      <c r="C391" s="56" t="s">
        <v>2485</v>
      </c>
      <c r="D391" s="56" t="s">
        <v>2486</v>
      </c>
      <c r="E391" s="56" t="s">
        <v>1047</v>
      </c>
      <c r="F391" s="56">
        <v>1</v>
      </c>
      <c r="G391" s="56">
        <v>6316</v>
      </c>
      <c r="H391" s="56" t="s">
        <v>1048</v>
      </c>
      <c r="I391" s="56" t="s">
        <v>1158</v>
      </c>
      <c r="J391" s="129">
        <v>46232</v>
      </c>
      <c r="K391" s="130">
        <v>0.87847222222222221</v>
      </c>
      <c r="L391" s="130">
        <v>0.88263888888888886</v>
      </c>
      <c r="M391" s="56" t="s">
        <v>1050</v>
      </c>
      <c r="N391" s="129">
        <v>46232</v>
      </c>
      <c r="O391" s="130">
        <v>0.90625</v>
      </c>
      <c r="P391" s="130">
        <v>0.90277777777777779</v>
      </c>
      <c r="Q391" s="56" t="s">
        <v>1050</v>
      </c>
      <c r="R391" s="56" t="s">
        <v>2487</v>
      </c>
      <c r="S391" s="56">
        <v>31</v>
      </c>
      <c r="T391" s="131">
        <v>4.1666666666666519E-3</v>
      </c>
      <c r="U391" s="130">
        <v>-3.4722222222222099E-3</v>
      </c>
      <c r="V391" s="56" t="s">
        <v>1051</v>
      </c>
      <c r="W391" s="56" t="s">
        <v>1052</v>
      </c>
      <c r="X391" s="56" t="s">
        <v>1053</v>
      </c>
      <c r="Y391" s="56">
        <v>31</v>
      </c>
      <c r="Z391" s="56" t="s">
        <v>1054</v>
      </c>
      <c r="AA391" s="56" t="s">
        <v>2488</v>
      </c>
      <c r="AB391" s="56" t="s">
        <v>1160</v>
      </c>
      <c r="AC391" s="56" t="s">
        <v>1069</v>
      </c>
      <c r="AD391" s="56" t="s">
        <v>2489</v>
      </c>
      <c r="AE391" s="56" t="s">
        <v>2490</v>
      </c>
      <c r="AF391" s="56" t="s">
        <v>1336</v>
      </c>
      <c r="AG391" s="56" t="s">
        <v>2491</v>
      </c>
      <c r="AH391" s="56"/>
      <c r="AI391" s="56"/>
      <c r="AJ391" s="56"/>
      <c r="AK391" s="56"/>
      <c r="AL391" s="56"/>
      <c r="AM391" s="56"/>
      <c r="AN391" s="56"/>
      <c r="AO391" s="56"/>
      <c r="AP391" s="56"/>
      <c r="AQ391" s="131"/>
      <c r="AR391" s="130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</row>
    <row r="392" spans="1:56" x14ac:dyDescent="0.2">
      <c r="A392" s="56">
        <v>14113056</v>
      </c>
      <c r="B392" s="56">
        <v>175301940</v>
      </c>
      <c r="C392" s="56" t="s">
        <v>2322</v>
      </c>
      <c r="D392" s="56" t="s">
        <v>2323</v>
      </c>
      <c r="E392" s="56" t="s">
        <v>1047</v>
      </c>
      <c r="F392" s="56">
        <v>49</v>
      </c>
      <c r="G392" s="56">
        <v>5424</v>
      </c>
      <c r="H392" s="56" t="s">
        <v>1048</v>
      </c>
      <c r="I392" s="56" t="s">
        <v>1158</v>
      </c>
      <c r="J392" s="129">
        <v>46232</v>
      </c>
      <c r="K392" s="130">
        <v>0.87847222222222221</v>
      </c>
      <c r="L392" s="130">
        <v>0.93611111111111112</v>
      </c>
      <c r="M392" s="56" t="s">
        <v>1050</v>
      </c>
      <c r="N392" s="129">
        <v>46232</v>
      </c>
      <c r="O392" s="130">
        <v>0.90625</v>
      </c>
      <c r="P392" s="130">
        <v>0</v>
      </c>
      <c r="Q392" s="56" t="s">
        <v>1367</v>
      </c>
      <c r="R392" s="56" t="s">
        <v>234</v>
      </c>
      <c r="S392" s="56">
        <v>31</v>
      </c>
      <c r="T392" s="131">
        <v>5.7638888888888906E-2</v>
      </c>
      <c r="U392" s="130">
        <v>-0.90625</v>
      </c>
      <c r="V392" s="56" t="s">
        <v>1051</v>
      </c>
      <c r="W392" s="56" t="s">
        <v>1052</v>
      </c>
      <c r="X392" s="56" t="s">
        <v>1053</v>
      </c>
      <c r="Y392" s="56">
        <v>31</v>
      </c>
      <c r="Z392" s="56" t="s">
        <v>1054</v>
      </c>
      <c r="AA392" s="56" t="s">
        <v>2324</v>
      </c>
      <c r="AB392" s="56" t="s">
        <v>1160</v>
      </c>
      <c r="AC392" s="56" t="s">
        <v>1069</v>
      </c>
      <c r="AD392" s="56" t="s">
        <v>2325</v>
      </c>
      <c r="AE392" s="56" t="s">
        <v>2326</v>
      </c>
      <c r="AF392" s="56" t="s">
        <v>1336</v>
      </c>
      <c r="AG392" s="56" t="s">
        <v>2327</v>
      </c>
      <c r="AH392" s="56"/>
      <c r="AI392" s="56"/>
      <c r="AJ392" s="56"/>
      <c r="AK392" s="56"/>
      <c r="AL392" s="56"/>
      <c r="AM392" s="56"/>
      <c r="AN392" s="56"/>
      <c r="AO392" s="56"/>
      <c r="AP392" s="56"/>
      <c r="AQ392" s="131"/>
      <c r="AR392" s="130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</row>
    <row r="393" spans="1:56" x14ac:dyDescent="0.2">
      <c r="A393" s="56">
        <v>14110761</v>
      </c>
      <c r="B393" s="56">
        <v>175284331</v>
      </c>
      <c r="C393" s="56" t="s">
        <v>2492</v>
      </c>
      <c r="D393" s="56" t="s">
        <v>1627</v>
      </c>
      <c r="E393" s="56" t="s">
        <v>1047</v>
      </c>
      <c r="F393" s="56">
        <v>68</v>
      </c>
      <c r="G393" s="56">
        <v>16002</v>
      </c>
      <c r="H393" s="56" t="s">
        <v>1048</v>
      </c>
      <c r="I393" s="56" t="s">
        <v>1075</v>
      </c>
      <c r="J393" s="129">
        <v>46232</v>
      </c>
      <c r="K393" s="130">
        <v>0.88194444444444442</v>
      </c>
      <c r="L393" s="130">
        <v>0.88958333333333328</v>
      </c>
      <c r="M393" s="56" t="s">
        <v>1050</v>
      </c>
      <c r="N393" s="129">
        <v>46232</v>
      </c>
      <c r="O393" s="130">
        <v>0.93402777777777779</v>
      </c>
      <c r="P393" s="130">
        <v>0.9375</v>
      </c>
      <c r="Q393" s="56" t="s">
        <v>1050</v>
      </c>
      <c r="R393" s="56" t="s">
        <v>104</v>
      </c>
      <c r="S393" s="56">
        <v>31</v>
      </c>
      <c r="T393" s="131">
        <v>7.6388888888888618E-3</v>
      </c>
      <c r="U393" s="130">
        <v>3.4722222222222099E-3</v>
      </c>
      <c r="V393" s="56" t="s">
        <v>1051</v>
      </c>
      <c r="W393" s="56" t="s">
        <v>1065</v>
      </c>
      <c r="X393" s="56" t="s">
        <v>1066</v>
      </c>
      <c r="Y393" s="56">
        <v>31</v>
      </c>
      <c r="Z393" s="56" t="s">
        <v>1054</v>
      </c>
      <c r="AA393" s="56" t="s">
        <v>1628</v>
      </c>
      <c r="AB393" s="56" t="s">
        <v>1077</v>
      </c>
      <c r="AC393" s="56" t="s">
        <v>1078</v>
      </c>
      <c r="AD393" s="56" t="s">
        <v>1629</v>
      </c>
      <c r="AE393" s="56" t="s">
        <v>1630</v>
      </c>
      <c r="AF393" s="56" t="s">
        <v>1336</v>
      </c>
      <c r="AG393" s="56" t="s">
        <v>2493</v>
      </c>
      <c r="AH393" s="56"/>
      <c r="AI393" s="56"/>
      <c r="AJ393" s="56"/>
      <c r="AK393" s="56"/>
      <c r="AL393" s="56"/>
      <c r="AM393" s="56"/>
      <c r="AN393" s="56"/>
      <c r="AO393" s="56"/>
      <c r="AP393" s="56"/>
      <c r="AQ393" s="131"/>
      <c r="AR393" s="130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</row>
    <row r="394" spans="1:56" x14ac:dyDescent="0.2">
      <c r="A394" s="56"/>
      <c r="B394" s="56">
        <v>175306877</v>
      </c>
      <c r="C394" s="56" t="s">
        <v>2494</v>
      </c>
      <c r="D394" s="56" t="s">
        <v>2219</v>
      </c>
      <c r="E394" s="56" t="s">
        <v>1047</v>
      </c>
      <c r="F394" s="56">
        <v>151</v>
      </c>
      <c r="G394" s="56">
        <v>17183</v>
      </c>
      <c r="H394" s="56" t="s">
        <v>1048</v>
      </c>
      <c r="I394" s="56" t="s">
        <v>1172</v>
      </c>
      <c r="J394" s="129">
        <v>46232</v>
      </c>
      <c r="K394" s="130">
        <v>0.8833333333333333</v>
      </c>
      <c r="L394" s="130">
        <v>0.88888888888888884</v>
      </c>
      <c r="M394" s="56" t="s">
        <v>1050</v>
      </c>
      <c r="N394" s="129">
        <v>46232</v>
      </c>
      <c r="O394" s="130">
        <v>0.92708333333333337</v>
      </c>
      <c r="P394" s="130">
        <v>0.91805555555555551</v>
      </c>
      <c r="Q394" s="56" t="s">
        <v>1050</v>
      </c>
      <c r="R394" s="56"/>
      <c r="S394" s="56">
        <v>31</v>
      </c>
      <c r="T394" s="131">
        <v>5.5555555555555358E-3</v>
      </c>
      <c r="U394" s="130">
        <v>-9.0277777777778567E-3</v>
      </c>
      <c r="V394" s="56" t="s">
        <v>1051</v>
      </c>
      <c r="W394" s="56" t="s">
        <v>1052</v>
      </c>
      <c r="X394" s="56" t="s">
        <v>1053</v>
      </c>
      <c r="Y394" s="56">
        <v>31</v>
      </c>
      <c r="Z394" s="56" t="s">
        <v>1054</v>
      </c>
      <c r="AA394" s="56" t="s">
        <v>2220</v>
      </c>
      <c r="AB394" s="56" t="s">
        <v>1210</v>
      </c>
      <c r="AC394" s="56" t="s">
        <v>1057</v>
      </c>
      <c r="AD394" s="56" t="s">
        <v>2221</v>
      </c>
      <c r="AE394" s="56" t="s">
        <v>2222</v>
      </c>
      <c r="AF394" s="56" t="s">
        <v>1336</v>
      </c>
      <c r="AG394" s="56" t="s">
        <v>2495</v>
      </c>
      <c r="AH394" s="56"/>
      <c r="AI394" s="56"/>
      <c r="AJ394" s="56"/>
      <c r="AK394" s="56"/>
      <c r="AL394" s="56"/>
      <c r="AM394" s="56"/>
      <c r="AN394" s="56"/>
      <c r="AO394" s="56"/>
      <c r="AP394" s="56"/>
      <c r="AQ394" s="131"/>
      <c r="AR394" s="130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</row>
    <row r="395" spans="1:56" x14ac:dyDescent="0.2">
      <c r="A395" s="56">
        <v>14117160</v>
      </c>
      <c r="B395" s="56">
        <v>175307752</v>
      </c>
      <c r="C395" s="56" t="s">
        <v>2496</v>
      </c>
      <c r="D395" s="56" t="s">
        <v>2497</v>
      </c>
      <c r="E395" s="56" t="s">
        <v>1047</v>
      </c>
      <c r="F395" s="56">
        <v>207</v>
      </c>
      <c r="G395" s="56">
        <v>4447</v>
      </c>
      <c r="H395" s="56" t="s">
        <v>1048</v>
      </c>
      <c r="I395" s="56" t="s">
        <v>1172</v>
      </c>
      <c r="J395" s="129">
        <v>46232</v>
      </c>
      <c r="K395" s="130">
        <v>0.8833333333333333</v>
      </c>
      <c r="L395" s="130">
        <v>0.89027777777777772</v>
      </c>
      <c r="M395" s="56" t="s">
        <v>1050</v>
      </c>
      <c r="N395" s="129">
        <v>46232</v>
      </c>
      <c r="O395" s="130">
        <v>0.92708333333333337</v>
      </c>
      <c r="P395" s="130">
        <v>0.93055555555555558</v>
      </c>
      <c r="Q395" s="56" t="s">
        <v>1050</v>
      </c>
      <c r="R395" s="56" t="s">
        <v>173</v>
      </c>
      <c r="S395" s="56">
        <v>31</v>
      </c>
      <c r="T395" s="131">
        <v>6.9444444444444198E-3</v>
      </c>
      <c r="U395" s="130">
        <v>3.4722222222222099E-3</v>
      </c>
      <c r="V395" s="56" t="s">
        <v>1051</v>
      </c>
      <c r="W395" s="56" t="s">
        <v>1065</v>
      </c>
      <c r="X395" s="56" t="s">
        <v>1066</v>
      </c>
      <c r="Y395" s="56">
        <v>31</v>
      </c>
      <c r="Z395" s="56" t="s">
        <v>1054</v>
      </c>
      <c r="AA395" s="56" t="s">
        <v>2498</v>
      </c>
      <c r="AB395" s="56" t="s">
        <v>1565</v>
      </c>
      <c r="AC395" s="56" t="s">
        <v>1057</v>
      </c>
      <c r="AD395" s="56" t="s">
        <v>2499</v>
      </c>
      <c r="AE395" s="56" t="s">
        <v>2500</v>
      </c>
      <c r="AF395" s="56" t="s">
        <v>1336</v>
      </c>
      <c r="AG395" s="56" t="s">
        <v>2501</v>
      </c>
      <c r="AH395" s="56"/>
      <c r="AI395" s="56"/>
      <c r="AJ395" s="56"/>
      <c r="AK395" s="56"/>
      <c r="AL395" s="56"/>
      <c r="AM395" s="56"/>
      <c r="AN395" s="56"/>
      <c r="AO395" s="56"/>
      <c r="AP395" s="56"/>
      <c r="AQ395" s="131"/>
      <c r="AR395" s="130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</row>
    <row r="396" spans="1:56" x14ac:dyDescent="0.2">
      <c r="A396" s="56">
        <v>14112026</v>
      </c>
      <c r="B396" s="56">
        <v>175306841</v>
      </c>
      <c r="C396" s="56" t="s">
        <v>2340</v>
      </c>
      <c r="D396" s="56" t="s">
        <v>1540</v>
      </c>
      <c r="E396" s="56" t="s">
        <v>1047</v>
      </c>
      <c r="F396" s="56">
        <v>139</v>
      </c>
      <c r="G396" s="56">
        <v>10359</v>
      </c>
      <c r="H396" s="56" t="s">
        <v>1048</v>
      </c>
      <c r="I396" s="56" t="s">
        <v>1172</v>
      </c>
      <c r="J396" s="129">
        <v>46232</v>
      </c>
      <c r="K396" s="130">
        <v>0.88611111111111107</v>
      </c>
      <c r="L396" s="130">
        <v>0.8930555555555556</v>
      </c>
      <c r="M396" s="56" t="s">
        <v>1050</v>
      </c>
      <c r="N396" s="129">
        <v>46232</v>
      </c>
      <c r="O396" s="130">
        <v>0.92708333333333337</v>
      </c>
      <c r="P396" s="130">
        <v>0.91666666666666663</v>
      </c>
      <c r="Q396" s="56" t="s">
        <v>1050</v>
      </c>
      <c r="R396" s="56" t="s">
        <v>1541</v>
      </c>
      <c r="S396" s="56">
        <v>31</v>
      </c>
      <c r="T396" s="131">
        <v>6.9444444444445308E-3</v>
      </c>
      <c r="U396" s="130">
        <v>-1.0416666666666741E-2</v>
      </c>
      <c r="V396" s="56" t="s">
        <v>1051</v>
      </c>
      <c r="W396" s="56" t="s">
        <v>1052</v>
      </c>
      <c r="X396" s="56" t="s">
        <v>1053</v>
      </c>
      <c r="Y396" s="56">
        <v>31</v>
      </c>
      <c r="Z396" s="56" t="s">
        <v>1054</v>
      </c>
      <c r="AA396" s="56" t="s">
        <v>1542</v>
      </c>
      <c r="AB396" s="56" t="s">
        <v>1210</v>
      </c>
      <c r="AC396" s="56" t="s">
        <v>1057</v>
      </c>
      <c r="AD396" s="56" t="s">
        <v>1543</v>
      </c>
      <c r="AE396" s="56" t="s">
        <v>1544</v>
      </c>
      <c r="AF396" s="56" t="s">
        <v>1336</v>
      </c>
      <c r="AG396" s="56" t="s">
        <v>2341</v>
      </c>
      <c r="AH396" s="56"/>
      <c r="AI396" s="56"/>
      <c r="AJ396" s="56"/>
      <c r="AK396" s="56"/>
      <c r="AL396" s="56"/>
      <c r="AM396" s="56"/>
      <c r="AN396" s="56"/>
      <c r="AO396" s="56"/>
      <c r="AP396" s="56"/>
      <c r="AQ396" s="131"/>
      <c r="AR396" s="130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</row>
    <row r="397" spans="1:56" x14ac:dyDescent="0.2">
      <c r="A397" s="56">
        <v>14116431</v>
      </c>
      <c r="B397" s="56">
        <v>175294226</v>
      </c>
      <c r="C397" s="56" t="s">
        <v>2502</v>
      </c>
      <c r="D397" s="56" t="s">
        <v>2399</v>
      </c>
      <c r="E397" s="56" t="s">
        <v>1047</v>
      </c>
      <c r="F397" s="56">
        <v>21</v>
      </c>
      <c r="G397" s="56">
        <v>16785</v>
      </c>
      <c r="H397" s="56" t="s">
        <v>1048</v>
      </c>
      <c r="I397" s="56" t="s">
        <v>1118</v>
      </c>
      <c r="J397" s="129">
        <v>46232</v>
      </c>
      <c r="K397" s="130">
        <v>0.89027777777777772</v>
      </c>
      <c r="L397" s="130">
        <v>0.89444444444444449</v>
      </c>
      <c r="M397" s="56" t="s">
        <v>1050</v>
      </c>
      <c r="N397" s="129">
        <v>46232</v>
      </c>
      <c r="O397" s="130">
        <v>0.93402777777777779</v>
      </c>
      <c r="P397" s="130">
        <v>0.9243055555555556</v>
      </c>
      <c r="Q397" s="56" t="s">
        <v>1050</v>
      </c>
      <c r="R397" s="56" t="s">
        <v>1132</v>
      </c>
      <c r="S397" s="56">
        <v>31</v>
      </c>
      <c r="T397" s="131">
        <v>4.1666666666667629E-3</v>
      </c>
      <c r="U397" s="130">
        <v>-9.7222222222221877E-3</v>
      </c>
      <c r="V397" s="56" t="s">
        <v>1051</v>
      </c>
      <c r="W397" s="56" t="s">
        <v>1052</v>
      </c>
      <c r="X397" s="56" t="s">
        <v>1053</v>
      </c>
      <c r="Y397" s="56">
        <v>31</v>
      </c>
      <c r="Z397" s="56" t="s">
        <v>1054</v>
      </c>
      <c r="AA397" s="56" t="s">
        <v>2400</v>
      </c>
      <c r="AB397" s="56" t="s">
        <v>1120</v>
      </c>
      <c r="AC397" s="56" t="s">
        <v>1078</v>
      </c>
      <c r="AD397" s="56" t="s">
        <v>2401</v>
      </c>
      <c r="AE397" s="56" t="s">
        <v>2402</v>
      </c>
      <c r="AF397" s="56" t="s">
        <v>1336</v>
      </c>
      <c r="AG397" s="56" t="s">
        <v>2503</v>
      </c>
      <c r="AH397" s="56"/>
      <c r="AI397" s="56"/>
      <c r="AJ397" s="56"/>
      <c r="AK397" s="56"/>
      <c r="AL397" s="56"/>
      <c r="AM397" s="56"/>
      <c r="AN397" s="56"/>
      <c r="AO397" s="56"/>
      <c r="AP397" s="56"/>
      <c r="AQ397" s="131"/>
      <c r="AR397" s="130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</row>
    <row r="398" spans="1:56" x14ac:dyDescent="0.2">
      <c r="A398" s="56">
        <v>14112630</v>
      </c>
      <c r="B398" s="56">
        <v>175296954</v>
      </c>
      <c r="C398" s="56" t="s">
        <v>2350</v>
      </c>
      <c r="D398" s="56" t="s">
        <v>2066</v>
      </c>
      <c r="E398" s="56" t="s">
        <v>1047</v>
      </c>
      <c r="F398" s="56">
        <v>9</v>
      </c>
      <c r="G398" s="56">
        <v>6982</v>
      </c>
      <c r="H398" s="56" t="s">
        <v>1048</v>
      </c>
      <c r="I398" s="56" t="s">
        <v>1358</v>
      </c>
      <c r="J398" s="129">
        <v>46232</v>
      </c>
      <c r="K398" s="130">
        <v>0.89236111111111116</v>
      </c>
      <c r="L398" s="130">
        <v>0.89583333333333337</v>
      </c>
      <c r="M398" s="56" t="s">
        <v>1050</v>
      </c>
      <c r="N398" s="129">
        <v>46232</v>
      </c>
      <c r="O398" s="130">
        <v>0.93055555555555558</v>
      </c>
      <c r="P398" s="130">
        <v>0.92708333333333337</v>
      </c>
      <c r="Q398" s="56" t="s">
        <v>1050</v>
      </c>
      <c r="R398" s="56" t="s">
        <v>121</v>
      </c>
      <c r="S398" s="56">
        <v>31</v>
      </c>
      <c r="T398" s="131">
        <v>3.4722222222222099E-3</v>
      </c>
      <c r="U398" s="130">
        <v>-3.4722222222222099E-3</v>
      </c>
      <c r="V398" s="56" t="s">
        <v>1051</v>
      </c>
      <c r="W398" s="56" t="s">
        <v>1052</v>
      </c>
      <c r="X398" s="56" t="s">
        <v>1053</v>
      </c>
      <c r="Y398" s="56">
        <v>31</v>
      </c>
      <c r="Z398" s="56" t="s">
        <v>1054</v>
      </c>
      <c r="AA398" s="56" t="s">
        <v>2067</v>
      </c>
      <c r="AB398" s="56" t="s">
        <v>1361</v>
      </c>
      <c r="AC398" s="56" t="s">
        <v>1069</v>
      </c>
      <c r="AD398" s="56" t="s">
        <v>2068</v>
      </c>
      <c r="AE398" s="56" t="s">
        <v>2069</v>
      </c>
      <c r="AF398" s="56" t="s">
        <v>1336</v>
      </c>
      <c r="AG398" s="56" t="s">
        <v>2351</v>
      </c>
      <c r="AH398" s="56"/>
      <c r="AI398" s="56"/>
      <c r="AJ398" s="56"/>
      <c r="AK398" s="56"/>
      <c r="AL398" s="56"/>
      <c r="AM398" s="56"/>
      <c r="AN398" s="56"/>
      <c r="AO398" s="56"/>
      <c r="AP398" s="56"/>
      <c r="AQ398" s="131"/>
      <c r="AR398" s="130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</row>
    <row r="399" spans="1:56" x14ac:dyDescent="0.2">
      <c r="A399" s="56"/>
      <c r="B399" s="56">
        <v>175308314</v>
      </c>
      <c r="C399" s="56" t="s">
        <v>1853</v>
      </c>
      <c r="D399" s="56" t="s">
        <v>1854</v>
      </c>
      <c r="E399" s="56" t="s">
        <v>1047</v>
      </c>
      <c r="F399" s="56">
        <v>225</v>
      </c>
      <c r="G399" s="56">
        <v>6313</v>
      </c>
      <c r="H399" s="56" t="s">
        <v>1048</v>
      </c>
      <c r="I399" s="56" t="s">
        <v>1172</v>
      </c>
      <c r="J399" s="129">
        <v>46232</v>
      </c>
      <c r="K399" s="130">
        <v>0.89236111111111116</v>
      </c>
      <c r="L399" s="130">
        <v>0.9145833333333333</v>
      </c>
      <c r="M399" s="56" t="s">
        <v>1050</v>
      </c>
      <c r="N399" s="129">
        <v>46232</v>
      </c>
      <c r="O399" s="130">
        <v>0.92708333333333337</v>
      </c>
      <c r="P399" s="130">
        <v>0.94027777777777777</v>
      </c>
      <c r="Q399" s="56" t="s">
        <v>1050</v>
      </c>
      <c r="R399" s="56"/>
      <c r="S399" s="56">
        <v>31</v>
      </c>
      <c r="T399" s="131">
        <v>2.2222222222222143E-2</v>
      </c>
      <c r="U399" s="130">
        <v>1.3194444444444398E-2</v>
      </c>
      <c r="V399" s="56" t="s">
        <v>1051</v>
      </c>
      <c r="W399" s="56" t="s">
        <v>1065</v>
      </c>
      <c r="X399" s="56" t="s">
        <v>1066</v>
      </c>
      <c r="Y399" s="56">
        <v>31</v>
      </c>
      <c r="Z399" s="56" t="s">
        <v>1054</v>
      </c>
      <c r="AA399" s="56" t="s">
        <v>1855</v>
      </c>
      <c r="AB399" s="56" t="s">
        <v>1565</v>
      </c>
      <c r="AC399" s="56" t="s">
        <v>1057</v>
      </c>
      <c r="AD399" s="56" t="s">
        <v>1856</v>
      </c>
      <c r="AE399" s="56" t="s">
        <v>1857</v>
      </c>
      <c r="AF399" s="56" t="s">
        <v>1336</v>
      </c>
      <c r="AG399" s="56" t="s">
        <v>1858</v>
      </c>
      <c r="AH399" s="56"/>
      <c r="AI399" s="56"/>
      <c r="AJ399" s="56"/>
      <c r="AK399" s="56"/>
      <c r="AL399" s="56"/>
      <c r="AM399" s="56"/>
      <c r="AN399" s="56"/>
      <c r="AO399" s="56"/>
      <c r="AP399" s="56"/>
      <c r="AQ399" s="131"/>
      <c r="AR399" s="130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</row>
    <row r="400" spans="1:56" x14ac:dyDescent="0.2">
      <c r="A400" s="56">
        <v>14123559</v>
      </c>
      <c r="B400" s="56">
        <v>175304365</v>
      </c>
      <c r="C400" s="56" t="s">
        <v>2504</v>
      </c>
      <c r="D400" s="56" t="s">
        <v>1740</v>
      </c>
      <c r="E400" s="56" t="s">
        <v>1047</v>
      </c>
      <c r="F400" s="56">
        <v>225</v>
      </c>
      <c r="G400" s="56">
        <v>13408</v>
      </c>
      <c r="H400" s="56" t="s">
        <v>1048</v>
      </c>
      <c r="I400" s="56" t="s">
        <v>1676</v>
      </c>
      <c r="J400" s="129">
        <v>46232</v>
      </c>
      <c r="K400" s="130">
        <v>0.90277777777777779</v>
      </c>
      <c r="L400" s="130">
        <v>0.91666666666666663</v>
      </c>
      <c r="M400" s="56" t="s">
        <v>1050</v>
      </c>
      <c r="N400" s="129">
        <v>46232</v>
      </c>
      <c r="O400" s="130">
        <v>0.93402777777777779</v>
      </c>
      <c r="P400" s="130">
        <v>0.92777777777777781</v>
      </c>
      <c r="Q400" s="56" t="s">
        <v>1050</v>
      </c>
      <c r="R400" s="56" t="s">
        <v>531</v>
      </c>
      <c r="S400" s="56">
        <v>31</v>
      </c>
      <c r="T400" s="131">
        <v>1.388888888888884E-2</v>
      </c>
      <c r="U400" s="130">
        <v>-6.2499999999999778E-3</v>
      </c>
      <c r="V400" s="56" t="s">
        <v>1051</v>
      </c>
      <c r="W400" s="56" t="s">
        <v>1052</v>
      </c>
      <c r="X400" s="56" t="s">
        <v>1053</v>
      </c>
      <c r="Y400" s="56">
        <v>31</v>
      </c>
      <c r="Z400" s="56" t="s">
        <v>1054</v>
      </c>
      <c r="AA400" s="56" t="s">
        <v>1741</v>
      </c>
      <c r="AB400" s="56" t="s">
        <v>1678</v>
      </c>
      <c r="AC400" s="56" t="s">
        <v>1078</v>
      </c>
      <c r="AD400" s="56" t="s">
        <v>1742</v>
      </c>
      <c r="AE400" s="56" t="s">
        <v>1743</v>
      </c>
      <c r="AF400" s="56" t="s">
        <v>1336</v>
      </c>
      <c r="AG400" s="56" t="s">
        <v>2505</v>
      </c>
      <c r="AH400" s="56"/>
      <c r="AI400" s="56"/>
      <c r="AJ400" s="56"/>
      <c r="AK400" s="56"/>
      <c r="AL400" s="56"/>
      <c r="AM400" s="56"/>
      <c r="AN400" s="56"/>
      <c r="AO400" s="56"/>
      <c r="AP400" s="56"/>
      <c r="AQ400" s="131"/>
      <c r="AR400" s="130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</row>
    <row r="401" spans="1:56" x14ac:dyDescent="0.2">
      <c r="A401" s="56">
        <v>14100733</v>
      </c>
      <c r="B401" s="56">
        <v>175294398</v>
      </c>
      <c r="C401" s="56" t="s">
        <v>2506</v>
      </c>
      <c r="D401" s="56" t="s">
        <v>2507</v>
      </c>
      <c r="E401" s="56" t="s">
        <v>1047</v>
      </c>
      <c r="F401" s="56">
        <v>76</v>
      </c>
      <c r="G401" s="56">
        <v>15999</v>
      </c>
      <c r="H401" s="56" t="s">
        <v>1048</v>
      </c>
      <c r="I401" s="56" t="s">
        <v>1676</v>
      </c>
      <c r="J401" s="129">
        <v>46232</v>
      </c>
      <c r="K401" s="130">
        <v>0.90555555555555556</v>
      </c>
      <c r="L401" s="130">
        <v>0.91180555555555554</v>
      </c>
      <c r="M401" s="56" t="s">
        <v>1050</v>
      </c>
      <c r="N401" s="129">
        <v>46232</v>
      </c>
      <c r="O401" s="130">
        <v>0.93402777777777779</v>
      </c>
      <c r="P401" s="130">
        <v>0.91666666666666663</v>
      </c>
      <c r="Q401" s="56" t="s">
        <v>1050</v>
      </c>
      <c r="R401" s="56" t="s">
        <v>17</v>
      </c>
      <c r="S401" s="56">
        <v>31</v>
      </c>
      <c r="T401" s="131">
        <v>6.2499999999999778E-3</v>
      </c>
      <c r="U401" s="130">
        <v>-1.736111111111116E-2</v>
      </c>
      <c r="V401" s="56" t="s">
        <v>1051</v>
      </c>
      <c r="W401" s="56" t="s">
        <v>1052</v>
      </c>
      <c r="X401" s="56" t="s">
        <v>1053</v>
      </c>
      <c r="Y401" s="56">
        <v>31</v>
      </c>
      <c r="Z401" s="56" t="s">
        <v>1054</v>
      </c>
      <c r="AA401" s="56" t="s">
        <v>2508</v>
      </c>
      <c r="AB401" s="56" t="s">
        <v>1678</v>
      </c>
      <c r="AC401" s="56" t="s">
        <v>1078</v>
      </c>
      <c r="AD401" s="56" t="s">
        <v>2509</v>
      </c>
      <c r="AE401" s="56" t="s">
        <v>2510</v>
      </c>
      <c r="AF401" s="56" t="s">
        <v>1336</v>
      </c>
      <c r="AG401" s="56" t="s">
        <v>2511</v>
      </c>
      <c r="AH401" s="56"/>
      <c r="AI401" s="56"/>
      <c r="AJ401" s="56"/>
      <c r="AK401" s="56"/>
      <c r="AL401" s="56"/>
      <c r="AM401" s="56"/>
      <c r="AN401" s="56"/>
      <c r="AO401" s="56"/>
      <c r="AP401" s="56"/>
      <c r="AQ401" s="131"/>
      <c r="AR401" s="130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</row>
    <row r="402" spans="1:56" x14ac:dyDescent="0.2">
      <c r="A402" s="56">
        <v>14109674</v>
      </c>
      <c r="B402" s="56">
        <v>175253495</v>
      </c>
      <c r="C402" s="56" t="s">
        <v>2512</v>
      </c>
      <c r="D402" s="56" t="s">
        <v>2513</v>
      </c>
      <c r="E402" s="56" t="s">
        <v>1047</v>
      </c>
      <c r="F402" s="56">
        <v>5</v>
      </c>
      <c r="G402" s="56">
        <v>11826</v>
      </c>
      <c r="H402" s="56" t="s">
        <v>1048</v>
      </c>
      <c r="I402" s="56" t="s">
        <v>2514</v>
      </c>
      <c r="J402" s="129">
        <v>46231</v>
      </c>
      <c r="K402" s="130">
        <v>0.18402777777777779</v>
      </c>
      <c r="L402" s="130">
        <v>0.18958333333333333</v>
      </c>
      <c r="M402" s="56" t="s">
        <v>1050</v>
      </c>
      <c r="N402" s="129">
        <v>46231</v>
      </c>
      <c r="O402" s="130">
        <v>0.25</v>
      </c>
      <c r="P402" s="130">
        <v>0.32500000000000001</v>
      </c>
      <c r="Q402" s="56" t="s">
        <v>1359</v>
      </c>
      <c r="R402" s="56" t="s">
        <v>2515</v>
      </c>
      <c r="S402" s="56">
        <v>31</v>
      </c>
      <c r="T402" s="131">
        <v>5.5555555555555358E-3</v>
      </c>
      <c r="U402" s="130">
        <v>7.5000000000000011E-2</v>
      </c>
      <c r="V402" s="56" t="s">
        <v>1051</v>
      </c>
      <c r="W402" s="56" t="s">
        <v>1065</v>
      </c>
      <c r="X402" s="56" t="s">
        <v>1066</v>
      </c>
      <c r="Y402" s="56">
        <v>31</v>
      </c>
      <c r="Z402" s="56" t="s">
        <v>1054</v>
      </c>
      <c r="AA402" s="56" t="s">
        <v>2516</v>
      </c>
      <c r="AB402" s="56" t="s">
        <v>2517</v>
      </c>
      <c r="AC402" s="56" t="s">
        <v>1069</v>
      </c>
      <c r="AD402" s="56" t="s">
        <v>2518</v>
      </c>
      <c r="AE402" s="56" t="s">
        <v>2519</v>
      </c>
      <c r="AF402" s="56" t="s">
        <v>1060</v>
      </c>
      <c r="AG402" s="56" t="s">
        <v>2520</v>
      </c>
      <c r="AH402" s="56"/>
      <c r="AI402" s="56"/>
      <c r="AJ402" s="56"/>
      <c r="AK402" s="56"/>
      <c r="AL402" s="56"/>
      <c r="AM402" s="56"/>
      <c r="AN402" s="56"/>
      <c r="AO402" s="56"/>
      <c r="AP402" s="56"/>
      <c r="AQ402" s="131"/>
      <c r="AR402" s="130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</row>
    <row r="403" spans="1:56" x14ac:dyDescent="0.2">
      <c r="A403" s="56">
        <v>14109748</v>
      </c>
      <c r="B403" s="56">
        <v>175248657</v>
      </c>
      <c r="C403" s="56" t="s">
        <v>1384</v>
      </c>
      <c r="D403" s="56" t="s">
        <v>1385</v>
      </c>
      <c r="E403" s="56" t="s">
        <v>1047</v>
      </c>
      <c r="F403" s="56">
        <v>1</v>
      </c>
      <c r="G403" s="56">
        <v>16725</v>
      </c>
      <c r="H403" s="56" t="s">
        <v>1048</v>
      </c>
      <c r="I403" s="56" t="s">
        <v>1386</v>
      </c>
      <c r="J403" s="129">
        <v>46231</v>
      </c>
      <c r="K403" s="130">
        <v>0.19444444444444445</v>
      </c>
      <c r="L403" s="130">
        <v>0.20277777777777778</v>
      </c>
      <c r="M403" s="56" t="s">
        <v>1050</v>
      </c>
      <c r="N403" s="129">
        <v>46231</v>
      </c>
      <c r="O403" s="130">
        <v>0.24305555555555555</v>
      </c>
      <c r="P403" s="130">
        <v>0.24185185185185185</v>
      </c>
      <c r="Q403" s="56" t="s">
        <v>1050</v>
      </c>
      <c r="R403" s="56" t="s">
        <v>94</v>
      </c>
      <c r="S403" s="56">
        <v>31</v>
      </c>
      <c r="T403" s="131">
        <v>8.3333333333333315E-3</v>
      </c>
      <c r="U403" s="130">
        <v>-1.2037037037037068E-3</v>
      </c>
      <c r="V403" s="56" t="s">
        <v>1051</v>
      </c>
      <c r="W403" s="56" t="s">
        <v>1052</v>
      </c>
      <c r="X403" s="56" t="s">
        <v>1053</v>
      </c>
      <c r="Y403" s="56">
        <v>31</v>
      </c>
      <c r="Z403" s="56" t="s">
        <v>1054</v>
      </c>
      <c r="AA403" s="56" t="s">
        <v>1387</v>
      </c>
      <c r="AB403" s="56" t="s">
        <v>1257</v>
      </c>
      <c r="AC403" s="56" t="s">
        <v>1069</v>
      </c>
      <c r="AD403" s="56" t="s">
        <v>1388</v>
      </c>
      <c r="AE403" s="56" t="s">
        <v>1389</v>
      </c>
      <c r="AF403" s="56" t="s">
        <v>1060</v>
      </c>
      <c r="AG403" s="56" t="s">
        <v>1390</v>
      </c>
      <c r="AH403" s="56"/>
      <c r="AI403" s="56"/>
      <c r="AJ403" s="56"/>
      <c r="AK403" s="56"/>
      <c r="AL403" s="56"/>
      <c r="AM403" s="56"/>
      <c r="AN403" s="56"/>
      <c r="AO403" s="56"/>
      <c r="AP403" s="56"/>
      <c r="AQ403" s="131"/>
      <c r="AR403" s="130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</row>
    <row r="404" spans="1:56" x14ac:dyDescent="0.2">
      <c r="A404" s="56">
        <v>14122708</v>
      </c>
      <c r="B404" s="56">
        <v>175256250</v>
      </c>
      <c r="C404" s="56" t="s">
        <v>2132</v>
      </c>
      <c r="D404" s="56" t="s">
        <v>2133</v>
      </c>
      <c r="E404" s="56" t="s">
        <v>1047</v>
      </c>
      <c r="F404" s="56">
        <v>9</v>
      </c>
      <c r="G404" s="56">
        <v>14866</v>
      </c>
      <c r="H404" s="56" t="s">
        <v>1048</v>
      </c>
      <c r="I404" s="56" t="s">
        <v>2134</v>
      </c>
      <c r="J404" s="129">
        <v>46231</v>
      </c>
      <c r="K404" s="130">
        <v>0.19444444444444445</v>
      </c>
      <c r="L404" s="130">
        <v>0.25</v>
      </c>
      <c r="M404" s="56" t="s">
        <v>1050</v>
      </c>
      <c r="N404" s="129">
        <v>46231</v>
      </c>
      <c r="O404" s="130">
        <v>0.29166666666666669</v>
      </c>
      <c r="P404" s="56"/>
      <c r="Q404" s="56" t="s">
        <v>1286</v>
      </c>
      <c r="R404" s="56" t="s">
        <v>440</v>
      </c>
      <c r="S404" s="56">
        <v>31</v>
      </c>
      <c r="T404" s="131">
        <v>5.5555555555555552E-2</v>
      </c>
      <c r="U404" s="130">
        <v>-0.29166666666666669</v>
      </c>
      <c r="V404" s="56" t="s">
        <v>1051</v>
      </c>
      <c r="W404" s="56" t="s">
        <v>1052</v>
      </c>
      <c r="X404" s="56" t="s">
        <v>1053</v>
      </c>
      <c r="Y404" s="56">
        <v>31</v>
      </c>
      <c r="Z404" s="56" t="s">
        <v>1054</v>
      </c>
      <c r="AA404" s="56" t="s">
        <v>2135</v>
      </c>
      <c r="AB404" s="56" t="s">
        <v>1342</v>
      </c>
      <c r="AC404" s="56" t="s">
        <v>1069</v>
      </c>
      <c r="AD404" s="56" t="s">
        <v>2136</v>
      </c>
      <c r="AE404" s="56" t="s">
        <v>2137</v>
      </c>
      <c r="AF404" s="56" t="s">
        <v>1060</v>
      </c>
      <c r="AG404" s="56" t="s">
        <v>2138</v>
      </c>
      <c r="AH404" s="56"/>
      <c r="AI404" s="56"/>
      <c r="AJ404" s="56"/>
      <c r="AK404" s="56"/>
      <c r="AL404" s="56"/>
      <c r="AM404" s="56"/>
      <c r="AN404" s="56"/>
      <c r="AO404" s="56"/>
      <c r="AP404" s="56"/>
      <c r="AQ404" s="131"/>
      <c r="AR404" s="130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</row>
    <row r="405" spans="1:56" x14ac:dyDescent="0.2">
      <c r="A405" s="56"/>
      <c r="B405" s="56">
        <v>175249529</v>
      </c>
      <c r="C405" s="56" t="s">
        <v>1412</v>
      </c>
      <c r="D405" s="56" t="s">
        <v>1413</v>
      </c>
      <c r="E405" s="56" t="s">
        <v>1047</v>
      </c>
      <c r="F405" s="56">
        <v>101</v>
      </c>
      <c r="G405" s="56">
        <v>10747</v>
      </c>
      <c r="H405" s="56" t="s">
        <v>1048</v>
      </c>
      <c r="I405" s="56" t="s">
        <v>1104</v>
      </c>
      <c r="J405" s="129">
        <v>46231</v>
      </c>
      <c r="K405" s="130">
        <v>0.2013888888888889</v>
      </c>
      <c r="L405" s="130">
        <v>0.2048611111111111</v>
      </c>
      <c r="M405" s="56" t="s">
        <v>1050</v>
      </c>
      <c r="N405" s="129">
        <v>46231</v>
      </c>
      <c r="O405" s="130">
        <v>0.2673611111111111</v>
      </c>
      <c r="P405" s="130">
        <v>0.2439699074074074</v>
      </c>
      <c r="Q405" s="56" t="s">
        <v>1050</v>
      </c>
      <c r="R405" s="56" t="s">
        <v>1414</v>
      </c>
      <c r="S405" s="56">
        <v>31</v>
      </c>
      <c r="T405" s="131">
        <v>3.4722222222222099E-3</v>
      </c>
      <c r="U405" s="130">
        <v>-2.3391203703703706E-2</v>
      </c>
      <c r="V405" s="56" t="s">
        <v>1051</v>
      </c>
      <c r="W405" s="56" t="s">
        <v>1052</v>
      </c>
      <c r="X405" s="56" t="s">
        <v>1053</v>
      </c>
      <c r="Y405" s="56">
        <v>31</v>
      </c>
      <c r="Z405" s="56" t="s">
        <v>1054</v>
      </c>
      <c r="AA405" s="56" t="s">
        <v>1415</v>
      </c>
      <c r="AB405" s="56" t="s">
        <v>1106</v>
      </c>
      <c r="AC405" s="56" t="s">
        <v>1078</v>
      </c>
      <c r="AD405" s="56" t="s">
        <v>1416</v>
      </c>
      <c r="AE405" s="56" t="s">
        <v>1417</v>
      </c>
      <c r="AF405" s="56" t="s">
        <v>1060</v>
      </c>
      <c r="AG405" s="56" t="s">
        <v>1418</v>
      </c>
      <c r="AH405" s="56"/>
      <c r="AI405" s="56"/>
      <c r="AJ405" s="56"/>
      <c r="AK405" s="56"/>
      <c r="AL405" s="56"/>
      <c r="AM405" s="56"/>
      <c r="AN405" s="56"/>
      <c r="AO405" s="56"/>
      <c r="AP405" s="56"/>
      <c r="AQ405" s="131"/>
      <c r="AR405" s="130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</row>
    <row r="406" spans="1:56" x14ac:dyDescent="0.2">
      <c r="A406" s="56">
        <v>14113198</v>
      </c>
      <c r="B406" s="56">
        <v>175253142</v>
      </c>
      <c r="C406" s="56" t="s">
        <v>1391</v>
      </c>
      <c r="D406" s="56" t="s">
        <v>1392</v>
      </c>
      <c r="E406" s="56" t="s">
        <v>1047</v>
      </c>
      <c r="F406" s="56">
        <v>7</v>
      </c>
      <c r="G406" s="56">
        <v>15765</v>
      </c>
      <c r="H406" s="56" t="s">
        <v>1048</v>
      </c>
      <c r="I406" s="56" t="s">
        <v>1064</v>
      </c>
      <c r="J406" s="129">
        <v>46231</v>
      </c>
      <c r="K406" s="130">
        <v>0.2013888888888889</v>
      </c>
      <c r="L406" s="130">
        <v>0.2048611111111111</v>
      </c>
      <c r="M406" s="56" t="s">
        <v>1050</v>
      </c>
      <c r="N406" s="129">
        <v>46231</v>
      </c>
      <c r="O406" s="130">
        <v>0.25</v>
      </c>
      <c r="P406" s="130">
        <v>0.24037037037037037</v>
      </c>
      <c r="Q406" s="56" t="s">
        <v>1050</v>
      </c>
      <c r="R406" s="56" t="s">
        <v>1393</v>
      </c>
      <c r="S406" s="56">
        <v>31</v>
      </c>
      <c r="T406" s="131">
        <v>3.4722222222222099E-3</v>
      </c>
      <c r="U406" s="130">
        <v>-9.6296296296296269E-3</v>
      </c>
      <c r="V406" s="56" t="s">
        <v>1051</v>
      </c>
      <c r="W406" s="56" t="s">
        <v>1052</v>
      </c>
      <c r="X406" s="56" t="s">
        <v>1053</v>
      </c>
      <c r="Y406" s="56">
        <v>31</v>
      </c>
      <c r="Z406" s="56" t="s">
        <v>1054</v>
      </c>
      <c r="AA406" s="56" t="s">
        <v>1394</v>
      </c>
      <c r="AB406" s="56" t="s">
        <v>1068</v>
      </c>
      <c r="AC406" s="56" t="s">
        <v>1069</v>
      </c>
      <c r="AD406" s="56" t="s">
        <v>1395</v>
      </c>
      <c r="AE406" s="56" t="s">
        <v>1396</v>
      </c>
      <c r="AF406" s="56" t="s">
        <v>1060</v>
      </c>
      <c r="AG406" s="56" t="s">
        <v>2521</v>
      </c>
      <c r="AH406" s="56"/>
      <c r="AI406" s="56"/>
      <c r="AJ406" s="56"/>
      <c r="AK406" s="56"/>
      <c r="AL406" s="56"/>
      <c r="AM406" s="56"/>
      <c r="AN406" s="56"/>
      <c r="AO406" s="56"/>
      <c r="AP406" s="56"/>
      <c r="AQ406" s="131"/>
      <c r="AR406" s="130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</row>
    <row r="407" spans="1:56" x14ac:dyDescent="0.2">
      <c r="A407" s="56"/>
      <c r="B407" s="56">
        <v>175249693</v>
      </c>
      <c r="C407" s="56" t="s">
        <v>2146</v>
      </c>
      <c r="D407" s="56" t="s">
        <v>2522</v>
      </c>
      <c r="E407" s="56" t="s">
        <v>1047</v>
      </c>
      <c r="F407" s="56">
        <v>1</v>
      </c>
      <c r="G407" s="56">
        <v>11942</v>
      </c>
      <c r="H407" s="56" t="s">
        <v>1048</v>
      </c>
      <c r="I407" s="56" t="s">
        <v>2134</v>
      </c>
      <c r="J407" s="129">
        <v>46231</v>
      </c>
      <c r="K407" s="130">
        <v>0.20833333333333334</v>
      </c>
      <c r="L407" s="130">
        <v>0.2388888888888889</v>
      </c>
      <c r="M407" s="56" t="s">
        <v>1050</v>
      </c>
      <c r="N407" s="129">
        <v>46231</v>
      </c>
      <c r="O407" s="130">
        <v>0.29166666666666669</v>
      </c>
      <c r="P407" s="130">
        <v>0.24912037037037038</v>
      </c>
      <c r="Q407" s="56" t="s">
        <v>1050</v>
      </c>
      <c r="R407" s="56" t="s">
        <v>1414</v>
      </c>
      <c r="S407" s="56">
        <v>31</v>
      </c>
      <c r="T407" s="131">
        <v>3.0555555555555558E-2</v>
      </c>
      <c r="U407" s="130">
        <v>-4.2546296296296304E-2</v>
      </c>
      <c r="V407" s="56" t="s">
        <v>1051</v>
      </c>
      <c r="W407" s="56" t="s">
        <v>1052</v>
      </c>
      <c r="X407" s="56" t="s">
        <v>1053</v>
      </c>
      <c r="Y407" s="56">
        <v>31</v>
      </c>
      <c r="Z407" s="56" t="s">
        <v>1054</v>
      </c>
      <c r="AA407" s="56" t="s">
        <v>2523</v>
      </c>
      <c r="AB407" s="56" t="s">
        <v>1342</v>
      </c>
      <c r="AC407" s="56" t="s">
        <v>1069</v>
      </c>
      <c r="AD407" s="56" t="s">
        <v>2524</v>
      </c>
      <c r="AE407" s="56" t="s">
        <v>2150</v>
      </c>
      <c r="AF407" s="56" t="s">
        <v>1060</v>
      </c>
      <c r="AG407" s="56" t="s">
        <v>2525</v>
      </c>
      <c r="AH407" s="56"/>
      <c r="AI407" s="56"/>
      <c r="AJ407" s="56"/>
      <c r="AK407" s="56"/>
      <c r="AL407" s="56"/>
      <c r="AM407" s="56"/>
      <c r="AN407" s="56"/>
      <c r="AO407" s="56"/>
      <c r="AP407" s="56"/>
      <c r="AQ407" s="131"/>
      <c r="AR407" s="130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</row>
    <row r="408" spans="1:56" x14ac:dyDescent="0.2">
      <c r="A408" s="56">
        <v>14108775</v>
      </c>
      <c r="B408" s="56">
        <v>175249694</v>
      </c>
      <c r="C408" s="56" t="s">
        <v>2152</v>
      </c>
      <c r="D408" s="56" t="s">
        <v>2526</v>
      </c>
      <c r="E408" s="56" t="s">
        <v>1047</v>
      </c>
      <c r="F408" s="56">
        <v>2</v>
      </c>
      <c r="G408" s="56">
        <v>11853</v>
      </c>
      <c r="H408" s="56" t="s">
        <v>1048</v>
      </c>
      <c r="I408" s="56" t="s">
        <v>2134</v>
      </c>
      <c r="J408" s="129">
        <v>46231</v>
      </c>
      <c r="K408" s="130">
        <v>0.20833333333333334</v>
      </c>
      <c r="L408" s="130">
        <v>0.23333333333333334</v>
      </c>
      <c r="M408" s="56" t="s">
        <v>1050</v>
      </c>
      <c r="N408" s="129">
        <v>46231</v>
      </c>
      <c r="O408" s="130">
        <v>0.29166666666666669</v>
      </c>
      <c r="P408" s="130">
        <v>0.25555555555555554</v>
      </c>
      <c r="Q408" s="56" t="s">
        <v>1050</v>
      </c>
      <c r="R408" s="56" t="s">
        <v>178</v>
      </c>
      <c r="S408" s="56">
        <v>31</v>
      </c>
      <c r="T408" s="131">
        <v>2.4999999999999994E-2</v>
      </c>
      <c r="U408" s="130">
        <v>-3.6111111111111149E-2</v>
      </c>
      <c r="V408" s="56" t="s">
        <v>1051</v>
      </c>
      <c r="W408" s="56" t="s">
        <v>1052</v>
      </c>
      <c r="X408" s="56" t="s">
        <v>1053</v>
      </c>
      <c r="Y408" s="56">
        <v>31</v>
      </c>
      <c r="Z408" s="56" t="s">
        <v>1054</v>
      </c>
      <c r="AA408" s="56" t="s">
        <v>2527</v>
      </c>
      <c r="AB408" s="56" t="s">
        <v>1342</v>
      </c>
      <c r="AC408" s="56" t="s">
        <v>1069</v>
      </c>
      <c r="AD408" s="56" t="s">
        <v>2528</v>
      </c>
      <c r="AE408" s="56" t="s">
        <v>2156</v>
      </c>
      <c r="AF408" s="56" t="s">
        <v>1060</v>
      </c>
      <c r="AG408" s="56" t="s">
        <v>2529</v>
      </c>
      <c r="AH408" s="56"/>
      <c r="AI408" s="56"/>
      <c r="AJ408" s="56"/>
      <c r="AK408" s="56"/>
      <c r="AL408" s="56"/>
      <c r="AM408" s="56"/>
      <c r="AN408" s="56"/>
      <c r="AO408" s="56"/>
      <c r="AP408" s="56"/>
      <c r="AQ408" s="131"/>
      <c r="AR408" s="130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</row>
    <row r="409" spans="1:56" x14ac:dyDescent="0.2">
      <c r="A409" s="56"/>
      <c r="B409" s="56">
        <v>175249696</v>
      </c>
      <c r="C409" s="56" t="s">
        <v>2158</v>
      </c>
      <c r="D409" s="56" t="s">
        <v>2147</v>
      </c>
      <c r="E409" s="56" t="s">
        <v>1047</v>
      </c>
      <c r="F409" s="56">
        <v>4</v>
      </c>
      <c r="G409" s="56">
        <v>7943</v>
      </c>
      <c r="H409" s="56" t="s">
        <v>1048</v>
      </c>
      <c r="I409" s="56" t="s">
        <v>2134</v>
      </c>
      <c r="J409" s="129">
        <v>46231</v>
      </c>
      <c r="K409" s="130">
        <v>0.20833333333333334</v>
      </c>
      <c r="L409" s="130">
        <v>0.24513888888888888</v>
      </c>
      <c r="M409" s="56" t="s">
        <v>1050</v>
      </c>
      <c r="N409" s="129">
        <v>46231</v>
      </c>
      <c r="O409" s="130">
        <v>0.29166666666666669</v>
      </c>
      <c r="P409" s="130">
        <v>0.2630439814814815</v>
      </c>
      <c r="Q409" s="56" t="s">
        <v>1050</v>
      </c>
      <c r="R409" s="56" t="s">
        <v>1414</v>
      </c>
      <c r="S409" s="56">
        <v>31</v>
      </c>
      <c r="T409" s="131">
        <v>3.6805555555555536E-2</v>
      </c>
      <c r="U409" s="130">
        <v>-2.8622685185185182E-2</v>
      </c>
      <c r="V409" s="56" t="s">
        <v>1051</v>
      </c>
      <c r="W409" s="56" t="s">
        <v>1052</v>
      </c>
      <c r="X409" s="56" t="s">
        <v>1053</v>
      </c>
      <c r="Y409" s="56">
        <v>31</v>
      </c>
      <c r="Z409" s="56" t="s">
        <v>1054</v>
      </c>
      <c r="AA409" s="56" t="s">
        <v>2148</v>
      </c>
      <c r="AB409" s="56" t="s">
        <v>1342</v>
      </c>
      <c r="AC409" s="56" t="s">
        <v>1069</v>
      </c>
      <c r="AD409" s="56" t="s">
        <v>2149</v>
      </c>
      <c r="AE409" s="56" t="s">
        <v>2162</v>
      </c>
      <c r="AF409" s="56" t="s">
        <v>1060</v>
      </c>
      <c r="AG409" s="56" t="s">
        <v>2530</v>
      </c>
      <c r="AH409" s="56"/>
      <c r="AI409" s="56"/>
      <c r="AJ409" s="56"/>
      <c r="AK409" s="56"/>
      <c r="AL409" s="56"/>
      <c r="AM409" s="56"/>
      <c r="AN409" s="56"/>
      <c r="AO409" s="56"/>
      <c r="AP409" s="56"/>
      <c r="AQ409" s="131"/>
      <c r="AR409" s="130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</row>
    <row r="410" spans="1:56" x14ac:dyDescent="0.2">
      <c r="A410" s="56">
        <v>14119324</v>
      </c>
      <c r="B410" s="56">
        <v>175257555</v>
      </c>
      <c r="C410" s="56" t="s">
        <v>1878</v>
      </c>
      <c r="D410" s="56" t="s">
        <v>1683</v>
      </c>
      <c r="E410" s="56" t="s">
        <v>1047</v>
      </c>
      <c r="F410" s="56">
        <v>204</v>
      </c>
      <c r="G410" s="56">
        <v>12948</v>
      </c>
      <c r="H410" s="56" t="s">
        <v>1048</v>
      </c>
      <c r="I410" s="56" t="s">
        <v>1104</v>
      </c>
      <c r="J410" s="129">
        <v>46231</v>
      </c>
      <c r="K410" s="130">
        <v>0.20833333333333334</v>
      </c>
      <c r="L410" s="130">
        <v>0.21458333333333332</v>
      </c>
      <c r="M410" s="56" t="s">
        <v>1050</v>
      </c>
      <c r="N410" s="129">
        <v>46231</v>
      </c>
      <c r="O410" s="130">
        <v>0.2673611111111111</v>
      </c>
      <c r="P410" s="130">
        <v>0.24927083333333333</v>
      </c>
      <c r="Q410" s="56" t="s">
        <v>1050</v>
      </c>
      <c r="R410" s="56" t="s">
        <v>241</v>
      </c>
      <c r="S410" s="56">
        <v>31</v>
      </c>
      <c r="T410" s="131">
        <v>6.2499999999999778E-3</v>
      </c>
      <c r="U410" s="130">
        <v>-1.8090277777777775E-2</v>
      </c>
      <c r="V410" s="56" t="s">
        <v>1051</v>
      </c>
      <c r="W410" s="56" t="s">
        <v>1052</v>
      </c>
      <c r="X410" s="56" t="s">
        <v>1053</v>
      </c>
      <c r="Y410" s="56">
        <v>31</v>
      </c>
      <c r="Z410" s="56" t="s">
        <v>1054</v>
      </c>
      <c r="AA410" s="56" t="s">
        <v>1684</v>
      </c>
      <c r="AB410" s="56" t="s">
        <v>1106</v>
      </c>
      <c r="AC410" s="56" t="s">
        <v>1078</v>
      </c>
      <c r="AD410" s="56" t="s">
        <v>1685</v>
      </c>
      <c r="AE410" s="56" t="s">
        <v>1686</v>
      </c>
      <c r="AF410" s="56" t="s">
        <v>1060</v>
      </c>
      <c r="AG410" s="56" t="s">
        <v>1879</v>
      </c>
      <c r="AH410" s="56"/>
      <c r="AI410" s="56"/>
      <c r="AJ410" s="56"/>
      <c r="AK410" s="56"/>
      <c r="AL410" s="56"/>
      <c r="AM410" s="56"/>
      <c r="AN410" s="56"/>
      <c r="AO410" s="56"/>
      <c r="AP410" s="56"/>
      <c r="AQ410" s="131"/>
      <c r="AR410" s="130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</row>
    <row r="411" spans="1:56" x14ac:dyDescent="0.2">
      <c r="A411" s="56"/>
      <c r="B411" s="56">
        <v>175261083</v>
      </c>
      <c r="C411" s="56" t="s">
        <v>2531</v>
      </c>
      <c r="D411" s="56" t="s">
        <v>2532</v>
      </c>
      <c r="E411" s="56" t="s">
        <v>1047</v>
      </c>
      <c r="F411" s="56">
        <v>39</v>
      </c>
      <c r="G411" s="56">
        <v>4396</v>
      </c>
      <c r="H411" s="56" t="s">
        <v>1048</v>
      </c>
      <c r="I411" s="56" t="s">
        <v>1090</v>
      </c>
      <c r="J411" s="129">
        <v>46231</v>
      </c>
      <c r="K411" s="130">
        <v>0.21180555555555555</v>
      </c>
      <c r="L411" s="130">
        <v>0.21527777777777779</v>
      </c>
      <c r="M411" s="56" t="s">
        <v>1050</v>
      </c>
      <c r="N411" s="129">
        <v>46231</v>
      </c>
      <c r="O411" s="130">
        <v>0.2673611111111111</v>
      </c>
      <c r="P411" s="130">
        <v>0.260625</v>
      </c>
      <c r="Q411" s="56" t="s">
        <v>1050</v>
      </c>
      <c r="R411" s="56" t="s">
        <v>1414</v>
      </c>
      <c r="S411" s="56">
        <v>31</v>
      </c>
      <c r="T411" s="131">
        <v>3.4722222222222376E-3</v>
      </c>
      <c r="U411" s="130">
        <v>-6.7361111111111094E-3</v>
      </c>
      <c r="V411" s="56" t="s">
        <v>1051</v>
      </c>
      <c r="W411" s="56" t="s">
        <v>1052</v>
      </c>
      <c r="X411" s="56" t="s">
        <v>1053</v>
      </c>
      <c r="Y411" s="56">
        <v>31</v>
      </c>
      <c r="Z411" s="56" t="s">
        <v>1054</v>
      </c>
      <c r="AA411" s="56" t="s">
        <v>2533</v>
      </c>
      <c r="AB411" s="56" t="s">
        <v>1092</v>
      </c>
      <c r="AC411" s="56" t="s">
        <v>1078</v>
      </c>
      <c r="AD411" s="56" t="s">
        <v>2534</v>
      </c>
      <c r="AE411" s="56" t="s">
        <v>2535</v>
      </c>
      <c r="AF411" s="56" t="s">
        <v>1060</v>
      </c>
      <c r="AG411" s="56" t="s">
        <v>2536</v>
      </c>
      <c r="AH411" s="56"/>
      <c r="AI411" s="56"/>
      <c r="AJ411" s="56"/>
      <c r="AK411" s="56"/>
      <c r="AL411" s="56"/>
      <c r="AM411" s="56"/>
      <c r="AN411" s="56"/>
      <c r="AO411" s="56"/>
      <c r="AP411" s="56"/>
      <c r="AQ411" s="131"/>
      <c r="AR411" s="130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</row>
    <row r="412" spans="1:56" x14ac:dyDescent="0.2">
      <c r="A412" s="56">
        <v>14107217</v>
      </c>
      <c r="B412" s="56">
        <v>175261163</v>
      </c>
      <c r="C412" s="56" t="s">
        <v>2191</v>
      </c>
      <c r="D412" s="56" t="s">
        <v>1316</v>
      </c>
      <c r="E412" s="56" t="s">
        <v>1047</v>
      </c>
      <c r="F412" s="56">
        <v>79</v>
      </c>
      <c r="G412" s="56">
        <v>6885</v>
      </c>
      <c r="H412" s="56" t="s">
        <v>1048</v>
      </c>
      <c r="I412" s="56" t="s">
        <v>1090</v>
      </c>
      <c r="J412" s="129">
        <v>46231</v>
      </c>
      <c r="K412" s="130">
        <v>0.21527777777777779</v>
      </c>
      <c r="L412" s="130">
        <v>0.21875</v>
      </c>
      <c r="M412" s="56" t="s">
        <v>1050</v>
      </c>
      <c r="N412" s="129">
        <v>46231</v>
      </c>
      <c r="O412" s="130">
        <v>0.2673611111111111</v>
      </c>
      <c r="P412" s="130">
        <v>0.25347222222222221</v>
      </c>
      <c r="Q412" s="56" t="s">
        <v>1050</v>
      </c>
      <c r="R412" s="56" t="s">
        <v>59</v>
      </c>
      <c r="S412" s="56">
        <v>31</v>
      </c>
      <c r="T412" s="131">
        <v>3.4722222222222099E-3</v>
      </c>
      <c r="U412" s="130">
        <v>-1.3888888888888895E-2</v>
      </c>
      <c r="V412" s="56" t="s">
        <v>1051</v>
      </c>
      <c r="W412" s="56" t="s">
        <v>1052</v>
      </c>
      <c r="X412" s="56" t="s">
        <v>1053</v>
      </c>
      <c r="Y412" s="56">
        <v>31</v>
      </c>
      <c r="Z412" s="56" t="s">
        <v>1054</v>
      </c>
      <c r="AA412" s="56" t="s">
        <v>1317</v>
      </c>
      <c r="AB412" s="56" t="s">
        <v>1092</v>
      </c>
      <c r="AC412" s="56" t="s">
        <v>1078</v>
      </c>
      <c r="AD412" s="56" t="s">
        <v>1318</v>
      </c>
      <c r="AE412" s="56" t="s">
        <v>1319</v>
      </c>
      <c r="AF412" s="56" t="s">
        <v>1060</v>
      </c>
      <c r="AG412" s="56" t="s">
        <v>2192</v>
      </c>
      <c r="AH412" s="56"/>
      <c r="AI412" s="56"/>
      <c r="AJ412" s="56"/>
      <c r="AK412" s="56"/>
      <c r="AL412" s="56"/>
      <c r="AM412" s="56"/>
      <c r="AN412" s="56"/>
      <c r="AO412" s="56"/>
      <c r="AP412" s="56"/>
      <c r="AQ412" s="131"/>
      <c r="AR412" s="130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</row>
    <row r="413" spans="1:56" x14ac:dyDescent="0.2">
      <c r="A413" s="56">
        <v>14100718</v>
      </c>
      <c r="B413" s="56">
        <v>175261605</v>
      </c>
      <c r="C413" s="56" t="s">
        <v>2371</v>
      </c>
      <c r="D413" s="56" t="s">
        <v>2372</v>
      </c>
      <c r="E413" s="56" t="s">
        <v>1047</v>
      </c>
      <c r="F413" s="56">
        <v>231</v>
      </c>
      <c r="G413" s="56">
        <v>6782</v>
      </c>
      <c r="H413" s="56" t="s">
        <v>1048</v>
      </c>
      <c r="I413" s="56" t="s">
        <v>1104</v>
      </c>
      <c r="J413" s="129">
        <v>46231</v>
      </c>
      <c r="K413" s="130">
        <v>0.21527777777777779</v>
      </c>
      <c r="L413" s="130">
        <v>0.21944444444444444</v>
      </c>
      <c r="M413" s="56" t="s">
        <v>1050</v>
      </c>
      <c r="N413" s="129">
        <v>46231</v>
      </c>
      <c r="O413" s="130">
        <v>0.2673611111111111</v>
      </c>
      <c r="P413" s="130">
        <v>0.24769675925925927</v>
      </c>
      <c r="Q413" s="56" t="s">
        <v>1050</v>
      </c>
      <c r="R413" s="56" t="s">
        <v>8</v>
      </c>
      <c r="S413" s="56">
        <v>31</v>
      </c>
      <c r="T413" s="131">
        <v>4.1666666666666519E-3</v>
      </c>
      <c r="U413" s="130">
        <v>-1.9664351851851836E-2</v>
      </c>
      <c r="V413" s="56" t="s">
        <v>1051</v>
      </c>
      <c r="W413" s="56" t="s">
        <v>1052</v>
      </c>
      <c r="X413" s="56" t="s">
        <v>1053</v>
      </c>
      <c r="Y413" s="56">
        <v>31</v>
      </c>
      <c r="Z413" s="56" t="s">
        <v>1054</v>
      </c>
      <c r="AA413" s="56" t="s">
        <v>2373</v>
      </c>
      <c r="AB413" s="56" t="s">
        <v>1106</v>
      </c>
      <c r="AC413" s="56" t="s">
        <v>1078</v>
      </c>
      <c r="AD413" s="56" t="s">
        <v>2374</v>
      </c>
      <c r="AE413" s="56" t="s">
        <v>2375</v>
      </c>
      <c r="AF413" s="56" t="s">
        <v>1060</v>
      </c>
      <c r="AG413" s="56" t="s">
        <v>2376</v>
      </c>
      <c r="AH413" s="56"/>
      <c r="AI413" s="56"/>
      <c r="AJ413" s="56"/>
      <c r="AK413" s="56"/>
      <c r="AL413" s="56"/>
      <c r="AM413" s="56"/>
      <c r="AN413" s="56"/>
      <c r="AO413" s="56"/>
      <c r="AP413" s="56"/>
      <c r="AQ413" s="131"/>
      <c r="AR413" s="130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</row>
    <row r="414" spans="1:56" x14ac:dyDescent="0.2">
      <c r="A414" s="56">
        <v>14107552</v>
      </c>
      <c r="B414" s="56">
        <v>175261717</v>
      </c>
      <c r="C414" s="56" t="s">
        <v>2193</v>
      </c>
      <c r="D414" s="56" t="s">
        <v>1703</v>
      </c>
      <c r="E414" s="56" t="s">
        <v>1047</v>
      </c>
      <c r="F414" s="56">
        <v>136</v>
      </c>
      <c r="G414" s="56">
        <v>11945</v>
      </c>
      <c r="H414" s="56" t="s">
        <v>1048</v>
      </c>
      <c r="I414" s="56" t="s">
        <v>1172</v>
      </c>
      <c r="J414" s="129">
        <v>46231</v>
      </c>
      <c r="K414" s="130">
        <v>0.21736111111111112</v>
      </c>
      <c r="L414" s="130">
        <v>0.22638888888888889</v>
      </c>
      <c r="M414" s="56" t="s">
        <v>1050</v>
      </c>
      <c r="N414" s="129">
        <v>46231</v>
      </c>
      <c r="O414" s="130">
        <v>0.28125</v>
      </c>
      <c r="P414" s="130">
        <v>0.28290509259259261</v>
      </c>
      <c r="Q414" s="56" t="s">
        <v>1050</v>
      </c>
      <c r="R414" s="56" t="s">
        <v>63</v>
      </c>
      <c r="S414" s="56">
        <v>31</v>
      </c>
      <c r="T414" s="131">
        <v>9.0277777777777735E-3</v>
      </c>
      <c r="U414" s="130">
        <v>1.6550925925926108E-3</v>
      </c>
      <c r="V414" s="56" t="s">
        <v>1051</v>
      </c>
      <c r="W414" s="56" t="s">
        <v>1052</v>
      </c>
      <c r="X414" s="56" t="s">
        <v>1053</v>
      </c>
      <c r="Y414" s="56">
        <v>31</v>
      </c>
      <c r="Z414" s="56" t="s">
        <v>1054</v>
      </c>
      <c r="AA414" s="56" t="s">
        <v>1704</v>
      </c>
      <c r="AB414" s="56" t="s">
        <v>1210</v>
      </c>
      <c r="AC414" s="56" t="s">
        <v>1057</v>
      </c>
      <c r="AD414" s="56" t="s">
        <v>1705</v>
      </c>
      <c r="AE414" s="56" t="s">
        <v>1706</v>
      </c>
      <c r="AF414" s="56" t="s">
        <v>1060</v>
      </c>
      <c r="AG414" s="56" t="s">
        <v>2194</v>
      </c>
      <c r="AH414" s="56"/>
      <c r="AI414" s="56"/>
      <c r="AJ414" s="56"/>
      <c r="AK414" s="56"/>
      <c r="AL414" s="56"/>
      <c r="AM414" s="56"/>
      <c r="AN414" s="56"/>
      <c r="AO414" s="56"/>
      <c r="AP414" s="56"/>
      <c r="AQ414" s="131"/>
      <c r="AR414" s="130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</row>
    <row r="415" spans="1:56" x14ac:dyDescent="0.2">
      <c r="A415" s="56">
        <v>14103183</v>
      </c>
      <c r="B415" s="56">
        <v>175245171</v>
      </c>
      <c r="C415" s="56" t="s">
        <v>2195</v>
      </c>
      <c r="D415" s="56" t="s">
        <v>1339</v>
      </c>
      <c r="E415" s="56" t="s">
        <v>1047</v>
      </c>
      <c r="F415" s="56">
        <v>1</v>
      </c>
      <c r="G415" s="56">
        <v>15313</v>
      </c>
      <c r="H415" s="56" t="s">
        <v>1048</v>
      </c>
      <c r="I415" s="56" t="s">
        <v>1340</v>
      </c>
      <c r="J415" s="129">
        <v>46231</v>
      </c>
      <c r="K415" s="130">
        <v>0.21875</v>
      </c>
      <c r="L415" s="130">
        <v>0.22222222222222221</v>
      </c>
      <c r="M415" s="56" t="s">
        <v>1050</v>
      </c>
      <c r="N415" s="129">
        <v>46231</v>
      </c>
      <c r="O415" s="130">
        <v>0.23958333333333334</v>
      </c>
      <c r="P415" s="130">
        <v>0.23355324074074074</v>
      </c>
      <c r="Q415" s="56" t="s">
        <v>1050</v>
      </c>
      <c r="R415" s="56" t="s">
        <v>35</v>
      </c>
      <c r="S415" s="56">
        <v>31</v>
      </c>
      <c r="T415" s="131">
        <v>3.4722222222222099E-3</v>
      </c>
      <c r="U415" s="130">
        <v>-6.0300925925926008E-3</v>
      </c>
      <c r="V415" s="56" t="s">
        <v>1051</v>
      </c>
      <c r="W415" s="56" t="s">
        <v>1052</v>
      </c>
      <c r="X415" s="56" t="s">
        <v>1053</v>
      </c>
      <c r="Y415" s="56">
        <v>31</v>
      </c>
      <c r="Z415" s="56" t="s">
        <v>1054</v>
      </c>
      <c r="AA415" s="56" t="s">
        <v>1341</v>
      </c>
      <c r="AB415" s="56" t="s">
        <v>1342</v>
      </c>
      <c r="AC415" s="56" t="s">
        <v>1069</v>
      </c>
      <c r="AD415" s="56" t="s">
        <v>1343</v>
      </c>
      <c r="AE415" s="56" t="s">
        <v>1344</v>
      </c>
      <c r="AF415" s="56" t="s">
        <v>1060</v>
      </c>
      <c r="AG415" s="56" t="s">
        <v>2196</v>
      </c>
      <c r="AH415" s="56"/>
      <c r="AI415" s="56"/>
      <c r="AJ415" s="56"/>
      <c r="AK415" s="56"/>
      <c r="AL415" s="56"/>
      <c r="AM415" s="56"/>
      <c r="AN415" s="56"/>
      <c r="AO415" s="56"/>
      <c r="AP415" s="56"/>
      <c r="AQ415" s="131"/>
      <c r="AR415" s="130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</row>
    <row r="416" spans="1:56" x14ac:dyDescent="0.2">
      <c r="A416" s="56">
        <v>14123568</v>
      </c>
      <c r="B416" s="56">
        <v>175259344</v>
      </c>
      <c r="C416" s="56" t="s">
        <v>1894</v>
      </c>
      <c r="D416" s="56" t="s">
        <v>1895</v>
      </c>
      <c r="E416" s="56" t="s">
        <v>1047</v>
      </c>
      <c r="F416" s="56">
        <v>221</v>
      </c>
      <c r="G416" s="56">
        <v>6985</v>
      </c>
      <c r="H416" s="56" t="s">
        <v>1048</v>
      </c>
      <c r="I416" s="56" t="s">
        <v>1676</v>
      </c>
      <c r="J416" s="129">
        <v>46231</v>
      </c>
      <c r="K416" s="130">
        <v>0.22222222222222221</v>
      </c>
      <c r="L416" s="130">
        <v>0.2298611111111111</v>
      </c>
      <c r="M416" s="56" t="s">
        <v>1050</v>
      </c>
      <c r="N416" s="129">
        <v>46231</v>
      </c>
      <c r="O416" s="130">
        <v>0.2673611111111111</v>
      </c>
      <c r="P416" s="130">
        <v>0.26069444444444445</v>
      </c>
      <c r="Q416" s="56" t="s">
        <v>1050</v>
      </c>
      <c r="R416" s="56" t="s">
        <v>533</v>
      </c>
      <c r="S416" s="56">
        <v>31</v>
      </c>
      <c r="T416" s="131">
        <v>7.6388888888888895E-3</v>
      </c>
      <c r="U416" s="130">
        <v>-6.6666666666666541E-3</v>
      </c>
      <c r="V416" s="56" t="s">
        <v>1051</v>
      </c>
      <c r="W416" s="56" t="s">
        <v>1052</v>
      </c>
      <c r="X416" s="56" t="s">
        <v>1053</v>
      </c>
      <c r="Y416" s="56">
        <v>31</v>
      </c>
      <c r="Z416" s="56" t="s">
        <v>1054</v>
      </c>
      <c r="AA416" s="56" t="s">
        <v>1896</v>
      </c>
      <c r="AB416" s="56" t="s">
        <v>1678</v>
      </c>
      <c r="AC416" s="56" t="s">
        <v>1078</v>
      </c>
      <c r="AD416" s="56" t="s">
        <v>1897</v>
      </c>
      <c r="AE416" s="56" t="s">
        <v>1898</v>
      </c>
      <c r="AF416" s="56" t="s">
        <v>1060</v>
      </c>
      <c r="AG416" s="56" t="s">
        <v>1899</v>
      </c>
      <c r="AH416" s="56"/>
      <c r="AI416" s="56"/>
      <c r="AJ416" s="56"/>
      <c r="AK416" s="56"/>
      <c r="AL416" s="56"/>
      <c r="AM416" s="56"/>
      <c r="AN416" s="56"/>
      <c r="AO416" s="56"/>
      <c r="AP416" s="56"/>
      <c r="AQ416" s="131"/>
      <c r="AR416" s="130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</row>
    <row r="417" spans="1:56" x14ac:dyDescent="0.2">
      <c r="A417" s="56">
        <v>14112174</v>
      </c>
      <c r="B417" s="56">
        <v>175255809</v>
      </c>
      <c r="C417" s="56" t="s">
        <v>2537</v>
      </c>
      <c r="D417" s="56" t="s">
        <v>2255</v>
      </c>
      <c r="E417" s="56" t="s">
        <v>1047</v>
      </c>
      <c r="F417" s="56">
        <v>67</v>
      </c>
      <c r="G417" s="56">
        <v>13410</v>
      </c>
      <c r="H417" s="56" t="s">
        <v>1048</v>
      </c>
      <c r="I417" s="56" t="s">
        <v>1172</v>
      </c>
      <c r="J417" s="129">
        <v>46231</v>
      </c>
      <c r="K417" s="130">
        <v>0.22569444444444445</v>
      </c>
      <c r="L417" s="130">
        <v>0.2298611111111111</v>
      </c>
      <c r="M417" s="56" t="s">
        <v>1050</v>
      </c>
      <c r="N417" s="129">
        <v>46231</v>
      </c>
      <c r="O417" s="130">
        <v>0.28125</v>
      </c>
      <c r="P417" s="130">
        <v>0.27241898148148147</v>
      </c>
      <c r="Q417" s="56" t="s">
        <v>1050</v>
      </c>
      <c r="R417" s="56" t="s">
        <v>114</v>
      </c>
      <c r="S417" s="56">
        <v>31</v>
      </c>
      <c r="T417" s="131">
        <v>4.1666666666666519E-3</v>
      </c>
      <c r="U417" s="130">
        <v>-8.8310185185185297E-3</v>
      </c>
      <c r="V417" s="56" t="s">
        <v>1051</v>
      </c>
      <c r="W417" s="56" t="s">
        <v>1052</v>
      </c>
      <c r="X417" s="56" t="s">
        <v>1053</v>
      </c>
      <c r="Y417" s="56">
        <v>31</v>
      </c>
      <c r="Z417" s="56" t="s">
        <v>1054</v>
      </c>
      <c r="AA417" s="56" t="s">
        <v>2256</v>
      </c>
      <c r="AB417" s="56" t="s">
        <v>1210</v>
      </c>
      <c r="AC417" s="56" t="s">
        <v>1057</v>
      </c>
      <c r="AD417" s="56" t="s">
        <v>2257</v>
      </c>
      <c r="AE417" s="56" t="s">
        <v>2258</v>
      </c>
      <c r="AF417" s="56" t="s">
        <v>1060</v>
      </c>
      <c r="AG417" s="56" t="s">
        <v>2538</v>
      </c>
      <c r="AH417" s="56"/>
      <c r="AI417" s="56"/>
      <c r="AJ417" s="56"/>
      <c r="AK417" s="56"/>
      <c r="AL417" s="56"/>
      <c r="AM417" s="56"/>
      <c r="AN417" s="56"/>
      <c r="AO417" s="56"/>
      <c r="AP417" s="56"/>
      <c r="AQ417" s="131"/>
      <c r="AR417" s="130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</row>
    <row r="418" spans="1:56" x14ac:dyDescent="0.2">
      <c r="A418" s="56">
        <v>14121158</v>
      </c>
      <c r="B418" s="56">
        <v>175261743</v>
      </c>
      <c r="C418" s="56" t="s">
        <v>1508</v>
      </c>
      <c r="D418" s="56" t="s">
        <v>1509</v>
      </c>
      <c r="E418" s="56" t="s">
        <v>1047</v>
      </c>
      <c r="F418" s="56">
        <v>91</v>
      </c>
      <c r="G418" s="56">
        <v>4532</v>
      </c>
      <c r="H418" s="56" t="s">
        <v>1048</v>
      </c>
      <c r="I418" s="56" t="s">
        <v>1090</v>
      </c>
      <c r="J418" s="129">
        <v>46231</v>
      </c>
      <c r="K418" s="130">
        <v>0.22569444444444445</v>
      </c>
      <c r="L418" s="130">
        <v>0.22916666666666666</v>
      </c>
      <c r="M418" s="56" t="s">
        <v>1050</v>
      </c>
      <c r="N418" s="129">
        <v>46231</v>
      </c>
      <c r="O418" s="130">
        <v>0.2673611111111111</v>
      </c>
      <c r="P418" s="130">
        <v>0.25214120370370369</v>
      </c>
      <c r="Q418" s="56" t="s">
        <v>1050</v>
      </c>
      <c r="R418" s="56" t="s">
        <v>317</v>
      </c>
      <c r="S418" s="56">
        <v>31</v>
      </c>
      <c r="T418" s="131">
        <v>3.4722222222222099E-3</v>
      </c>
      <c r="U418" s="130">
        <v>-1.5219907407407418E-2</v>
      </c>
      <c r="V418" s="56" t="s">
        <v>1051</v>
      </c>
      <c r="W418" s="56" t="s">
        <v>1052</v>
      </c>
      <c r="X418" s="56" t="s">
        <v>1053</v>
      </c>
      <c r="Y418" s="56">
        <v>31</v>
      </c>
      <c r="Z418" s="56" t="s">
        <v>1054</v>
      </c>
      <c r="AA418" s="56" t="s">
        <v>1510</v>
      </c>
      <c r="AB418" s="56" t="s">
        <v>1092</v>
      </c>
      <c r="AC418" s="56" t="s">
        <v>1078</v>
      </c>
      <c r="AD418" s="56" t="s">
        <v>1511</v>
      </c>
      <c r="AE418" s="56" t="s">
        <v>1512</v>
      </c>
      <c r="AF418" s="56" t="s">
        <v>1060</v>
      </c>
      <c r="AG418" s="56" t="s">
        <v>1513</v>
      </c>
      <c r="AH418" s="56"/>
      <c r="AI418" s="56"/>
      <c r="AJ418" s="56"/>
      <c r="AK418" s="56"/>
      <c r="AL418" s="56"/>
      <c r="AM418" s="56"/>
      <c r="AN418" s="56"/>
      <c r="AO418" s="56"/>
      <c r="AP418" s="56"/>
      <c r="AQ418" s="131"/>
      <c r="AR418" s="130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</row>
    <row r="419" spans="1:56" x14ac:dyDescent="0.2">
      <c r="A419" s="56">
        <v>14102701</v>
      </c>
      <c r="B419" s="56">
        <v>175238721</v>
      </c>
      <c r="C419" s="56" t="s">
        <v>2539</v>
      </c>
      <c r="D419" s="56" t="s">
        <v>2540</v>
      </c>
      <c r="E419" s="56" t="s">
        <v>1047</v>
      </c>
      <c r="F419" s="56">
        <v>6</v>
      </c>
      <c r="G419" s="56">
        <v>5720</v>
      </c>
      <c r="H419" s="56" t="s">
        <v>1048</v>
      </c>
      <c r="I419" s="56" t="s">
        <v>1192</v>
      </c>
      <c r="J419" s="129">
        <v>46231</v>
      </c>
      <c r="K419" s="130">
        <v>0.22916666666666666</v>
      </c>
      <c r="L419" s="130">
        <v>0.3034722222222222</v>
      </c>
      <c r="M419" s="56" t="s">
        <v>1050</v>
      </c>
      <c r="N419" s="129">
        <v>46231</v>
      </c>
      <c r="O419" s="130">
        <v>0.27083333333333331</v>
      </c>
      <c r="P419" s="56"/>
      <c r="Q419" s="56" t="s">
        <v>1286</v>
      </c>
      <c r="R419" s="56" t="s">
        <v>2541</v>
      </c>
      <c r="S419" s="56">
        <v>31</v>
      </c>
      <c r="T419" s="131">
        <v>7.4305555555555541E-2</v>
      </c>
      <c r="U419" s="130">
        <v>-0.27083333333333331</v>
      </c>
      <c r="V419" s="56" t="s">
        <v>1051</v>
      </c>
      <c r="W419" s="56" t="s">
        <v>1052</v>
      </c>
      <c r="X419" s="56" t="s">
        <v>1053</v>
      </c>
      <c r="Y419" s="56">
        <v>31</v>
      </c>
      <c r="Z419" s="56" t="s">
        <v>1054</v>
      </c>
      <c r="AA419" s="56" t="s">
        <v>2542</v>
      </c>
      <c r="AB419" s="56" t="s">
        <v>1194</v>
      </c>
      <c r="AC419" s="56" t="s">
        <v>1057</v>
      </c>
      <c r="AD419" s="56" t="s">
        <v>2543</v>
      </c>
      <c r="AE419" s="56" t="s">
        <v>2544</v>
      </c>
      <c r="AF419" s="56" t="s">
        <v>1060</v>
      </c>
      <c r="AG419" s="56" t="s">
        <v>2545</v>
      </c>
      <c r="AH419" s="56"/>
      <c r="AI419" s="56"/>
      <c r="AJ419" s="56"/>
      <c r="AK419" s="56"/>
      <c r="AL419" s="56"/>
      <c r="AM419" s="56"/>
      <c r="AN419" s="56"/>
      <c r="AO419" s="56"/>
      <c r="AP419" s="56"/>
      <c r="AQ419" s="131"/>
      <c r="AR419" s="130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</row>
    <row r="420" spans="1:56" x14ac:dyDescent="0.2">
      <c r="A420" s="56">
        <v>14122618</v>
      </c>
      <c r="B420" s="56">
        <v>175254077</v>
      </c>
      <c r="C420" s="56" t="s">
        <v>1906</v>
      </c>
      <c r="D420" s="56" t="s">
        <v>1709</v>
      </c>
      <c r="E420" s="56" t="s">
        <v>1047</v>
      </c>
      <c r="F420" s="56">
        <v>25</v>
      </c>
      <c r="G420" s="56">
        <v>15320</v>
      </c>
      <c r="H420" s="56" t="s">
        <v>1048</v>
      </c>
      <c r="I420" s="56" t="s">
        <v>1172</v>
      </c>
      <c r="J420" s="129">
        <v>46231</v>
      </c>
      <c r="K420" s="130">
        <v>0.22916666666666666</v>
      </c>
      <c r="L420" s="130">
        <v>0.2361111111111111</v>
      </c>
      <c r="M420" s="56" t="s">
        <v>1050</v>
      </c>
      <c r="N420" s="129">
        <v>46231</v>
      </c>
      <c r="O420" s="130">
        <v>0.28125</v>
      </c>
      <c r="P420" s="130">
        <v>0.27653935185185186</v>
      </c>
      <c r="Q420" s="56" t="s">
        <v>1050</v>
      </c>
      <c r="R420" s="56" t="s">
        <v>430</v>
      </c>
      <c r="S420" s="56">
        <v>31</v>
      </c>
      <c r="T420" s="131">
        <v>6.9444444444444475E-3</v>
      </c>
      <c r="U420" s="130">
        <v>-4.7106481481481444E-3</v>
      </c>
      <c r="V420" s="56" t="s">
        <v>1051</v>
      </c>
      <c r="W420" s="56" t="s">
        <v>1052</v>
      </c>
      <c r="X420" s="56" t="s">
        <v>1053</v>
      </c>
      <c r="Y420" s="56">
        <v>31</v>
      </c>
      <c r="Z420" s="56" t="s">
        <v>1054</v>
      </c>
      <c r="AA420" s="56" t="s">
        <v>1710</v>
      </c>
      <c r="AB420" s="56" t="s">
        <v>1174</v>
      </c>
      <c r="AC420" s="56" t="s">
        <v>1057</v>
      </c>
      <c r="AD420" s="56" t="s">
        <v>1711</v>
      </c>
      <c r="AE420" s="56" t="s">
        <v>1712</v>
      </c>
      <c r="AF420" s="56" t="s">
        <v>1060</v>
      </c>
      <c r="AG420" s="56" t="s">
        <v>1907</v>
      </c>
      <c r="AH420" s="56"/>
      <c r="AI420" s="56"/>
      <c r="AJ420" s="56"/>
      <c r="AK420" s="56"/>
      <c r="AL420" s="56"/>
      <c r="AM420" s="56"/>
      <c r="AN420" s="56"/>
      <c r="AO420" s="56"/>
      <c r="AP420" s="56"/>
      <c r="AQ420" s="131"/>
      <c r="AR420" s="130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</row>
    <row r="421" spans="1:56" x14ac:dyDescent="0.2">
      <c r="A421" s="56">
        <v>14123725</v>
      </c>
      <c r="B421" s="56">
        <v>175260335</v>
      </c>
      <c r="C421" s="56" t="s">
        <v>1170</v>
      </c>
      <c r="D421" s="56" t="s">
        <v>1171</v>
      </c>
      <c r="E421" s="56" t="s">
        <v>1047</v>
      </c>
      <c r="F421" s="56">
        <v>98</v>
      </c>
      <c r="G421" s="56">
        <v>13371</v>
      </c>
      <c r="H421" s="56" t="s">
        <v>1048</v>
      </c>
      <c r="I421" s="56" t="s">
        <v>1172</v>
      </c>
      <c r="J421" s="129">
        <v>46231</v>
      </c>
      <c r="K421" s="130">
        <v>0.22916666666666666</v>
      </c>
      <c r="L421" s="130">
        <v>0.24097222222222223</v>
      </c>
      <c r="M421" s="56" t="s">
        <v>1050</v>
      </c>
      <c r="N421" s="129">
        <v>46231</v>
      </c>
      <c r="O421" s="130">
        <v>0.28125</v>
      </c>
      <c r="P421" s="130">
        <v>0.27509259259259261</v>
      </c>
      <c r="Q421" s="56" t="s">
        <v>1050</v>
      </c>
      <c r="R421" s="56" t="s">
        <v>956</v>
      </c>
      <c r="S421" s="56">
        <v>31</v>
      </c>
      <c r="T421" s="131">
        <v>1.1805555555555569E-2</v>
      </c>
      <c r="U421" s="130">
        <v>-6.1574074074073892E-3</v>
      </c>
      <c r="V421" s="56" t="s">
        <v>1051</v>
      </c>
      <c r="W421" s="56" t="s">
        <v>1052</v>
      </c>
      <c r="X421" s="56" t="s">
        <v>1053</v>
      </c>
      <c r="Y421" s="56">
        <v>31</v>
      </c>
      <c r="Z421" s="56" t="s">
        <v>1054</v>
      </c>
      <c r="AA421" s="56" t="s">
        <v>1173</v>
      </c>
      <c r="AB421" s="56" t="s">
        <v>1174</v>
      </c>
      <c r="AC421" s="56" t="s">
        <v>1057</v>
      </c>
      <c r="AD421" s="56" t="s">
        <v>1175</v>
      </c>
      <c r="AE421" s="56" t="s">
        <v>1176</v>
      </c>
      <c r="AF421" s="56" t="s">
        <v>1060</v>
      </c>
      <c r="AG421" s="56" t="s">
        <v>1177</v>
      </c>
      <c r="AH421" s="56"/>
      <c r="AI421" s="56"/>
      <c r="AJ421" s="56"/>
      <c r="AK421" s="56"/>
      <c r="AL421" s="56"/>
      <c r="AM421" s="56"/>
      <c r="AN421" s="56"/>
      <c r="AO421" s="56"/>
      <c r="AP421" s="56"/>
      <c r="AQ421" s="131"/>
      <c r="AR421" s="130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</row>
    <row r="422" spans="1:56" x14ac:dyDescent="0.2">
      <c r="A422" s="56">
        <v>14107206</v>
      </c>
      <c r="B422" s="56">
        <v>175261878</v>
      </c>
      <c r="C422" s="56" t="s">
        <v>2218</v>
      </c>
      <c r="D422" s="56" t="s">
        <v>2219</v>
      </c>
      <c r="E422" s="56" t="s">
        <v>1047</v>
      </c>
      <c r="F422" s="56">
        <v>151</v>
      </c>
      <c r="G422" s="56">
        <v>17183</v>
      </c>
      <c r="H422" s="56" t="s">
        <v>1048</v>
      </c>
      <c r="I422" s="56" t="s">
        <v>1172</v>
      </c>
      <c r="J422" s="129">
        <v>46231</v>
      </c>
      <c r="K422" s="130">
        <v>0.23055555555555557</v>
      </c>
      <c r="L422" s="130">
        <v>0.24027777777777778</v>
      </c>
      <c r="M422" s="56" t="s">
        <v>1050</v>
      </c>
      <c r="N422" s="129">
        <v>46231</v>
      </c>
      <c r="O422" s="130">
        <v>0.28125</v>
      </c>
      <c r="P422" s="130">
        <v>0.27141203703703703</v>
      </c>
      <c r="Q422" s="56" t="s">
        <v>1050</v>
      </c>
      <c r="R422" s="56" t="s">
        <v>58</v>
      </c>
      <c r="S422" s="56">
        <v>31</v>
      </c>
      <c r="T422" s="131">
        <v>9.7222222222222154E-3</v>
      </c>
      <c r="U422" s="130">
        <v>-9.837962962962965E-3</v>
      </c>
      <c r="V422" s="56" t="s">
        <v>1051</v>
      </c>
      <c r="W422" s="56" t="s">
        <v>1052</v>
      </c>
      <c r="X422" s="56" t="s">
        <v>1053</v>
      </c>
      <c r="Y422" s="56">
        <v>31</v>
      </c>
      <c r="Z422" s="56" t="s">
        <v>1054</v>
      </c>
      <c r="AA422" s="56" t="s">
        <v>2220</v>
      </c>
      <c r="AB422" s="56" t="s">
        <v>1210</v>
      </c>
      <c r="AC422" s="56" t="s">
        <v>1057</v>
      </c>
      <c r="AD422" s="56" t="s">
        <v>2221</v>
      </c>
      <c r="AE422" s="56" t="s">
        <v>2222</v>
      </c>
      <c r="AF422" s="56" t="s">
        <v>1060</v>
      </c>
      <c r="AG422" s="56" t="s">
        <v>2223</v>
      </c>
      <c r="AH422" s="56"/>
      <c r="AI422" s="56"/>
      <c r="AJ422" s="56"/>
      <c r="AK422" s="56"/>
      <c r="AL422" s="56"/>
      <c r="AM422" s="56"/>
      <c r="AN422" s="56"/>
      <c r="AO422" s="56"/>
      <c r="AP422" s="56"/>
      <c r="AQ422" s="131"/>
      <c r="AR422" s="130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</row>
    <row r="423" spans="1:56" x14ac:dyDescent="0.2">
      <c r="A423" s="56">
        <v>14112026</v>
      </c>
      <c r="B423" s="56">
        <v>175261842</v>
      </c>
      <c r="C423" s="56" t="s">
        <v>1539</v>
      </c>
      <c r="D423" s="56" t="s">
        <v>1540</v>
      </c>
      <c r="E423" s="56" t="s">
        <v>1047</v>
      </c>
      <c r="F423" s="56">
        <v>139</v>
      </c>
      <c r="G423" s="56">
        <v>10359</v>
      </c>
      <c r="H423" s="56" t="s">
        <v>1048</v>
      </c>
      <c r="I423" s="56" t="s">
        <v>1172</v>
      </c>
      <c r="J423" s="129">
        <v>46231</v>
      </c>
      <c r="K423" s="130">
        <v>0.2361111111111111</v>
      </c>
      <c r="L423" s="130">
        <v>0.24236111111111111</v>
      </c>
      <c r="M423" s="56" t="s">
        <v>1050</v>
      </c>
      <c r="N423" s="129">
        <v>46231</v>
      </c>
      <c r="O423" s="130">
        <v>0.28125</v>
      </c>
      <c r="P423" s="130">
        <v>0.26887731481481481</v>
      </c>
      <c r="Q423" s="56" t="s">
        <v>1050</v>
      </c>
      <c r="R423" s="56" t="s">
        <v>1541</v>
      </c>
      <c r="S423" s="56">
        <v>31</v>
      </c>
      <c r="T423" s="131">
        <v>6.2500000000000056E-3</v>
      </c>
      <c r="U423" s="130">
        <v>-1.2372685185185195E-2</v>
      </c>
      <c r="V423" s="56" t="s">
        <v>1051</v>
      </c>
      <c r="W423" s="56" t="s">
        <v>1052</v>
      </c>
      <c r="X423" s="56" t="s">
        <v>1053</v>
      </c>
      <c r="Y423" s="56">
        <v>31</v>
      </c>
      <c r="Z423" s="56" t="s">
        <v>1054</v>
      </c>
      <c r="AA423" s="56" t="s">
        <v>1542</v>
      </c>
      <c r="AB423" s="56" t="s">
        <v>1210</v>
      </c>
      <c r="AC423" s="56" t="s">
        <v>1057</v>
      </c>
      <c r="AD423" s="56" t="s">
        <v>1543</v>
      </c>
      <c r="AE423" s="56" t="s">
        <v>1544</v>
      </c>
      <c r="AF423" s="56" t="s">
        <v>1060</v>
      </c>
      <c r="AG423" s="56" t="s">
        <v>1545</v>
      </c>
      <c r="AH423" s="56"/>
      <c r="AI423" s="56"/>
      <c r="AJ423" s="56"/>
      <c r="AK423" s="56"/>
      <c r="AL423" s="56"/>
      <c r="AM423" s="56"/>
      <c r="AN423" s="56"/>
      <c r="AO423" s="56"/>
      <c r="AP423" s="56"/>
      <c r="AQ423" s="131"/>
      <c r="AR423" s="130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</row>
    <row r="424" spans="1:56" x14ac:dyDescent="0.2">
      <c r="A424" s="56">
        <v>14120349</v>
      </c>
      <c r="B424" s="56">
        <v>175254327</v>
      </c>
      <c r="C424" s="56" t="s">
        <v>1546</v>
      </c>
      <c r="D424" s="56" t="s">
        <v>1547</v>
      </c>
      <c r="E424" s="56" t="s">
        <v>1047</v>
      </c>
      <c r="F424" s="56">
        <v>26</v>
      </c>
      <c r="G424" s="56">
        <v>14670</v>
      </c>
      <c r="H424" s="56" t="s">
        <v>1048</v>
      </c>
      <c r="I424" s="56" t="s">
        <v>1172</v>
      </c>
      <c r="J424" s="129">
        <v>46231</v>
      </c>
      <c r="K424" s="130">
        <v>0.23958333333333334</v>
      </c>
      <c r="L424" s="130">
        <v>0.26111111111111113</v>
      </c>
      <c r="M424" s="56" t="s">
        <v>1050</v>
      </c>
      <c r="N424" s="129">
        <v>46231</v>
      </c>
      <c r="O424" s="130">
        <v>0.28125</v>
      </c>
      <c r="P424" s="130">
        <v>0.29828703703703702</v>
      </c>
      <c r="Q424" s="56" t="s">
        <v>1050</v>
      </c>
      <c r="R424" s="56" t="s">
        <v>284</v>
      </c>
      <c r="S424" s="56">
        <v>31</v>
      </c>
      <c r="T424" s="131">
        <v>2.1527777777777785E-2</v>
      </c>
      <c r="U424" s="130">
        <v>1.7037037037037017E-2</v>
      </c>
      <c r="V424" s="56" t="s">
        <v>1051</v>
      </c>
      <c r="W424" s="56" t="s">
        <v>1065</v>
      </c>
      <c r="X424" s="56" t="s">
        <v>1066</v>
      </c>
      <c r="Y424" s="56">
        <v>31</v>
      </c>
      <c r="Z424" s="56" t="s">
        <v>1054</v>
      </c>
      <c r="AA424" s="56" t="s">
        <v>1548</v>
      </c>
      <c r="AB424" s="56" t="s">
        <v>1174</v>
      </c>
      <c r="AC424" s="56" t="s">
        <v>1057</v>
      </c>
      <c r="AD424" s="56" t="s">
        <v>1549</v>
      </c>
      <c r="AE424" s="56" t="s">
        <v>1550</v>
      </c>
      <c r="AF424" s="56" t="s">
        <v>1060</v>
      </c>
      <c r="AG424" s="56" t="s">
        <v>1551</v>
      </c>
      <c r="AH424" s="56"/>
      <c r="AI424" s="56"/>
      <c r="AJ424" s="56"/>
      <c r="AK424" s="56"/>
      <c r="AL424" s="56"/>
      <c r="AM424" s="56"/>
      <c r="AN424" s="56"/>
      <c r="AO424" s="56"/>
      <c r="AP424" s="56"/>
      <c r="AQ424" s="131"/>
      <c r="AR424" s="130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</row>
    <row r="425" spans="1:56" x14ac:dyDescent="0.2">
      <c r="A425" s="56">
        <v>14123654</v>
      </c>
      <c r="B425" s="56">
        <v>175256266</v>
      </c>
      <c r="C425" s="56" t="s">
        <v>2546</v>
      </c>
      <c r="D425" s="56" t="s">
        <v>2547</v>
      </c>
      <c r="E425" s="56" t="s">
        <v>1047</v>
      </c>
      <c r="F425" s="56">
        <v>71</v>
      </c>
      <c r="G425" s="56">
        <v>15312</v>
      </c>
      <c r="H425" s="56" t="s">
        <v>1048</v>
      </c>
      <c r="I425" s="56" t="s">
        <v>1172</v>
      </c>
      <c r="J425" s="129">
        <v>46231</v>
      </c>
      <c r="K425" s="130">
        <v>0.23958333333333334</v>
      </c>
      <c r="L425" s="130">
        <v>0.24722222222222223</v>
      </c>
      <c r="M425" s="56" t="s">
        <v>1050</v>
      </c>
      <c r="N425" s="129">
        <v>46231</v>
      </c>
      <c r="O425" s="130">
        <v>0.28125</v>
      </c>
      <c r="P425" s="130">
        <v>0.27553240740740742</v>
      </c>
      <c r="Q425" s="56" t="s">
        <v>1050</v>
      </c>
      <c r="R425" s="56" t="s">
        <v>934</v>
      </c>
      <c r="S425" s="56">
        <v>31</v>
      </c>
      <c r="T425" s="131">
        <v>7.6388888888888895E-3</v>
      </c>
      <c r="U425" s="130">
        <v>-5.7175925925925797E-3</v>
      </c>
      <c r="V425" s="56" t="s">
        <v>1051</v>
      </c>
      <c r="W425" s="56" t="s">
        <v>1052</v>
      </c>
      <c r="X425" s="56" t="s">
        <v>1053</v>
      </c>
      <c r="Y425" s="56">
        <v>31</v>
      </c>
      <c r="Z425" s="56" t="s">
        <v>1054</v>
      </c>
      <c r="AA425" s="56" t="s">
        <v>2548</v>
      </c>
      <c r="AB425" s="56" t="s">
        <v>1174</v>
      </c>
      <c r="AC425" s="56" t="s">
        <v>1057</v>
      </c>
      <c r="AD425" s="56" t="s">
        <v>2549</v>
      </c>
      <c r="AE425" s="56" t="s">
        <v>2550</v>
      </c>
      <c r="AF425" s="56" t="s">
        <v>1060</v>
      </c>
      <c r="AG425" s="56" t="s">
        <v>2551</v>
      </c>
      <c r="AH425" s="56"/>
      <c r="AI425" s="56"/>
      <c r="AJ425" s="56"/>
      <c r="AK425" s="56"/>
      <c r="AL425" s="56"/>
      <c r="AM425" s="56"/>
      <c r="AN425" s="56"/>
      <c r="AO425" s="56"/>
      <c r="AP425" s="56"/>
      <c r="AQ425" s="131"/>
      <c r="AR425" s="130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</row>
    <row r="426" spans="1:56" x14ac:dyDescent="0.2">
      <c r="A426" s="56">
        <v>14123459</v>
      </c>
      <c r="B426" s="56">
        <v>175254785</v>
      </c>
      <c r="C426" s="56" t="s">
        <v>1552</v>
      </c>
      <c r="D426" s="56" t="s">
        <v>1553</v>
      </c>
      <c r="E426" s="56" t="s">
        <v>1047</v>
      </c>
      <c r="F426" s="56">
        <v>34</v>
      </c>
      <c r="G426" s="56">
        <v>13502</v>
      </c>
      <c r="H426" s="56" t="s">
        <v>1048</v>
      </c>
      <c r="I426" s="56" t="s">
        <v>1172</v>
      </c>
      <c r="J426" s="129">
        <v>46231</v>
      </c>
      <c r="K426" s="130">
        <v>0.24583333333333332</v>
      </c>
      <c r="L426" s="130">
        <v>0.24930555555555556</v>
      </c>
      <c r="M426" s="56" t="s">
        <v>1050</v>
      </c>
      <c r="N426" s="129">
        <v>46231</v>
      </c>
      <c r="O426" s="130">
        <v>0.28125</v>
      </c>
      <c r="P426" s="130">
        <v>0.27793981481481483</v>
      </c>
      <c r="Q426" s="56" t="s">
        <v>1050</v>
      </c>
      <c r="R426" s="56" t="s">
        <v>509</v>
      </c>
      <c r="S426" s="56">
        <v>31</v>
      </c>
      <c r="T426" s="131">
        <v>3.4722222222222376E-3</v>
      </c>
      <c r="U426" s="130">
        <v>-3.310185185185166E-3</v>
      </c>
      <c r="V426" s="56" t="s">
        <v>1051</v>
      </c>
      <c r="W426" s="56" t="s">
        <v>1052</v>
      </c>
      <c r="X426" s="56" t="s">
        <v>1053</v>
      </c>
      <c r="Y426" s="56">
        <v>31</v>
      </c>
      <c r="Z426" s="56" t="s">
        <v>1054</v>
      </c>
      <c r="AA426" s="56" t="s">
        <v>1554</v>
      </c>
      <c r="AB426" s="56" t="s">
        <v>1174</v>
      </c>
      <c r="AC426" s="56" t="s">
        <v>1057</v>
      </c>
      <c r="AD426" s="56" t="s">
        <v>1555</v>
      </c>
      <c r="AE426" s="56" t="s">
        <v>1556</v>
      </c>
      <c r="AF426" s="56" t="s">
        <v>1060</v>
      </c>
      <c r="AG426" s="56" t="s">
        <v>1557</v>
      </c>
      <c r="AH426" s="56"/>
      <c r="AI426" s="56"/>
      <c r="AJ426" s="56"/>
      <c r="AK426" s="56"/>
      <c r="AL426" s="56"/>
      <c r="AM426" s="56"/>
      <c r="AN426" s="56"/>
      <c r="AO426" s="56"/>
      <c r="AP426" s="56"/>
      <c r="AQ426" s="131"/>
      <c r="AR426" s="130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</row>
    <row r="427" spans="1:56" x14ac:dyDescent="0.2">
      <c r="A427" s="56">
        <v>14118625</v>
      </c>
      <c r="B427" s="56">
        <v>175255320</v>
      </c>
      <c r="C427" s="56" t="s">
        <v>2552</v>
      </c>
      <c r="D427" s="56" t="s">
        <v>2553</v>
      </c>
      <c r="E427" s="56" t="s">
        <v>1047</v>
      </c>
      <c r="F427" s="56">
        <v>26</v>
      </c>
      <c r="G427" s="56">
        <v>13294</v>
      </c>
      <c r="H427" s="56" t="s">
        <v>1048</v>
      </c>
      <c r="I427" s="56" t="s">
        <v>1049</v>
      </c>
      <c r="J427" s="129">
        <v>46231</v>
      </c>
      <c r="K427" s="130">
        <v>0.25</v>
      </c>
      <c r="L427" s="130">
        <v>0.26597222222222222</v>
      </c>
      <c r="M427" s="56" t="s">
        <v>1050</v>
      </c>
      <c r="N427" s="129">
        <v>46231</v>
      </c>
      <c r="O427" s="130">
        <v>0.3125</v>
      </c>
      <c r="P427" s="130">
        <v>0.32263888888888886</v>
      </c>
      <c r="Q427" s="56" t="s">
        <v>1050</v>
      </c>
      <c r="R427" s="56" t="s">
        <v>422</v>
      </c>
      <c r="S427" s="56">
        <v>31</v>
      </c>
      <c r="T427" s="131">
        <v>1.5972222222222221E-2</v>
      </c>
      <c r="U427" s="130">
        <v>1.0138888888888864E-2</v>
      </c>
      <c r="V427" s="56" t="s">
        <v>1051</v>
      </c>
      <c r="W427" s="56" t="s">
        <v>1065</v>
      </c>
      <c r="X427" s="56" t="s">
        <v>1066</v>
      </c>
      <c r="Y427" s="56">
        <v>31</v>
      </c>
      <c r="Z427" s="56" t="s">
        <v>1054</v>
      </c>
      <c r="AA427" s="56" t="s">
        <v>2554</v>
      </c>
      <c r="AB427" s="56" t="s">
        <v>1056</v>
      </c>
      <c r="AC427" s="56" t="s">
        <v>1057</v>
      </c>
      <c r="AD427" s="56" t="s">
        <v>2555</v>
      </c>
      <c r="AE427" s="56" t="s">
        <v>2556</v>
      </c>
      <c r="AF427" s="56" t="s">
        <v>1060</v>
      </c>
      <c r="AG427" s="56" t="s">
        <v>2557</v>
      </c>
      <c r="AH427" s="56"/>
      <c r="AI427" s="56"/>
      <c r="AJ427" s="56"/>
      <c r="AK427" s="56"/>
      <c r="AL427" s="56"/>
      <c r="AM427" s="56"/>
      <c r="AN427" s="56"/>
      <c r="AO427" s="56"/>
      <c r="AP427" s="56"/>
      <c r="AQ427" s="131"/>
      <c r="AR427" s="130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</row>
    <row r="428" spans="1:56" x14ac:dyDescent="0.2">
      <c r="A428" s="56">
        <v>14110604</v>
      </c>
      <c r="B428" s="56">
        <v>175255322</v>
      </c>
      <c r="C428" s="56" t="s">
        <v>1932</v>
      </c>
      <c r="D428" s="56" t="s">
        <v>1933</v>
      </c>
      <c r="E428" s="56" t="s">
        <v>1047</v>
      </c>
      <c r="F428" s="56">
        <v>28</v>
      </c>
      <c r="G428" s="56">
        <v>15485</v>
      </c>
      <c r="H428" s="56" t="s">
        <v>1048</v>
      </c>
      <c r="I428" s="56" t="s">
        <v>1049</v>
      </c>
      <c r="J428" s="129">
        <v>46231</v>
      </c>
      <c r="K428" s="130">
        <v>0.26041666666666669</v>
      </c>
      <c r="L428" s="130">
        <v>0.26666666666666666</v>
      </c>
      <c r="M428" s="56" t="s">
        <v>1050</v>
      </c>
      <c r="N428" s="129">
        <v>46231</v>
      </c>
      <c r="O428" s="130">
        <v>0.3125</v>
      </c>
      <c r="P428" s="130">
        <v>0.29835648148148147</v>
      </c>
      <c r="Q428" s="56" t="s">
        <v>1050</v>
      </c>
      <c r="R428" s="56" t="s">
        <v>330</v>
      </c>
      <c r="S428" s="56">
        <v>31</v>
      </c>
      <c r="T428" s="131">
        <v>6.2499999999999778E-3</v>
      </c>
      <c r="U428" s="130">
        <v>-1.4143518518518527E-2</v>
      </c>
      <c r="V428" s="56" t="s">
        <v>1051</v>
      </c>
      <c r="W428" s="56" t="s">
        <v>1052</v>
      </c>
      <c r="X428" s="56" t="s">
        <v>1053</v>
      </c>
      <c r="Y428" s="56">
        <v>31</v>
      </c>
      <c r="Z428" s="56" t="s">
        <v>1054</v>
      </c>
      <c r="AA428" s="56" t="s">
        <v>1934</v>
      </c>
      <c r="AB428" s="56" t="s">
        <v>1056</v>
      </c>
      <c r="AC428" s="56" t="s">
        <v>1057</v>
      </c>
      <c r="AD428" s="56" t="s">
        <v>1935</v>
      </c>
      <c r="AE428" s="56" t="s">
        <v>1936</v>
      </c>
      <c r="AF428" s="56" t="s">
        <v>1060</v>
      </c>
      <c r="AG428" s="56" t="s">
        <v>1937</v>
      </c>
      <c r="AH428" s="56"/>
      <c r="AI428" s="56"/>
      <c r="AJ428" s="56"/>
      <c r="AK428" s="56"/>
      <c r="AL428" s="56"/>
      <c r="AM428" s="56"/>
      <c r="AN428" s="56"/>
      <c r="AO428" s="56"/>
      <c r="AP428" s="56"/>
      <c r="AQ428" s="131"/>
      <c r="AR428" s="130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</row>
    <row r="429" spans="1:56" x14ac:dyDescent="0.2">
      <c r="A429" s="56">
        <v>14122035</v>
      </c>
      <c r="B429" s="56">
        <v>175256990</v>
      </c>
      <c r="C429" s="56" t="s">
        <v>2558</v>
      </c>
      <c r="D429" s="56" t="s">
        <v>2559</v>
      </c>
      <c r="E429" s="56" t="s">
        <v>1047</v>
      </c>
      <c r="F429" s="56">
        <v>96</v>
      </c>
      <c r="G429" s="56">
        <v>5035</v>
      </c>
      <c r="H429" s="56" t="s">
        <v>1048</v>
      </c>
      <c r="I429" s="56" t="s">
        <v>1947</v>
      </c>
      <c r="J429" s="129">
        <v>46231</v>
      </c>
      <c r="K429" s="130">
        <v>0.27083333333333331</v>
      </c>
      <c r="L429" s="130">
        <v>0.27430555555555558</v>
      </c>
      <c r="M429" s="56" t="s">
        <v>1050</v>
      </c>
      <c r="N429" s="129">
        <v>46231</v>
      </c>
      <c r="O429" s="130">
        <v>0.34722222222222221</v>
      </c>
      <c r="P429" s="130">
        <v>0.33274305555555556</v>
      </c>
      <c r="Q429" s="56" t="s">
        <v>1050</v>
      </c>
      <c r="R429" s="56" t="s">
        <v>2241</v>
      </c>
      <c r="S429" s="56">
        <v>31</v>
      </c>
      <c r="T429" s="131">
        <v>3.4722222222222654E-3</v>
      </c>
      <c r="U429" s="130">
        <v>-1.4479166666666654E-2</v>
      </c>
      <c r="V429" s="56" t="s">
        <v>1051</v>
      </c>
      <c r="W429" s="56" t="s">
        <v>1052</v>
      </c>
      <c r="X429" s="56" t="s">
        <v>1053</v>
      </c>
      <c r="Y429" s="56">
        <v>31</v>
      </c>
      <c r="Z429" s="56" t="s">
        <v>1054</v>
      </c>
      <c r="AA429" s="56" t="s">
        <v>2560</v>
      </c>
      <c r="AB429" s="56" t="s">
        <v>1949</v>
      </c>
      <c r="AC429" s="56" t="s">
        <v>1078</v>
      </c>
      <c r="AD429" s="56" t="s">
        <v>2561</v>
      </c>
      <c r="AE429" s="56" t="s">
        <v>2562</v>
      </c>
      <c r="AF429" s="56" t="s">
        <v>1060</v>
      </c>
      <c r="AG429" s="56" t="s">
        <v>2563</v>
      </c>
      <c r="AH429" s="56"/>
      <c r="AI429" s="56"/>
      <c r="AJ429" s="56"/>
      <c r="AK429" s="56"/>
      <c r="AL429" s="56"/>
      <c r="AM429" s="56"/>
      <c r="AN429" s="56"/>
      <c r="AO429" s="56"/>
      <c r="AP429" s="56"/>
      <c r="AQ429" s="131"/>
      <c r="AR429" s="130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</row>
    <row r="430" spans="1:56" x14ac:dyDescent="0.2">
      <c r="A430" s="56">
        <v>14118518</v>
      </c>
      <c r="B430" s="56">
        <v>175256993</v>
      </c>
      <c r="C430" s="56" t="s">
        <v>2564</v>
      </c>
      <c r="D430" s="56" t="s">
        <v>2565</v>
      </c>
      <c r="E430" s="56" t="s">
        <v>1047</v>
      </c>
      <c r="F430" s="56">
        <v>99</v>
      </c>
      <c r="G430" s="56">
        <v>5432</v>
      </c>
      <c r="H430" s="56" t="s">
        <v>1048</v>
      </c>
      <c r="I430" s="56" t="s">
        <v>1947</v>
      </c>
      <c r="J430" s="129">
        <v>46231</v>
      </c>
      <c r="K430" s="130">
        <v>0.27638888888888891</v>
      </c>
      <c r="L430" s="130">
        <v>0.28055555555555556</v>
      </c>
      <c r="M430" s="56" t="s">
        <v>1050</v>
      </c>
      <c r="N430" s="129">
        <v>46231</v>
      </c>
      <c r="O430" s="130">
        <v>0.34722222222222221</v>
      </c>
      <c r="P430" s="130">
        <v>0.33157407407407408</v>
      </c>
      <c r="Q430" s="56" t="s">
        <v>1050</v>
      </c>
      <c r="R430" s="56" t="s">
        <v>200</v>
      </c>
      <c r="S430" s="56">
        <v>31</v>
      </c>
      <c r="T430" s="131">
        <v>4.1666666666666519E-3</v>
      </c>
      <c r="U430" s="130">
        <v>-1.5648148148148133E-2</v>
      </c>
      <c r="V430" s="56" t="s">
        <v>1051</v>
      </c>
      <c r="W430" s="56" t="s">
        <v>1052</v>
      </c>
      <c r="X430" s="56" t="s">
        <v>1053</v>
      </c>
      <c r="Y430" s="56">
        <v>31</v>
      </c>
      <c r="Z430" s="56" t="s">
        <v>1054</v>
      </c>
      <c r="AA430" s="56" t="s">
        <v>2566</v>
      </c>
      <c r="AB430" s="56" t="s">
        <v>1949</v>
      </c>
      <c r="AC430" s="56" t="s">
        <v>1078</v>
      </c>
      <c r="AD430" s="56" t="s">
        <v>2567</v>
      </c>
      <c r="AE430" s="56" t="s">
        <v>2568</v>
      </c>
      <c r="AF430" s="56" t="s">
        <v>1060</v>
      </c>
      <c r="AG430" s="56" t="s">
        <v>2569</v>
      </c>
      <c r="AH430" s="56"/>
      <c r="AI430" s="56"/>
      <c r="AJ430" s="56"/>
      <c r="AK430" s="56"/>
      <c r="AL430" s="56"/>
      <c r="AM430" s="56"/>
      <c r="AN430" s="56"/>
      <c r="AO430" s="56"/>
      <c r="AP430" s="56"/>
      <c r="AQ430" s="131"/>
      <c r="AR430" s="130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</row>
    <row r="431" spans="1:56" x14ac:dyDescent="0.2">
      <c r="A431" s="56">
        <v>14108111</v>
      </c>
      <c r="B431" s="56">
        <v>175256999</v>
      </c>
      <c r="C431" s="56" t="s">
        <v>1945</v>
      </c>
      <c r="D431" s="56" t="s">
        <v>1946</v>
      </c>
      <c r="E431" s="56" t="s">
        <v>1047</v>
      </c>
      <c r="F431" s="56">
        <v>105</v>
      </c>
      <c r="G431" s="56">
        <v>17340</v>
      </c>
      <c r="H431" s="56" t="s">
        <v>1048</v>
      </c>
      <c r="I431" s="56" t="s">
        <v>1947</v>
      </c>
      <c r="J431" s="129">
        <v>46231</v>
      </c>
      <c r="K431" s="130">
        <v>0.27777777777777779</v>
      </c>
      <c r="L431" s="130">
        <v>0.28402777777777777</v>
      </c>
      <c r="M431" s="56" t="s">
        <v>1050</v>
      </c>
      <c r="N431" s="129">
        <v>46231</v>
      </c>
      <c r="O431" s="130">
        <v>0.34722222222222221</v>
      </c>
      <c r="P431" s="130">
        <v>0.32078703703703704</v>
      </c>
      <c r="Q431" s="56" t="s">
        <v>1050</v>
      </c>
      <c r="R431" s="56" t="s">
        <v>69</v>
      </c>
      <c r="S431" s="56">
        <v>31</v>
      </c>
      <c r="T431" s="131">
        <v>6.2499999999999778E-3</v>
      </c>
      <c r="U431" s="130">
        <v>-2.6435185185185173E-2</v>
      </c>
      <c r="V431" s="56" t="s">
        <v>1051</v>
      </c>
      <c r="W431" s="56" t="s">
        <v>1052</v>
      </c>
      <c r="X431" s="56" t="s">
        <v>1053</v>
      </c>
      <c r="Y431" s="56">
        <v>31</v>
      </c>
      <c r="Z431" s="56" t="s">
        <v>1054</v>
      </c>
      <c r="AA431" s="56" t="s">
        <v>1948</v>
      </c>
      <c r="AB431" s="56" t="s">
        <v>1949</v>
      </c>
      <c r="AC431" s="56" t="s">
        <v>1078</v>
      </c>
      <c r="AD431" s="56" t="s">
        <v>1950</v>
      </c>
      <c r="AE431" s="56" t="s">
        <v>1951</v>
      </c>
      <c r="AF431" s="56" t="s">
        <v>1060</v>
      </c>
      <c r="AG431" s="56" t="s">
        <v>1952</v>
      </c>
      <c r="AH431" s="56"/>
      <c r="AI431" s="56"/>
      <c r="AJ431" s="56"/>
      <c r="AK431" s="56"/>
      <c r="AL431" s="56"/>
      <c r="AM431" s="56"/>
      <c r="AN431" s="56"/>
      <c r="AO431" s="56"/>
      <c r="AP431" s="56"/>
      <c r="AQ431" s="131"/>
      <c r="AR431" s="130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</row>
    <row r="432" spans="1:56" x14ac:dyDescent="0.2">
      <c r="A432" s="56">
        <v>14110506</v>
      </c>
      <c r="B432" s="56">
        <v>175238575</v>
      </c>
      <c r="C432" s="56" t="s">
        <v>2570</v>
      </c>
      <c r="D432" s="56" t="s">
        <v>2571</v>
      </c>
      <c r="E432" s="56" t="s">
        <v>1047</v>
      </c>
      <c r="F432" s="56">
        <v>2</v>
      </c>
      <c r="G432" s="56">
        <v>4351</v>
      </c>
      <c r="H432" s="56" t="s">
        <v>1048</v>
      </c>
      <c r="I432" s="56" t="s">
        <v>2572</v>
      </c>
      <c r="J432" s="129">
        <v>46231</v>
      </c>
      <c r="K432" s="130">
        <v>0.28125</v>
      </c>
      <c r="L432" s="130">
        <v>0.28472222222222221</v>
      </c>
      <c r="M432" s="56" t="s">
        <v>1050</v>
      </c>
      <c r="N432" s="129">
        <v>46231</v>
      </c>
      <c r="O432" s="130">
        <v>0.33124999999999999</v>
      </c>
      <c r="P432" s="130">
        <v>0.31461805555555555</v>
      </c>
      <c r="Q432" s="56" t="s">
        <v>1050</v>
      </c>
      <c r="R432" s="56" t="s">
        <v>421</v>
      </c>
      <c r="S432" s="56">
        <v>31</v>
      </c>
      <c r="T432" s="131">
        <v>3.4722222222222099E-3</v>
      </c>
      <c r="U432" s="130">
        <v>-1.6631944444444435E-2</v>
      </c>
      <c r="V432" s="56" t="s">
        <v>1051</v>
      </c>
      <c r="W432" s="56" t="s">
        <v>1052</v>
      </c>
      <c r="X432" s="56" t="s">
        <v>1053</v>
      </c>
      <c r="Y432" s="56">
        <v>31</v>
      </c>
      <c r="Z432" s="56" t="s">
        <v>1054</v>
      </c>
      <c r="AA432" s="56" t="s">
        <v>2573</v>
      </c>
      <c r="AB432" s="56" t="s">
        <v>1257</v>
      </c>
      <c r="AC432" s="56" t="s">
        <v>1069</v>
      </c>
      <c r="AD432" s="56" t="s">
        <v>2574</v>
      </c>
      <c r="AE432" s="56" t="s">
        <v>2575</v>
      </c>
      <c r="AF432" s="56" t="s">
        <v>1060</v>
      </c>
      <c r="AG432" s="56" t="s">
        <v>2576</v>
      </c>
      <c r="AH432" s="56"/>
      <c r="AI432" s="56"/>
      <c r="AJ432" s="56"/>
      <c r="AK432" s="56"/>
      <c r="AL432" s="56"/>
      <c r="AM432" s="56"/>
      <c r="AN432" s="56"/>
      <c r="AO432" s="56"/>
      <c r="AP432" s="56"/>
      <c r="AQ432" s="131"/>
      <c r="AR432" s="130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</row>
    <row r="433" spans="1:56" x14ac:dyDescent="0.2">
      <c r="A433" s="56">
        <v>14100729</v>
      </c>
      <c r="B433" s="56">
        <v>175257010</v>
      </c>
      <c r="C433" s="56" t="s">
        <v>2577</v>
      </c>
      <c r="D433" s="56" t="s">
        <v>2355</v>
      </c>
      <c r="E433" s="56" t="s">
        <v>1047</v>
      </c>
      <c r="F433" s="56">
        <v>116</v>
      </c>
      <c r="G433" s="56">
        <v>16768</v>
      </c>
      <c r="H433" s="56" t="s">
        <v>1048</v>
      </c>
      <c r="I433" s="56" t="s">
        <v>1947</v>
      </c>
      <c r="J433" s="129">
        <v>46231</v>
      </c>
      <c r="K433" s="130">
        <v>0.28125</v>
      </c>
      <c r="L433" s="130">
        <v>0.28472222222222221</v>
      </c>
      <c r="M433" s="56" t="s">
        <v>1050</v>
      </c>
      <c r="N433" s="129">
        <v>46231</v>
      </c>
      <c r="O433" s="130">
        <v>0.34722222222222221</v>
      </c>
      <c r="P433" s="130">
        <v>0.33479166666666665</v>
      </c>
      <c r="Q433" s="56" t="s">
        <v>1050</v>
      </c>
      <c r="R433" s="56" t="s">
        <v>14</v>
      </c>
      <c r="S433" s="56">
        <v>31</v>
      </c>
      <c r="T433" s="131">
        <v>3.4722222222222099E-3</v>
      </c>
      <c r="U433" s="130">
        <v>-1.2430555555555556E-2</v>
      </c>
      <c r="V433" s="56" t="s">
        <v>1051</v>
      </c>
      <c r="W433" s="56" t="s">
        <v>1052</v>
      </c>
      <c r="X433" s="56" t="s">
        <v>1053</v>
      </c>
      <c r="Y433" s="56">
        <v>31</v>
      </c>
      <c r="Z433" s="56" t="s">
        <v>1054</v>
      </c>
      <c r="AA433" s="56" t="s">
        <v>2578</v>
      </c>
      <c r="AB433" s="56" t="s">
        <v>1949</v>
      </c>
      <c r="AC433" s="56" t="s">
        <v>1078</v>
      </c>
      <c r="AD433" s="56" t="s">
        <v>2579</v>
      </c>
      <c r="AE433" s="56" t="s">
        <v>2580</v>
      </c>
      <c r="AF433" s="56" t="s">
        <v>1060</v>
      </c>
      <c r="AG433" s="56" t="s">
        <v>2581</v>
      </c>
      <c r="AH433" s="56"/>
      <c r="AI433" s="56"/>
      <c r="AJ433" s="56"/>
      <c r="AK433" s="56"/>
      <c r="AL433" s="56"/>
      <c r="AM433" s="56"/>
      <c r="AN433" s="56"/>
      <c r="AO433" s="56"/>
      <c r="AP433" s="56"/>
      <c r="AQ433" s="131"/>
      <c r="AR433" s="130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</row>
    <row r="434" spans="1:56" x14ac:dyDescent="0.2">
      <c r="A434" s="56">
        <v>14100740</v>
      </c>
      <c r="B434" s="56">
        <v>175257007</v>
      </c>
      <c r="C434" s="56" t="s">
        <v>1964</v>
      </c>
      <c r="D434" s="56" t="s">
        <v>1965</v>
      </c>
      <c r="E434" s="56" t="s">
        <v>1047</v>
      </c>
      <c r="F434" s="56">
        <v>113</v>
      </c>
      <c r="G434" s="56">
        <v>16736</v>
      </c>
      <c r="H434" s="56" t="s">
        <v>1048</v>
      </c>
      <c r="I434" s="56" t="s">
        <v>1947</v>
      </c>
      <c r="J434" s="129">
        <v>46231</v>
      </c>
      <c r="K434" s="130">
        <v>0.28333333333333333</v>
      </c>
      <c r="L434" s="130">
        <v>0.28958333333333336</v>
      </c>
      <c r="M434" s="56" t="s">
        <v>1050</v>
      </c>
      <c r="N434" s="129">
        <v>46231</v>
      </c>
      <c r="O434" s="130">
        <v>0.34722222222222221</v>
      </c>
      <c r="P434" s="130">
        <v>0.31766203703703705</v>
      </c>
      <c r="Q434" s="56" t="s">
        <v>1050</v>
      </c>
      <c r="R434" s="56" t="s">
        <v>18</v>
      </c>
      <c r="S434" s="56">
        <v>31</v>
      </c>
      <c r="T434" s="131">
        <v>6.2500000000000333E-3</v>
      </c>
      <c r="U434" s="130">
        <v>-2.9560185185185162E-2</v>
      </c>
      <c r="V434" s="56" t="s">
        <v>1051</v>
      </c>
      <c r="W434" s="56" t="s">
        <v>1052</v>
      </c>
      <c r="X434" s="56" t="s">
        <v>1053</v>
      </c>
      <c r="Y434" s="56">
        <v>31</v>
      </c>
      <c r="Z434" s="56" t="s">
        <v>1054</v>
      </c>
      <c r="AA434" s="56" t="s">
        <v>1966</v>
      </c>
      <c r="AB434" s="56" t="s">
        <v>1949</v>
      </c>
      <c r="AC434" s="56" t="s">
        <v>1078</v>
      </c>
      <c r="AD434" s="56" t="s">
        <v>1967</v>
      </c>
      <c r="AE434" s="56" t="s">
        <v>1968</v>
      </c>
      <c r="AF434" s="56" t="s">
        <v>1060</v>
      </c>
      <c r="AG434" s="56" t="s">
        <v>1969</v>
      </c>
      <c r="AH434" s="56"/>
      <c r="AI434" s="56"/>
      <c r="AJ434" s="56"/>
      <c r="AK434" s="56"/>
      <c r="AL434" s="56"/>
      <c r="AM434" s="56"/>
      <c r="AN434" s="56"/>
      <c r="AO434" s="56"/>
      <c r="AP434" s="56"/>
      <c r="AQ434" s="131"/>
      <c r="AR434" s="130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</row>
    <row r="435" spans="1:56" x14ac:dyDescent="0.2">
      <c r="A435" s="56">
        <v>14123559</v>
      </c>
      <c r="B435" s="56">
        <v>175256970</v>
      </c>
      <c r="C435" s="56" t="s">
        <v>1970</v>
      </c>
      <c r="D435" s="56" t="s">
        <v>1971</v>
      </c>
      <c r="E435" s="56" t="s">
        <v>1047</v>
      </c>
      <c r="F435" s="56">
        <v>76</v>
      </c>
      <c r="G435" s="56">
        <v>13408</v>
      </c>
      <c r="H435" s="56" t="s">
        <v>1048</v>
      </c>
      <c r="I435" s="56" t="s">
        <v>1947</v>
      </c>
      <c r="J435" s="129">
        <v>46231</v>
      </c>
      <c r="K435" s="130">
        <v>0.28472222222222221</v>
      </c>
      <c r="L435" s="130">
        <v>0.29375000000000001</v>
      </c>
      <c r="M435" s="56" t="s">
        <v>1050</v>
      </c>
      <c r="N435" s="129">
        <v>46231</v>
      </c>
      <c r="O435" s="130">
        <v>0.34722222222222221</v>
      </c>
      <c r="P435" s="130">
        <v>0.32693287037037039</v>
      </c>
      <c r="Q435" s="56" t="s">
        <v>1050</v>
      </c>
      <c r="R435" s="56" t="s">
        <v>531</v>
      </c>
      <c r="S435" s="56">
        <v>31</v>
      </c>
      <c r="T435" s="131">
        <v>9.0277777777778012E-3</v>
      </c>
      <c r="U435" s="130">
        <v>-2.0289351851851822E-2</v>
      </c>
      <c r="V435" s="56" t="s">
        <v>1051</v>
      </c>
      <c r="W435" s="56" t="s">
        <v>1052</v>
      </c>
      <c r="X435" s="56" t="s">
        <v>1053</v>
      </c>
      <c r="Y435" s="56">
        <v>31</v>
      </c>
      <c r="Z435" s="56" t="s">
        <v>1054</v>
      </c>
      <c r="AA435" s="56" t="s">
        <v>1972</v>
      </c>
      <c r="AB435" s="56" t="s">
        <v>1949</v>
      </c>
      <c r="AC435" s="56" t="s">
        <v>1078</v>
      </c>
      <c r="AD435" s="56" t="s">
        <v>1973</v>
      </c>
      <c r="AE435" s="56" t="s">
        <v>1974</v>
      </c>
      <c r="AF435" s="56" t="s">
        <v>1060</v>
      </c>
      <c r="AG435" s="56" t="s">
        <v>1975</v>
      </c>
      <c r="AH435" s="56"/>
      <c r="AI435" s="56"/>
      <c r="AJ435" s="56"/>
      <c r="AK435" s="56"/>
      <c r="AL435" s="56"/>
      <c r="AM435" s="56"/>
      <c r="AN435" s="56"/>
      <c r="AO435" s="56"/>
      <c r="AP435" s="56"/>
      <c r="AQ435" s="131"/>
      <c r="AR435" s="130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</row>
    <row r="436" spans="1:56" x14ac:dyDescent="0.2">
      <c r="A436" s="56">
        <v>14121238</v>
      </c>
      <c r="B436" s="56">
        <v>175255546</v>
      </c>
      <c r="C436" s="56" t="s">
        <v>2226</v>
      </c>
      <c r="D436" s="56" t="s">
        <v>2227</v>
      </c>
      <c r="E436" s="56" t="s">
        <v>1047</v>
      </c>
      <c r="F436" s="56">
        <v>54</v>
      </c>
      <c r="G436" s="56">
        <v>15337</v>
      </c>
      <c r="H436" s="56" t="s">
        <v>1048</v>
      </c>
      <c r="I436" s="56" t="s">
        <v>1172</v>
      </c>
      <c r="J436" s="129">
        <v>46231</v>
      </c>
      <c r="K436" s="130">
        <v>0.29166666666666669</v>
      </c>
      <c r="L436" s="130">
        <v>0.30486111111111114</v>
      </c>
      <c r="M436" s="56" t="s">
        <v>1050</v>
      </c>
      <c r="N436" s="129">
        <v>46231</v>
      </c>
      <c r="O436" s="130">
        <v>0.34722222222222221</v>
      </c>
      <c r="P436" s="130">
        <v>0.34365740740740741</v>
      </c>
      <c r="Q436" s="56" t="s">
        <v>1050</v>
      </c>
      <c r="R436" s="56" t="s">
        <v>322</v>
      </c>
      <c r="S436" s="56">
        <v>31</v>
      </c>
      <c r="T436" s="131">
        <v>1.3194444444444453E-2</v>
      </c>
      <c r="U436" s="130">
        <v>-3.5648148148147984E-3</v>
      </c>
      <c r="V436" s="56" t="s">
        <v>1051</v>
      </c>
      <c r="W436" s="56" t="s">
        <v>1052</v>
      </c>
      <c r="X436" s="56" t="s">
        <v>1053</v>
      </c>
      <c r="Y436" s="56">
        <v>31</v>
      </c>
      <c r="Z436" s="56" t="s">
        <v>1054</v>
      </c>
      <c r="AA436" s="56" t="s">
        <v>2228</v>
      </c>
      <c r="AB436" s="56" t="s">
        <v>1174</v>
      </c>
      <c r="AC436" s="56" t="s">
        <v>1057</v>
      </c>
      <c r="AD436" s="56" t="s">
        <v>2229</v>
      </c>
      <c r="AE436" s="56" t="s">
        <v>2230</v>
      </c>
      <c r="AF436" s="56" t="s">
        <v>1060</v>
      </c>
      <c r="AG436" s="56" t="s">
        <v>2231</v>
      </c>
      <c r="AH436" s="56"/>
      <c r="AI436" s="56"/>
      <c r="AJ436" s="56"/>
      <c r="AK436" s="56"/>
      <c r="AL436" s="56"/>
      <c r="AM436" s="56"/>
      <c r="AN436" s="56"/>
      <c r="AO436" s="56"/>
      <c r="AP436" s="56"/>
      <c r="AQ436" s="131"/>
      <c r="AR436" s="130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</row>
    <row r="437" spans="1:56" x14ac:dyDescent="0.2">
      <c r="A437" s="56">
        <v>14122103</v>
      </c>
      <c r="B437" s="56">
        <v>175262741</v>
      </c>
      <c r="C437" s="56" t="s">
        <v>2582</v>
      </c>
      <c r="D437" s="56" t="s">
        <v>2583</v>
      </c>
      <c r="E437" s="56" t="s">
        <v>1047</v>
      </c>
      <c r="F437" s="56">
        <v>203</v>
      </c>
      <c r="G437" s="56">
        <v>14710</v>
      </c>
      <c r="H437" s="56" t="s">
        <v>1048</v>
      </c>
      <c r="I437" s="56" t="s">
        <v>1172</v>
      </c>
      <c r="J437" s="129">
        <v>46231</v>
      </c>
      <c r="K437" s="130">
        <v>0.3</v>
      </c>
      <c r="L437" s="130">
        <v>0.31180555555555556</v>
      </c>
      <c r="M437" s="56" t="s">
        <v>1050</v>
      </c>
      <c r="N437" s="129">
        <v>46231</v>
      </c>
      <c r="O437" s="130">
        <v>0.34722222222222221</v>
      </c>
      <c r="P437" s="130">
        <v>0.33907407407407408</v>
      </c>
      <c r="Q437" s="56" t="s">
        <v>1050</v>
      </c>
      <c r="R437" s="56" t="s">
        <v>2584</v>
      </c>
      <c r="S437" s="56">
        <v>31</v>
      </c>
      <c r="T437" s="131">
        <v>1.1805555555555569E-2</v>
      </c>
      <c r="U437" s="130">
        <v>-8.1481481481481266E-3</v>
      </c>
      <c r="V437" s="56" t="s">
        <v>1051</v>
      </c>
      <c r="W437" s="56" t="s">
        <v>1052</v>
      </c>
      <c r="X437" s="56" t="s">
        <v>1053</v>
      </c>
      <c r="Y437" s="56">
        <v>31</v>
      </c>
      <c r="Z437" s="56" t="s">
        <v>1054</v>
      </c>
      <c r="AA437" s="56" t="s">
        <v>2585</v>
      </c>
      <c r="AB437" s="56" t="s">
        <v>1174</v>
      </c>
      <c r="AC437" s="56" t="s">
        <v>1057</v>
      </c>
      <c r="AD437" s="56" t="s">
        <v>2586</v>
      </c>
      <c r="AE437" s="56" t="s">
        <v>2587</v>
      </c>
      <c r="AF437" s="56" t="s">
        <v>1060</v>
      </c>
      <c r="AG437" s="56" t="s">
        <v>2588</v>
      </c>
      <c r="AH437" s="56"/>
      <c r="AI437" s="56"/>
      <c r="AJ437" s="56"/>
      <c r="AK437" s="56"/>
      <c r="AL437" s="56"/>
      <c r="AM437" s="56"/>
      <c r="AN437" s="56"/>
      <c r="AO437" s="56"/>
      <c r="AP437" s="56"/>
      <c r="AQ437" s="131"/>
      <c r="AR437" s="130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</row>
    <row r="438" spans="1:56" x14ac:dyDescent="0.2">
      <c r="A438" s="56">
        <v>14116860</v>
      </c>
      <c r="B438" s="56">
        <v>175260494</v>
      </c>
      <c r="C438" s="56" t="s">
        <v>2589</v>
      </c>
      <c r="D438" s="56" t="s">
        <v>2590</v>
      </c>
      <c r="E438" s="56" t="s">
        <v>1047</v>
      </c>
      <c r="F438" s="56">
        <v>76</v>
      </c>
      <c r="G438" s="56">
        <v>15313</v>
      </c>
      <c r="H438" s="56" t="s">
        <v>1048</v>
      </c>
      <c r="I438" s="56" t="s">
        <v>1340</v>
      </c>
      <c r="J438" s="129">
        <v>46231</v>
      </c>
      <c r="K438" s="130">
        <v>0.30208333333333331</v>
      </c>
      <c r="L438" s="130">
        <v>0.30833333333333335</v>
      </c>
      <c r="M438" s="56" t="s">
        <v>1050</v>
      </c>
      <c r="N438" s="129">
        <v>46231</v>
      </c>
      <c r="O438" s="130">
        <v>0.34375</v>
      </c>
      <c r="P438" s="130">
        <v>0.35674768518518518</v>
      </c>
      <c r="Q438" s="56" t="s">
        <v>1050</v>
      </c>
      <c r="R438" s="56" t="s">
        <v>170</v>
      </c>
      <c r="S438" s="56">
        <v>31</v>
      </c>
      <c r="T438" s="131">
        <v>6.2500000000000333E-3</v>
      </c>
      <c r="U438" s="130">
        <v>1.2997685185185182E-2</v>
      </c>
      <c r="V438" s="56" t="s">
        <v>1051</v>
      </c>
      <c r="W438" s="56" t="s">
        <v>1065</v>
      </c>
      <c r="X438" s="56" t="s">
        <v>1066</v>
      </c>
      <c r="Y438" s="56">
        <v>31</v>
      </c>
      <c r="Z438" s="56" t="s">
        <v>1054</v>
      </c>
      <c r="AA438" s="56" t="s">
        <v>2591</v>
      </c>
      <c r="AB438" s="56" t="s">
        <v>1342</v>
      </c>
      <c r="AC438" s="56" t="s">
        <v>1069</v>
      </c>
      <c r="AD438" s="56" t="s">
        <v>2592</v>
      </c>
      <c r="AE438" s="56" t="s">
        <v>2593</v>
      </c>
      <c r="AF438" s="56" t="s">
        <v>1060</v>
      </c>
      <c r="AG438" s="56" t="s">
        <v>2594</v>
      </c>
      <c r="AH438" s="56"/>
      <c r="AI438" s="56"/>
      <c r="AJ438" s="56"/>
      <c r="AK438" s="56"/>
      <c r="AL438" s="56"/>
      <c r="AM438" s="56"/>
      <c r="AN438" s="56"/>
      <c r="AO438" s="56"/>
      <c r="AP438" s="56"/>
      <c r="AQ438" s="131"/>
      <c r="AR438" s="130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</row>
    <row r="439" spans="1:56" x14ac:dyDescent="0.2">
      <c r="A439" s="56">
        <v>14108222</v>
      </c>
      <c r="B439" s="56">
        <v>175257676</v>
      </c>
      <c r="C439" s="56" t="s">
        <v>2431</v>
      </c>
      <c r="D439" s="56" t="s">
        <v>2432</v>
      </c>
      <c r="E439" s="56" t="s">
        <v>1047</v>
      </c>
      <c r="F439" s="56">
        <v>57</v>
      </c>
      <c r="G439" s="56">
        <v>16785</v>
      </c>
      <c r="H439" s="56" t="s">
        <v>1048</v>
      </c>
      <c r="I439" s="56" t="s">
        <v>1118</v>
      </c>
      <c r="J439" s="129">
        <v>46231</v>
      </c>
      <c r="K439" s="130">
        <v>0.52777777777777779</v>
      </c>
      <c r="L439" s="130">
        <v>0.53541666666666665</v>
      </c>
      <c r="M439" s="56" t="s">
        <v>1050</v>
      </c>
      <c r="N439" s="129">
        <v>46231</v>
      </c>
      <c r="O439" s="130">
        <v>0.60069444444444442</v>
      </c>
      <c r="P439" s="130">
        <v>0.58564814814814814</v>
      </c>
      <c r="Q439" s="56" t="s">
        <v>1050</v>
      </c>
      <c r="R439" s="56" t="s">
        <v>71</v>
      </c>
      <c r="S439" s="56">
        <v>31</v>
      </c>
      <c r="T439" s="131">
        <v>7.6388888888888618E-3</v>
      </c>
      <c r="U439" s="130">
        <v>-1.504629629629628E-2</v>
      </c>
      <c r="V439" s="56" t="s">
        <v>1051</v>
      </c>
      <c r="W439" s="56" t="s">
        <v>1052</v>
      </c>
      <c r="X439" s="56" t="s">
        <v>1053</v>
      </c>
      <c r="Y439" s="56">
        <v>31</v>
      </c>
      <c r="Z439" s="56" t="s">
        <v>1054</v>
      </c>
      <c r="AA439" s="56" t="s">
        <v>2433</v>
      </c>
      <c r="AB439" s="56" t="s">
        <v>1120</v>
      </c>
      <c r="AC439" s="56" t="s">
        <v>1078</v>
      </c>
      <c r="AD439" s="56" t="s">
        <v>2434</v>
      </c>
      <c r="AE439" s="56" t="s">
        <v>2435</v>
      </c>
      <c r="AF439" s="56" t="s">
        <v>1237</v>
      </c>
      <c r="AG439" s="56" t="s">
        <v>2436</v>
      </c>
      <c r="AH439" s="56"/>
      <c r="AI439" s="56"/>
      <c r="AJ439" s="56"/>
      <c r="AK439" s="56"/>
      <c r="AL439" s="56"/>
      <c r="AM439" s="56"/>
      <c r="AN439" s="56"/>
      <c r="AO439" s="56"/>
      <c r="AP439" s="56"/>
      <c r="AQ439" s="131"/>
      <c r="AR439" s="130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</row>
    <row r="440" spans="1:56" x14ac:dyDescent="0.2">
      <c r="A440" s="56">
        <v>14119271</v>
      </c>
      <c r="B440" s="56">
        <v>175249263</v>
      </c>
      <c r="C440" s="56" t="s">
        <v>1241</v>
      </c>
      <c r="D440" s="56" t="s">
        <v>1242</v>
      </c>
      <c r="E440" s="56" t="s">
        <v>1047</v>
      </c>
      <c r="F440" s="56">
        <v>25</v>
      </c>
      <c r="G440" s="56">
        <v>15991</v>
      </c>
      <c r="H440" s="56" t="s">
        <v>1048</v>
      </c>
      <c r="I440" s="56" t="s">
        <v>1118</v>
      </c>
      <c r="J440" s="129">
        <v>46231</v>
      </c>
      <c r="K440" s="130">
        <v>0.53125</v>
      </c>
      <c r="L440" s="130">
        <v>0.53611111111111109</v>
      </c>
      <c r="M440" s="56" t="s">
        <v>1050</v>
      </c>
      <c r="N440" s="129">
        <v>46231</v>
      </c>
      <c r="O440" s="130">
        <v>0.60069444444444442</v>
      </c>
      <c r="P440" s="130">
        <v>0.58437499999999998</v>
      </c>
      <c r="Q440" s="56" t="s">
        <v>1050</v>
      </c>
      <c r="R440" s="56" t="s">
        <v>1940</v>
      </c>
      <c r="S440" s="56">
        <v>31</v>
      </c>
      <c r="T440" s="131">
        <v>4.8611111111110938E-3</v>
      </c>
      <c r="U440" s="130">
        <v>-1.6319444444444442E-2</v>
      </c>
      <c r="V440" s="56" t="s">
        <v>1051</v>
      </c>
      <c r="W440" s="56" t="s">
        <v>1052</v>
      </c>
      <c r="X440" s="56" t="s">
        <v>1053</v>
      </c>
      <c r="Y440" s="56">
        <v>31</v>
      </c>
      <c r="Z440" s="56" t="s">
        <v>1054</v>
      </c>
      <c r="AA440" s="56" t="s">
        <v>1243</v>
      </c>
      <c r="AB440" s="56" t="s">
        <v>1120</v>
      </c>
      <c r="AC440" s="56" t="s">
        <v>1078</v>
      </c>
      <c r="AD440" s="56" t="s">
        <v>1244</v>
      </c>
      <c r="AE440" s="56" t="s">
        <v>1245</v>
      </c>
      <c r="AF440" s="56" t="s">
        <v>1237</v>
      </c>
      <c r="AG440" s="56" t="s">
        <v>1246</v>
      </c>
      <c r="AH440" s="56"/>
      <c r="AI440" s="56"/>
      <c r="AJ440" s="56"/>
      <c r="AK440" s="56"/>
      <c r="AL440" s="56"/>
      <c r="AM440" s="56"/>
      <c r="AN440" s="56"/>
      <c r="AO440" s="56"/>
      <c r="AP440" s="56"/>
      <c r="AQ440" s="131"/>
      <c r="AR440" s="130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</row>
    <row r="441" spans="1:56" x14ac:dyDescent="0.2">
      <c r="A441" s="56">
        <v>14123530</v>
      </c>
      <c r="B441" s="56">
        <v>175259243</v>
      </c>
      <c r="C441" s="56" t="s">
        <v>2024</v>
      </c>
      <c r="D441" s="56" t="s">
        <v>2025</v>
      </c>
      <c r="E441" s="56" t="s">
        <v>1047</v>
      </c>
      <c r="F441" s="56">
        <v>68</v>
      </c>
      <c r="G441" s="56">
        <v>13900</v>
      </c>
      <c r="H441" s="56" t="s">
        <v>1048</v>
      </c>
      <c r="I441" s="56" t="s">
        <v>1118</v>
      </c>
      <c r="J441" s="129">
        <v>46231</v>
      </c>
      <c r="K441" s="130">
        <v>0.53125</v>
      </c>
      <c r="L441" s="130">
        <v>0.53472222222222221</v>
      </c>
      <c r="M441" s="56" t="s">
        <v>1050</v>
      </c>
      <c r="N441" s="129">
        <v>46231</v>
      </c>
      <c r="O441" s="130">
        <v>0.60069444444444442</v>
      </c>
      <c r="P441" s="130">
        <v>0.58917824074074077</v>
      </c>
      <c r="Q441" s="56" t="s">
        <v>1050</v>
      </c>
      <c r="R441" s="56" t="s">
        <v>527</v>
      </c>
      <c r="S441" s="56">
        <v>31</v>
      </c>
      <c r="T441" s="131">
        <v>3.4722222222222099E-3</v>
      </c>
      <c r="U441" s="130">
        <v>-1.1516203703703654E-2</v>
      </c>
      <c r="V441" s="56" t="s">
        <v>1051</v>
      </c>
      <c r="W441" s="56" t="s">
        <v>1052</v>
      </c>
      <c r="X441" s="56" t="s">
        <v>1053</v>
      </c>
      <c r="Y441" s="56">
        <v>31</v>
      </c>
      <c r="Z441" s="56" t="s">
        <v>1054</v>
      </c>
      <c r="AA441" s="56" t="s">
        <v>2026</v>
      </c>
      <c r="AB441" s="56" t="s">
        <v>1120</v>
      </c>
      <c r="AC441" s="56" t="s">
        <v>1078</v>
      </c>
      <c r="AD441" s="56" t="s">
        <v>2027</v>
      </c>
      <c r="AE441" s="56" t="s">
        <v>2028</v>
      </c>
      <c r="AF441" s="56" t="s">
        <v>1237</v>
      </c>
      <c r="AG441" s="56" t="s">
        <v>2029</v>
      </c>
      <c r="AH441" s="56"/>
      <c r="AI441" s="56"/>
      <c r="AJ441" s="56"/>
      <c r="AK441" s="56"/>
      <c r="AL441" s="56"/>
      <c r="AM441" s="56"/>
      <c r="AN441" s="56"/>
      <c r="AO441" s="56"/>
      <c r="AP441" s="56"/>
      <c r="AQ441" s="131"/>
      <c r="AR441" s="130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</row>
    <row r="442" spans="1:56" x14ac:dyDescent="0.2">
      <c r="A442" s="56">
        <v>14122709</v>
      </c>
      <c r="B442" s="56">
        <v>175239441</v>
      </c>
      <c r="C442" s="56" t="s">
        <v>1632</v>
      </c>
      <c r="D442" s="56" t="s">
        <v>1633</v>
      </c>
      <c r="E442" s="56" t="s">
        <v>1047</v>
      </c>
      <c r="F442" s="56">
        <v>71</v>
      </c>
      <c r="G442" s="56">
        <v>16003</v>
      </c>
      <c r="H442" s="56" t="s">
        <v>1048</v>
      </c>
      <c r="I442" s="56" t="s">
        <v>1075</v>
      </c>
      <c r="J442" s="129">
        <v>46231</v>
      </c>
      <c r="K442" s="130">
        <v>0.53472222222222221</v>
      </c>
      <c r="L442" s="130">
        <v>0.53819444444444442</v>
      </c>
      <c r="M442" s="56" t="s">
        <v>1050</v>
      </c>
      <c r="N442" s="129">
        <v>46231</v>
      </c>
      <c r="O442" s="130">
        <v>0.60069444444444442</v>
      </c>
      <c r="P442" s="130">
        <v>0.58344907407407409</v>
      </c>
      <c r="Q442" s="56" t="s">
        <v>1050</v>
      </c>
      <c r="R442" s="56" t="s">
        <v>441</v>
      </c>
      <c r="S442" s="56">
        <v>31</v>
      </c>
      <c r="T442" s="131">
        <v>3.4722222222222099E-3</v>
      </c>
      <c r="U442" s="130">
        <v>-1.7245370370370328E-2</v>
      </c>
      <c r="V442" s="56" t="s">
        <v>1051</v>
      </c>
      <c r="W442" s="56" t="s">
        <v>1052</v>
      </c>
      <c r="X442" s="56" t="s">
        <v>1053</v>
      </c>
      <c r="Y442" s="56">
        <v>31</v>
      </c>
      <c r="Z442" s="56" t="s">
        <v>1054</v>
      </c>
      <c r="AA442" s="56" t="s">
        <v>1634</v>
      </c>
      <c r="AB442" s="56" t="s">
        <v>1077</v>
      </c>
      <c r="AC442" s="56" t="s">
        <v>1078</v>
      </c>
      <c r="AD442" s="56" t="s">
        <v>1635</v>
      </c>
      <c r="AE442" s="56" t="s">
        <v>1636</v>
      </c>
      <c r="AF442" s="56" t="s">
        <v>1237</v>
      </c>
      <c r="AG442" s="56" t="s">
        <v>1637</v>
      </c>
      <c r="AH442" s="56"/>
      <c r="AI442" s="56"/>
      <c r="AJ442" s="56"/>
      <c r="AK442" s="56"/>
      <c r="AL442" s="56"/>
      <c r="AM442" s="56"/>
      <c r="AN442" s="56"/>
      <c r="AO442" s="56"/>
      <c r="AP442" s="56"/>
      <c r="AQ442" s="131"/>
      <c r="AR442" s="130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</row>
    <row r="443" spans="1:56" x14ac:dyDescent="0.2">
      <c r="A443" s="56">
        <v>14122263</v>
      </c>
      <c r="B443" s="56">
        <v>175260519</v>
      </c>
      <c r="C443" s="56" t="s">
        <v>2030</v>
      </c>
      <c r="D443" s="56" t="s">
        <v>2031</v>
      </c>
      <c r="E443" s="56" t="s">
        <v>1047</v>
      </c>
      <c r="F443" s="56">
        <v>83</v>
      </c>
      <c r="G443" s="56">
        <v>5437</v>
      </c>
      <c r="H443" s="56" t="s">
        <v>1048</v>
      </c>
      <c r="I443" s="56" t="s">
        <v>1118</v>
      </c>
      <c r="J443" s="129">
        <v>46231</v>
      </c>
      <c r="K443" s="130">
        <v>0.53680555555555554</v>
      </c>
      <c r="L443" s="130">
        <v>0.54027777777777775</v>
      </c>
      <c r="M443" s="56" t="s">
        <v>1050</v>
      </c>
      <c r="N443" s="129">
        <v>46231</v>
      </c>
      <c r="O443" s="130">
        <v>0.60069444444444442</v>
      </c>
      <c r="P443" s="130">
        <v>0.58708333333333329</v>
      </c>
      <c r="Q443" s="56" t="s">
        <v>1050</v>
      </c>
      <c r="R443" s="56" t="s">
        <v>401</v>
      </c>
      <c r="S443" s="56">
        <v>31</v>
      </c>
      <c r="T443" s="131">
        <v>3.4722222222222099E-3</v>
      </c>
      <c r="U443" s="130">
        <v>-1.3611111111111129E-2</v>
      </c>
      <c r="V443" s="56" t="s">
        <v>1051</v>
      </c>
      <c r="W443" s="56" t="s">
        <v>1052</v>
      </c>
      <c r="X443" s="56" t="s">
        <v>1053</v>
      </c>
      <c r="Y443" s="56">
        <v>31</v>
      </c>
      <c r="Z443" s="56" t="s">
        <v>1054</v>
      </c>
      <c r="AA443" s="56" t="s">
        <v>2032</v>
      </c>
      <c r="AB443" s="56" t="s">
        <v>1120</v>
      </c>
      <c r="AC443" s="56" t="s">
        <v>1078</v>
      </c>
      <c r="AD443" s="56" t="s">
        <v>2033</v>
      </c>
      <c r="AE443" s="56" t="s">
        <v>2034</v>
      </c>
      <c r="AF443" s="56" t="s">
        <v>1237</v>
      </c>
      <c r="AG443" s="56" t="s">
        <v>2035</v>
      </c>
      <c r="AH443" s="56"/>
      <c r="AI443" s="56"/>
      <c r="AJ443" s="56"/>
      <c r="AK443" s="56"/>
      <c r="AL443" s="56"/>
      <c r="AM443" s="56"/>
      <c r="AN443" s="56"/>
      <c r="AO443" s="56"/>
      <c r="AP443" s="56"/>
      <c r="AQ443" s="131"/>
      <c r="AR443" s="130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</row>
    <row r="444" spans="1:56" x14ac:dyDescent="0.2">
      <c r="A444" s="56">
        <v>14113198</v>
      </c>
      <c r="B444" s="56">
        <v>175253143</v>
      </c>
      <c r="C444" s="56" t="s">
        <v>1568</v>
      </c>
      <c r="D444" s="56" t="s">
        <v>1392</v>
      </c>
      <c r="E444" s="56" t="s">
        <v>1047</v>
      </c>
      <c r="F444" s="56">
        <v>7</v>
      </c>
      <c r="G444" s="56">
        <v>15765</v>
      </c>
      <c r="H444" s="56" t="s">
        <v>1048</v>
      </c>
      <c r="I444" s="56" t="s">
        <v>1064</v>
      </c>
      <c r="J444" s="129">
        <v>46231</v>
      </c>
      <c r="K444" s="130">
        <v>0.53819444444444442</v>
      </c>
      <c r="L444" s="130">
        <v>0.54166666666666663</v>
      </c>
      <c r="M444" s="56" t="s">
        <v>1050</v>
      </c>
      <c r="N444" s="129">
        <v>46231</v>
      </c>
      <c r="O444" s="130">
        <v>0.60416666666666663</v>
      </c>
      <c r="P444" s="130">
        <v>0.59106481481481477</v>
      </c>
      <c r="Q444" s="56" t="s">
        <v>1050</v>
      </c>
      <c r="R444" s="56" t="s">
        <v>1393</v>
      </c>
      <c r="S444" s="56">
        <v>31</v>
      </c>
      <c r="T444" s="131">
        <v>3.4722222222222099E-3</v>
      </c>
      <c r="U444" s="130">
        <v>-1.3101851851851865E-2</v>
      </c>
      <c r="V444" s="56" t="s">
        <v>1051</v>
      </c>
      <c r="W444" s="56" t="s">
        <v>1052</v>
      </c>
      <c r="X444" s="56" t="s">
        <v>1053</v>
      </c>
      <c r="Y444" s="56">
        <v>31</v>
      </c>
      <c r="Z444" s="56" t="s">
        <v>1054</v>
      </c>
      <c r="AA444" s="56" t="s">
        <v>1394</v>
      </c>
      <c r="AB444" s="56" t="s">
        <v>1068</v>
      </c>
      <c r="AC444" s="56" t="s">
        <v>1069</v>
      </c>
      <c r="AD444" s="56" t="s">
        <v>1395</v>
      </c>
      <c r="AE444" s="56" t="s">
        <v>1396</v>
      </c>
      <c r="AF444" s="56" t="s">
        <v>1237</v>
      </c>
      <c r="AG444" s="56" t="s">
        <v>2595</v>
      </c>
      <c r="AH444" s="56"/>
      <c r="AI444" s="56"/>
      <c r="AJ444" s="56"/>
      <c r="AK444" s="56"/>
      <c r="AL444" s="56"/>
      <c r="AM444" s="56"/>
      <c r="AN444" s="56"/>
      <c r="AO444" s="56"/>
      <c r="AP444" s="56"/>
      <c r="AQ444" s="131"/>
      <c r="AR444" s="130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</row>
    <row r="445" spans="1:56" x14ac:dyDescent="0.2">
      <c r="A445" s="56">
        <v>14121791</v>
      </c>
      <c r="B445" s="56">
        <v>175254069</v>
      </c>
      <c r="C445" s="56" t="s">
        <v>1661</v>
      </c>
      <c r="D445" s="56" t="s">
        <v>1521</v>
      </c>
      <c r="E445" s="56" t="s">
        <v>1047</v>
      </c>
      <c r="F445" s="56">
        <v>22</v>
      </c>
      <c r="G445" s="56">
        <v>14687</v>
      </c>
      <c r="H445" s="56" t="s">
        <v>1048</v>
      </c>
      <c r="I445" s="56" t="s">
        <v>1172</v>
      </c>
      <c r="J445" s="129">
        <v>46231</v>
      </c>
      <c r="K445" s="130">
        <v>0.53819444444444442</v>
      </c>
      <c r="L445" s="130">
        <v>0.54236111111111107</v>
      </c>
      <c r="M445" s="56" t="s">
        <v>1050</v>
      </c>
      <c r="N445" s="129">
        <v>46231</v>
      </c>
      <c r="O445" s="130">
        <v>0.61458333333333337</v>
      </c>
      <c r="P445" s="130">
        <v>0.59940972222222222</v>
      </c>
      <c r="Q445" s="56" t="s">
        <v>1050</v>
      </c>
      <c r="R445" s="56" t="s">
        <v>354</v>
      </c>
      <c r="S445" s="56">
        <v>31</v>
      </c>
      <c r="T445" s="131">
        <v>4.1666666666666519E-3</v>
      </c>
      <c r="U445" s="130">
        <v>-1.5173611111111152E-2</v>
      </c>
      <c r="V445" s="56" t="s">
        <v>1051</v>
      </c>
      <c r="W445" s="56" t="s">
        <v>1052</v>
      </c>
      <c r="X445" s="56" t="s">
        <v>1053</v>
      </c>
      <c r="Y445" s="56">
        <v>31</v>
      </c>
      <c r="Z445" s="56" t="s">
        <v>1054</v>
      </c>
      <c r="AA445" s="56" t="s">
        <v>1522</v>
      </c>
      <c r="AB445" s="56" t="s">
        <v>1174</v>
      </c>
      <c r="AC445" s="56" t="s">
        <v>1057</v>
      </c>
      <c r="AD445" s="56" t="s">
        <v>1523</v>
      </c>
      <c r="AE445" s="56" t="s">
        <v>1524</v>
      </c>
      <c r="AF445" s="56" t="s">
        <v>1237</v>
      </c>
      <c r="AG445" s="56" t="s">
        <v>1662</v>
      </c>
      <c r="AH445" s="56"/>
      <c r="AI445" s="56"/>
      <c r="AJ445" s="56"/>
      <c r="AK445" s="56"/>
      <c r="AL445" s="56"/>
      <c r="AM445" s="56"/>
      <c r="AN445" s="56"/>
      <c r="AO445" s="56"/>
      <c r="AP445" s="56"/>
      <c r="AQ445" s="131"/>
      <c r="AR445" s="130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</row>
    <row r="446" spans="1:56" x14ac:dyDescent="0.2">
      <c r="A446" s="56">
        <v>14114320</v>
      </c>
      <c r="B446" s="56">
        <v>175249608</v>
      </c>
      <c r="C446" s="56" t="s">
        <v>1675</v>
      </c>
      <c r="D446" s="56" t="s">
        <v>1185</v>
      </c>
      <c r="E446" s="56" t="s">
        <v>1047</v>
      </c>
      <c r="F446" s="56">
        <v>98</v>
      </c>
      <c r="G446" s="56">
        <v>13377</v>
      </c>
      <c r="H446" s="56" t="s">
        <v>1048</v>
      </c>
      <c r="I446" s="56" t="s">
        <v>1676</v>
      </c>
      <c r="J446" s="129">
        <v>46231</v>
      </c>
      <c r="K446" s="130">
        <v>0.54166666666666663</v>
      </c>
      <c r="L446" s="130">
        <v>0.5493055555555556</v>
      </c>
      <c r="M446" s="56" t="s">
        <v>1050</v>
      </c>
      <c r="N446" s="129">
        <v>46231</v>
      </c>
      <c r="O446" s="130">
        <v>0.60069444444444442</v>
      </c>
      <c r="P446" s="130">
        <v>0.59260416666666671</v>
      </c>
      <c r="Q446" s="56" t="s">
        <v>1050</v>
      </c>
      <c r="R446" s="56" t="s">
        <v>312</v>
      </c>
      <c r="S446" s="56">
        <v>31</v>
      </c>
      <c r="T446" s="131">
        <v>7.6388888888889728E-3</v>
      </c>
      <c r="U446" s="130">
        <v>-8.0902777777777102E-3</v>
      </c>
      <c r="V446" s="56" t="s">
        <v>1051</v>
      </c>
      <c r="W446" s="56" t="s">
        <v>1052</v>
      </c>
      <c r="X446" s="56" t="s">
        <v>1053</v>
      </c>
      <c r="Y446" s="56">
        <v>31</v>
      </c>
      <c r="Z446" s="56" t="s">
        <v>1054</v>
      </c>
      <c r="AA446" s="56" t="s">
        <v>1677</v>
      </c>
      <c r="AB446" s="56" t="s">
        <v>1678</v>
      </c>
      <c r="AC446" s="56" t="s">
        <v>1078</v>
      </c>
      <c r="AD446" s="56" t="s">
        <v>1679</v>
      </c>
      <c r="AE446" s="56" t="s">
        <v>1680</v>
      </c>
      <c r="AF446" s="56" t="s">
        <v>1237</v>
      </c>
      <c r="AG446" s="56" t="s">
        <v>1681</v>
      </c>
      <c r="AH446" s="56"/>
      <c r="AI446" s="56"/>
      <c r="AJ446" s="56"/>
      <c r="AK446" s="56"/>
      <c r="AL446" s="56"/>
      <c r="AM446" s="56"/>
      <c r="AN446" s="56"/>
      <c r="AO446" s="56"/>
      <c r="AP446" s="56"/>
      <c r="AQ446" s="131"/>
      <c r="AR446" s="130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</row>
    <row r="447" spans="1:56" x14ac:dyDescent="0.2">
      <c r="A447" s="56">
        <v>14102701</v>
      </c>
      <c r="B447" s="56">
        <v>175238722</v>
      </c>
      <c r="C447" s="56" t="s">
        <v>2596</v>
      </c>
      <c r="D447" s="56" t="s">
        <v>2540</v>
      </c>
      <c r="E447" s="56" t="s">
        <v>1047</v>
      </c>
      <c r="F447" s="56">
        <v>6</v>
      </c>
      <c r="G447" s="56">
        <v>5720</v>
      </c>
      <c r="H447" s="56" t="s">
        <v>1048</v>
      </c>
      <c r="I447" s="56" t="s">
        <v>1192</v>
      </c>
      <c r="J447" s="129">
        <v>46231</v>
      </c>
      <c r="K447" s="130">
        <v>0.54513888888888884</v>
      </c>
      <c r="L447" s="130">
        <v>0.65208333333333335</v>
      </c>
      <c r="M447" s="56" t="s">
        <v>1050</v>
      </c>
      <c r="N447" s="129">
        <v>46231</v>
      </c>
      <c r="O447" s="130">
        <v>0.60416666666666663</v>
      </c>
      <c r="P447" s="56"/>
      <c r="Q447" s="56" t="s">
        <v>1286</v>
      </c>
      <c r="R447" s="56" t="s">
        <v>2541</v>
      </c>
      <c r="S447" s="56">
        <v>31</v>
      </c>
      <c r="T447" s="131">
        <v>0.10694444444444451</v>
      </c>
      <c r="U447" s="130">
        <v>-0.60416666666666663</v>
      </c>
      <c r="V447" s="56" t="s">
        <v>1051</v>
      </c>
      <c r="W447" s="56" t="s">
        <v>1052</v>
      </c>
      <c r="X447" s="56" t="s">
        <v>1053</v>
      </c>
      <c r="Y447" s="56">
        <v>31</v>
      </c>
      <c r="Z447" s="56" t="s">
        <v>1054</v>
      </c>
      <c r="AA447" s="56" t="s">
        <v>2542</v>
      </c>
      <c r="AB447" s="56" t="s">
        <v>1194</v>
      </c>
      <c r="AC447" s="56" t="s">
        <v>1057</v>
      </c>
      <c r="AD447" s="56" t="s">
        <v>2543</v>
      </c>
      <c r="AE447" s="56" t="s">
        <v>2544</v>
      </c>
      <c r="AF447" s="56" t="s">
        <v>1237</v>
      </c>
      <c r="AG447" s="56" t="s">
        <v>2597</v>
      </c>
      <c r="AH447" s="56"/>
      <c r="AI447" s="56"/>
      <c r="AJ447" s="56"/>
      <c r="AK447" s="56"/>
      <c r="AL447" s="56"/>
      <c r="AM447" s="56"/>
      <c r="AN447" s="56"/>
      <c r="AO447" s="56"/>
      <c r="AP447" s="56"/>
      <c r="AQ447" s="131"/>
      <c r="AR447" s="130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</row>
    <row r="448" spans="1:56" x14ac:dyDescent="0.2">
      <c r="A448" s="56">
        <v>14103183</v>
      </c>
      <c r="B448" s="56">
        <v>175245172</v>
      </c>
      <c r="C448" s="56" t="s">
        <v>2048</v>
      </c>
      <c r="D448" s="56" t="s">
        <v>1339</v>
      </c>
      <c r="E448" s="56" t="s">
        <v>1047</v>
      </c>
      <c r="F448" s="56">
        <v>1</v>
      </c>
      <c r="G448" s="56">
        <v>15313</v>
      </c>
      <c r="H448" s="56" t="s">
        <v>1048</v>
      </c>
      <c r="I448" s="56" t="s">
        <v>1340</v>
      </c>
      <c r="J448" s="129">
        <v>46231</v>
      </c>
      <c r="K448" s="130">
        <v>0.55208333333333337</v>
      </c>
      <c r="L448" s="130">
        <v>0.55555555555555558</v>
      </c>
      <c r="M448" s="56" t="s">
        <v>1050</v>
      </c>
      <c r="N448" s="129">
        <v>46231</v>
      </c>
      <c r="O448" s="130">
        <v>0.57291666666666663</v>
      </c>
      <c r="P448" s="130">
        <v>0.57011574074074078</v>
      </c>
      <c r="Q448" s="56" t="s">
        <v>1050</v>
      </c>
      <c r="R448" s="56" t="s">
        <v>35</v>
      </c>
      <c r="S448" s="56">
        <v>31</v>
      </c>
      <c r="T448" s="131">
        <v>3.4722222222222099E-3</v>
      </c>
      <c r="U448" s="130">
        <v>-2.8009259259258457E-3</v>
      </c>
      <c r="V448" s="56" t="s">
        <v>1051</v>
      </c>
      <c r="W448" s="56" t="s">
        <v>1052</v>
      </c>
      <c r="X448" s="56" t="s">
        <v>1053</v>
      </c>
      <c r="Y448" s="56">
        <v>31</v>
      </c>
      <c r="Z448" s="56" t="s">
        <v>1054</v>
      </c>
      <c r="AA448" s="56" t="s">
        <v>1341</v>
      </c>
      <c r="AB448" s="56" t="s">
        <v>1342</v>
      </c>
      <c r="AC448" s="56" t="s">
        <v>1069</v>
      </c>
      <c r="AD448" s="56" t="s">
        <v>1343</v>
      </c>
      <c r="AE448" s="56" t="s">
        <v>1344</v>
      </c>
      <c r="AF448" s="56" t="s">
        <v>1237</v>
      </c>
      <c r="AG448" s="56" t="s">
        <v>2049</v>
      </c>
      <c r="AH448" s="56"/>
      <c r="AI448" s="56"/>
      <c r="AJ448" s="56"/>
      <c r="AK448" s="56"/>
      <c r="AL448" s="56"/>
      <c r="AM448" s="56"/>
      <c r="AN448" s="56"/>
      <c r="AO448" s="132"/>
      <c r="AP448" s="56"/>
      <c r="AQ448" s="131"/>
      <c r="AR448" s="130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</row>
    <row r="449" spans="1:56" x14ac:dyDescent="0.2">
      <c r="A449" s="56">
        <v>14123312</v>
      </c>
      <c r="B449" s="56">
        <v>175262309</v>
      </c>
      <c r="C449" s="56" t="s">
        <v>2050</v>
      </c>
      <c r="D449" s="56" t="s">
        <v>1534</v>
      </c>
      <c r="E449" s="56" t="s">
        <v>1047</v>
      </c>
      <c r="F449" s="56">
        <v>173</v>
      </c>
      <c r="G449" s="56">
        <v>6901</v>
      </c>
      <c r="H449" s="56" t="s">
        <v>1048</v>
      </c>
      <c r="I449" s="56" t="s">
        <v>1172</v>
      </c>
      <c r="J449" s="129">
        <v>46231</v>
      </c>
      <c r="K449" s="130">
        <v>0.55347222222222225</v>
      </c>
      <c r="L449" s="130">
        <v>0.55694444444444446</v>
      </c>
      <c r="M449" s="56" t="s">
        <v>1050</v>
      </c>
      <c r="N449" s="129">
        <v>46231</v>
      </c>
      <c r="O449" s="130">
        <v>0.61458333333333337</v>
      </c>
      <c r="P449" s="130">
        <v>0.59195601851851853</v>
      </c>
      <c r="Q449" s="56" t="s">
        <v>1050</v>
      </c>
      <c r="R449" s="56" t="s">
        <v>496</v>
      </c>
      <c r="S449" s="56">
        <v>31</v>
      </c>
      <c r="T449" s="131">
        <v>3.4722222222222099E-3</v>
      </c>
      <c r="U449" s="130">
        <v>-2.2627314814814836E-2</v>
      </c>
      <c r="V449" s="56" t="s">
        <v>1051</v>
      </c>
      <c r="W449" s="56" t="s">
        <v>1052</v>
      </c>
      <c r="X449" s="56" t="s">
        <v>1053</v>
      </c>
      <c r="Y449" s="56">
        <v>31</v>
      </c>
      <c r="Z449" s="56" t="s">
        <v>1054</v>
      </c>
      <c r="AA449" s="56" t="s">
        <v>1535</v>
      </c>
      <c r="AB449" s="56" t="s">
        <v>1174</v>
      </c>
      <c r="AC449" s="56" t="s">
        <v>1057</v>
      </c>
      <c r="AD449" s="56" t="s">
        <v>1536</v>
      </c>
      <c r="AE449" s="56" t="s">
        <v>1537</v>
      </c>
      <c r="AF449" s="56" t="s">
        <v>1237</v>
      </c>
      <c r="AG449" s="56" t="s">
        <v>2051</v>
      </c>
      <c r="AH449" s="56"/>
      <c r="AI449" s="56"/>
      <c r="AJ449" s="56"/>
      <c r="AK449" s="56"/>
      <c r="AL449" s="56"/>
      <c r="AM449" s="56"/>
      <c r="AN449" s="56"/>
      <c r="AO449" s="56"/>
      <c r="AP449" s="56"/>
      <c r="AQ449" s="131"/>
      <c r="AR449" s="130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</row>
    <row r="450" spans="1:56" x14ac:dyDescent="0.2">
      <c r="A450" s="56">
        <v>14122294</v>
      </c>
      <c r="B450" s="56">
        <v>175261891</v>
      </c>
      <c r="C450" s="56" t="s">
        <v>2274</v>
      </c>
      <c r="D450" s="56" t="s">
        <v>2275</v>
      </c>
      <c r="E450" s="56" t="s">
        <v>1047</v>
      </c>
      <c r="F450" s="56">
        <v>155</v>
      </c>
      <c r="G450" s="56">
        <v>13005</v>
      </c>
      <c r="H450" s="56" t="s">
        <v>1048</v>
      </c>
      <c r="I450" s="56" t="s">
        <v>1172</v>
      </c>
      <c r="J450" s="129">
        <v>46231</v>
      </c>
      <c r="K450" s="130">
        <v>0.55625000000000002</v>
      </c>
      <c r="L450" s="130">
        <v>0.56041666666666667</v>
      </c>
      <c r="M450" s="56" t="s">
        <v>1050</v>
      </c>
      <c r="N450" s="129">
        <v>46231</v>
      </c>
      <c r="O450" s="130">
        <v>0.61458333333333337</v>
      </c>
      <c r="P450" s="130">
        <v>0.59721064814814817</v>
      </c>
      <c r="Q450" s="56" t="s">
        <v>1050</v>
      </c>
      <c r="R450" s="56" t="s">
        <v>404</v>
      </c>
      <c r="S450" s="56">
        <v>31</v>
      </c>
      <c r="T450" s="131">
        <v>4.1666666666666519E-3</v>
      </c>
      <c r="U450" s="130">
        <v>-1.7372685185185199E-2</v>
      </c>
      <c r="V450" s="56" t="s">
        <v>1051</v>
      </c>
      <c r="W450" s="56" t="s">
        <v>1052</v>
      </c>
      <c r="X450" s="56" t="s">
        <v>1053</v>
      </c>
      <c r="Y450" s="56">
        <v>31</v>
      </c>
      <c r="Z450" s="56" t="s">
        <v>1054</v>
      </c>
      <c r="AA450" s="56" t="s">
        <v>2276</v>
      </c>
      <c r="AB450" s="56" t="s">
        <v>1174</v>
      </c>
      <c r="AC450" s="56" t="s">
        <v>1057</v>
      </c>
      <c r="AD450" s="56" t="s">
        <v>2277</v>
      </c>
      <c r="AE450" s="56" t="s">
        <v>2278</v>
      </c>
      <c r="AF450" s="56" t="s">
        <v>1237</v>
      </c>
      <c r="AG450" s="56" t="s">
        <v>2279</v>
      </c>
      <c r="AH450" s="56"/>
      <c r="AI450" s="56"/>
      <c r="AJ450" s="56"/>
      <c r="AK450" s="56"/>
      <c r="AL450" s="56"/>
      <c r="AM450" s="56"/>
      <c r="AN450" s="56"/>
      <c r="AO450" s="56"/>
      <c r="AP450" s="56"/>
      <c r="AQ450" s="131"/>
      <c r="AR450" s="130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</row>
    <row r="451" spans="1:56" x14ac:dyDescent="0.2">
      <c r="A451" s="56">
        <v>14123459</v>
      </c>
      <c r="B451" s="56">
        <v>175254786</v>
      </c>
      <c r="C451" s="56" t="s">
        <v>1745</v>
      </c>
      <c r="D451" s="56" t="s">
        <v>1553</v>
      </c>
      <c r="E451" s="56" t="s">
        <v>1047</v>
      </c>
      <c r="F451" s="56">
        <v>34</v>
      </c>
      <c r="G451" s="56">
        <v>13502</v>
      </c>
      <c r="H451" s="56" t="s">
        <v>1048</v>
      </c>
      <c r="I451" s="56" t="s">
        <v>1172</v>
      </c>
      <c r="J451" s="129">
        <v>46231</v>
      </c>
      <c r="K451" s="130">
        <v>0.58263888888888893</v>
      </c>
      <c r="L451" s="130">
        <v>0.58611111111111114</v>
      </c>
      <c r="M451" s="56" t="s">
        <v>1050</v>
      </c>
      <c r="N451" s="129">
        <v>46231</v>
      </c>
      <c r="O451" s="130">
        <v>0.61458333333333337</v>
      </c>
      <c r="P451" s="130">
        <v>0.62376157407407407</v>
      </c>
      <c r="Q451" s="56" t="s">
        <v>1050</v>
      </c>
      <c r="R451" s="56" t="s">
        <v>509</v>
      </c>
      <c r="S451" s="56">
        <v>31</v>
      </c>
      <c r="T451" s="131">
        <v>3.4722222222222099E-3</v>
      </c>
      <c r="U451" s="130">
        <v>9.1782407407406952E-3</v>
      </c>
      <c r="V451" s="56" t="s">
        <v>1051</v>
      </c>
      <c r="W451" s="56" t="s">
        <v>1065</v>
      </c>
      <c r="X451" s="56" t="s">
        <v>1066</v>
      </c>
      <c r="Y451" s="56">
        <v>31</v>
      </c>
      <c r="Z451" s="56" t="s">
        <v>1054</v>
      </c>
      <c r="AA451" s="56" t="s">
        <v>1554</v>
      </c>
      <c r="AB451" s="56" t="s">
        <v>1174</v>
      </c>
      <c r="AC451" s="56" t="s">
        <v>1057</v>
      </c>
      <c r="AD451" s="56" t="s">
        <v>1555</v>
      </c>
      <c r="AE451" s="56" t="s">
        <v>1556</v>
      </c>
      <c r="AF451" s="56" t="s">
        <v>1237</v>
      </c>
      <c r="AG451" s="56" t="s">
        <v>1746</v>
      </c>
      <c r="AH451" s="56"/>
      <c r="AI451" s="56"/>
      <c r="AJ451" s="56"/>
      <c r="AK451" s="56"/>
      <c r="AL451" s="56"/>
      <c r="AM451" s="56"/>
      <c r="AN451" s="56"/>
      <c r="AO451" s="56"/>
      <c r="AP451" s="56"/>
      <c r="AQ451" s="131"/>
      <c r="AR451" s="130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</row>
    <row r="452" spans="1:56" x14ac:dyDescent="0.2">
      <c r="A452" s="56">
        <v>14119153</v>
      </c>
      <c r="B452" s="56">
        <v>175261084</v>
      </c>
      <c r="C452" s="56" t="s">
        <v>2598</v>
      </c>
      <c r="D452" s="56" t="s">
        <v>2532</v>
      </c>
      <c r="E452" s="56" t="s">
        <v>1047</v>
      </c>
      <c r="F452" s="56">
        <v>39</v>
      </c>
      <c r="G452" s="56">
        <v>4396</v>
      </c>
      <c r="H452" s="56" t="s">
        <v>1048</v>
      </c>
      <c r="I452" s="56" t="s">
        <v>1090</v>
      </c>
      <c r="J452" s="129">
        <v>46231</v>
      </c>
      <c r="K452" s="130">
        <v>0.70138888888888884</v>
      </c>
      <c r="L452" s="130">
        <v>0.70625000000000004</v>
      </c>
      <c r="M452" s="56" t="s">
        <v>1050</v>
      </c>
      <c r="N452" s="129">
        <v>46231</v>
      </c>
      <c r="O452" s="130">
        <v>0.76736111111111116</v>
      </c>
      <c r="P452" s="130">
        <v>0.75946759259259256</v>
      </c>
      <c r="Q452" s="56" t="s">
        <v>1050</v>
      </c>
      <c r="R452" s="56" t="s">
        <v>231</v>
      </c>
      <c r="S452" s="56">
        <v>31</v>
      </c>
      <c r="T452" s="131">
        <v>4.8611111111112049E-3</v>
      </c>
      <c r="U452" s="130">
        <v>-7.8935185185186052E-3</v>
      </c>
      <c r="V452" s="56" t="s">
        <v>1051</v>
      </c>
      <c r="W452" s="56" t="s">
        <v>1052</v>
      </c>
      <c r="X452" s="56" t="s">
        <v>1053</v>
      </c>
      <c r="Y452" s="56">
        <v>31</v>
      </c>
      <c r="Z452" s="56" t="s">
        <v>1054</v>
      </c>
      <c r="AA452" s="56" t="s">
        <v>2533</v>
      </c>
      <c r="AB452" s="56" t="s">
        <v>1092</v>
      </c>
      <c r="AC452" s="56" t="s">
        <v>1078</v>
      </c>
      <c r="AD452" s="56" t="s">
        <v>2534</v>
      </c>
      <c r="AE452" s="56" t="s">
        <v>2535</v>
      </c>
      <c r="AF452" s="56" t="s">
        <v>1237</v>
      </c>
      <c r="AG452" s="56" t="s">
        <v>2599</v>
      </c>
      <c r="AH452" s="56"/>
      <c r="AI452" s="56"/>
      <c r="AJ452" s="56"/>
      <c r="AK452" s="56"/>
      <c r="AL452" s="56"/>
      <c r="AM452" s="56"/>
      <c r="AN452" s="56"/>
      <c r="AO452" s="56"/>
      <c r="AP452" s="56"/>
      <c r="AQ452" s="131"/>
      <c r="AR452" s="130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</row>
    <row r="453" spans="1:56" x14ac:dyDescent="0.2">
      <c r="A453" s="56">
        <v>14123462</v>
      </c>
      <c r="B453" s="56">
        <v>175261132</v>
      </c>
      <c r="C453" s="56" t="s">
        <v>2600</v>
      </c>
      <c r="D453" s="56" t="s">
        <v>2601</v>
      </c>
      <c r="E453" s="56" t="s">
        <v>1047</v>
      </c>
      <c r="F453" s="56">
        <v>63</v>
      </c>
      <c r="G453" s="56">
        <v>4339</v>
      </c>
      <c r="H453" s="56" t="s">
        <v>1048</v>
      </c>
      <c r="I453" s="56" t="s">
        <v>1090</v>
      </c>
      <c r="J453" s="129">
        <v>46231</v>
      </c>
      <c r="K453" s="130">
        <v>0.70138888888888884</v>
      </c>
      <c r="L453" s="130">
        <v>0.7055555555555556</v>
      </c>
      <c r="M453" s="56" t="s">
        <v>1050</v>
      </c>
      <c r="N453" s="129">
        <v>46231</v>
      </c>
      <c r="O453" s="130">
        <v>0.76736111111111116</v>
      </c>
      <c r="P453" s="130">
        <v>0.75057870370370372</v>
      </c>
      <c r="Q453" s="56" t="s">
        <v>1050</v>
      </c>
      <c r="R453" s="56" t="s">
        <v>517</v>
      </c>
      <c r="S453" s="56">
        <v>31</v>
      </c>
      <c r="T453" s="131">
        <v>4.1666666666667629E-3</v>
      </c>
      <c r="U453" s="130">
        <v>-1.678240740740744E-2</v>
      </c>
      <c r="V453" s="56" t="s">
        <v>1051</v>
      </c>
      <c r="W453" s="56" t="s">
        <v>1052</v>
      </c>
      <c r="X453" s="56" t="s">
        <v>1053</v>
      </c>
      <c r="Y453" s="56">
        <v>31</v>
      </c>
      <c r="Z453" s="56" t="s">
        <v>1054</v>
      </c>
      <c r="AA453" s="56" t="s">
        <v>2602</v>
      </c>
      <c r="AB453" s="56" t="s">
        <v>1092</v>
      </c>
      <c r="AC453" s="56" t="s">
        <v>1078</v>
      </c>
      <c r="AD453" s="56" t="s">
        <v>2603</v>
      </c>
      <c r="AE453" s="56" t="s">
        <v>2604</v>
      </c>
      <c r="AF453" s="56" t="s">
        <v>1237</v>
      </c>
      <c r="AG453" s="56" t="s">
        <v>2605</v>
      </c>
      <c r="AH453" s="56"/>
      <c r="AI453" s="56"/>
      <c r="AJ453" s="56"/>
      <c r="AK453" s="56"/>
      <c r="AL453" s="56"/>
      <c r="AM453" s="56"/>
      <c r="AN453" s="56"/>
      <c r="AO453" s="56"/>
      <c r="AP453" s="56"/>
      <c r="AQ453" s="131"/>
      <c r="AR453" s="130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</row>
    <row r="454" spans="1:56" x14ac:dyDescent="0.2">
      <c r="A454" s="56">
        <v>14116262</v>
      </c>
      <c r="B454" s="56">
        <v>175255309</v>
      </c>
      <c r="C454" s="56" t="s">
        <v>2295</v>
      </c>
      <c r="D454" s="56" t="s">
        <v>2296</v>
      </c>
      <c r="E454" s="56" t="s">
        <v>1047</v>
      </c>
      <c r="F454" s="56">
        <v>18</v>
      </c>
      <c r="G454" s="56">
        <v>11943</v>
      </c>
      <c r="H454" s="56" t="s">
        <v>1048</v>
      </c>
      <c r="I454" s="56" t="s">
        <v>1049</v>
      </c>
      <c r="J454" s="129">
        <v>46231</v>
      </c>
      <c r="K454" s="130">
        <v>0.70486111111111116</v>
      </c>
      <c r="L454" s="130">
        <v>0.72361111111111109</v>
      </c>
      <c r="M454" s="56" t="s">
        <v>1050</v>
      </c>
      <c r="N454" s="129">
        <v>46231</v>
      </c>
      <c r="O454" s="130">
        <v>0.76041666666666663</v>
      </c>
      <c r="P454" s="130">
        <v>0.74873842592592588</v>
      </c>
      <c r="Q454" s="56" t="s">
        <v>1050</v>
      </c>
      <c r="R454" s="56" t="s">
        <v>157</v>
      </c>
      <c r="S454" s="56">
        <v>31</v>
      </c>
      <c r="T454" s="131">
        <v>1.8749999999999933E-2</v>
      </c>
      <c r="U454" s="130">
        <v>-1.1678240740740753E-2</v>
      </c>
      <c r="V454" s="56" t="s">
        <v>1051</v>
      </c>
      <c r="W454" s="56" t="s">
        <v>1052</v>
      </c>
      <c r="X454" s="56" t="s">
        <v>1053</v>
      </c>
      <c r="Y454" s="56">
        <v>31</v>
      </c>
      <c r="Z454" s="56" t="s">
        <v>1054</v>
      </c>
      <c r="AA454" s="56" t="s">
        <v>2297</v>
      </c>
      <c r="AB454" s="56" t="s">
        <v>1056</v>
      </c>
      <c r="AC454" s="56" t="s">
        <v>1057</v>
      </c>
      <c r="AD454" s="56" t="s">
        <v>2298</v>
      </c>
      <c r="AE454" s="56" t="s">
        <v>2299</v>
      </c>
      <c r="AF454" s="56" t="s">
        <v>1237</v>
      </c>
      <c r="AG454" s="56" t="s">
        <v>2300</v>
      </c>
      <c r="AH454" s="56"/>
      <c r="AI454" s="56"/>
      <c r="AJ454" s="56"/>
      <c r="AK454" s="56"/>
      <c r="AL454" s="56"/>
      <c r="AM454" s="56"/>
      <c r="AN454" s="56"/>
      <c r="AO454" s="56"/>
      <c r="AP454" s="56"/>
      <c r="AQ454" s="131"/>
      <c r="AR454" s="130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</row>
    <row r="455" spans="1:56" x14ac:dyDescent="0.2">
      <c r="A455" s="56">
        <v>14107217</v>
      </c>
      <c r="B455" s="56">
        <v>175261164</v>
      </c>
      <c r="C455" s="56" t="s">
        <v>1315</v>
      </c>
      <c r="D455" s="56" t="s">
        <v>1316</v>
      </c>
      <c r="E455" s="56" t="s">
        <v>1047</v>
      </c>
      <c r="F455" s="56">
        <v>79</v>
      </c>
      <c r="G455" s="56">
        <v>6885</v>
      </c>
      <c r="H455" s="56" t="s">
        <v>1048</v>
      </c>
      <c r="I455" s="56" t="s">
        <v>1090</v>
      </c>
      <c r="J455" s="129">
        <v>46231</v>
      </c>
      <c r="K455" s="130">
        <v>0.70833333333333337</v>
      </c>
      <c r="L455" s="130">
        <v>0.71875</v>
      </c>
      <c r="M455" s="56" t="s">
        <v>1050</v>
      </c>
      <c r="N455" s="129">
        <v>46231</v>
      </c>
      <c r="O455" s="130">
        <v>0.76736111111111116</v>
      </c>
      <c r="P455" s="130">
        <v>0.75126157407407412</v>
      </c>
      <c r="Q455" s="56" t="s">
        <v>1050</v>
      </c>
      <c r="R455" s="56" t="s">
        <v>59</v>
      </c>
      <c r="S455" s="56">
        <v>31</v>
      </c>
      <c r="T455" s="131">
        <v>1.041666666666663E-2</v>
      </c>
      <c r="U455" s="130">
        <v>-1.6099537037037037E-2</v>
      </c>
      <c r="V455" s="56" t="s">
        <v>1051</v>
      </c>
      <c r="W455" s="56" t="s">
        <v>1052</v>
      </c>
      <c r="X455" s="56" t="s">
        <v>1053</v>
      </c>
      <c r="Y455" s="56">
        <v>31</v>
      </c>
      <c r="Z455" s="56" t="s">
        <v>1054</v>
      </c>
      <c r="AA455" s="56" t="s">
        <v>1317</v>
      </c>
      <c r="AB455" s="56" t="s">
        <v>1092</v>
      </c>
      <c r="AC455" s="56" t="s">
        <v>1078</v>
      </c>
      <c r="AD455" s="56" t="s">
        <v>1318</v>
      </c>
      <c r="AE455" s="56" t="s">
        <v>1319</v>
      </c>
      <c r="AF455" s="56" t="s">
        <v>1237</v>
      </c>
      <c r="AG455" s="56" t="s">
        <v>1320</v>
      </c>
      <c r="AH455" s="56"/>
      <c r="AI455" s="56"/>
      <c r="AJ455" s="56"/>
      <c r="AK455" s="56"/>
      <c r="AL455" s="56"/>
      <c r="AM455" s="56"/>
      <c r="AN455" s="56"/>
      <c r="AO455" s="56"/>
      <c r="AP455" s="56"/>
      <c r="AQ455" s="131"/>
      <c r="AR455" s="130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</row>
    <row r="456" spans="1:56" x14ac:dyDescent="0.2">
      <c r="A456" s="56">
        <v>14107818</v>
      </c>
      <c r="B456" s="56">
        <v>175261080</v>
      </c>
      <c r="C456" s="56" t="s">
        <v>2606</v>
      </c>
      <c r="D456" s="56" t="s">
        <v>2607</v>
      </c>
      <c r="E456" s="56" t="s">
        <v>1047</v>
      </c>
      <c r="F456" s="56">
        <v>37</v>
      </c>
      <c r="G456" s="56">
        <v>11830</v>
      </c>
      <c r="H456" s="56" t="s">
        <v>1048</v>
      </c>
      <c r="I456" s="56" t="s">
        <v>1090</v>
      </c>
      <c r="J456" s="129">
        <v>46231</v>
      </c>
      <c r="K456" s="130">
        <v>0.71527777777777779</v>
      </c>
      <c r="L456" s="130">
        <v>0.73055555555555551</v>
      </c>
      <c r="M456" s="56" t="s">
        <v>1050</v>
      </c>
      <c r="N456" s="129">
        <v>46231</v>
      </c>
      <c r="O456" s="130">
        <v>0.76736111111111116</v>
      </c>
      <c r="P456" s="130">
        <v>0.76005787037037043</v>
      </c>
      <c r="Q456" s="56" t="s">
        <v>1050</v>
      </c>
      <c r="R456" s="56" t="s">
        <v>2608</v>
      </c>
      <c r="S456" s="56">
        <v>31</v>
      </c>
      <c r="T456" s="131">
        <v>1.5277777777777724E-2</v>
      </c>
      <c r="U456" s="130">
        <v>-7.3032407407407351E-3</v>
      </c>
      <c r="V456" s="56" t="s">
        <v>1051</v>
      </c>
      <c r="W456" s="56" t="s">
        <v>1052</v>
      </c>
      <c r="X456" s="56" t="s">
        <v>1053</v>
      </c>
      <c r="Y456" s="56">
        <v>31</v>
      </c>
      <c r="Z456" s="56" t="s">
        <v>1054</v>
      </c>
      <c r="AA456" s="56" t="s">
        <v>2609</v>
      </c>
      <c r="AB456" s="56" t="s">
        <v>1092</v>
      </c>
      <c r="AC456" s="56" t="s">
        <v>1078</v>
      </c>
      <c r="AD456" s="56" t="s">
        <v>2610</v>
      </c>
      <c r="AE456" s="56" t="s">
        <v>2611</v>
      </c>
      <c r="AF456" s="56" t="s">
        <v>1237</v>
      </c>
      <c r="AG456" s="56" t="s">
        <v>2612</v>
      </c>
      <c r="AH456" s="56"/>
      <c r="AI456" s="56"/>
      <c r="AJ456" s="56"/>
      <c r="AK456" s="56"/>
      <c r="AL456" s="56"/>
      <c r="AM456" s="56"/>
      <c r="AN456" s="56"/>
      <c r="AO456" s="56"/>
      <c r="AP456" s="56"/>
      <c r="AQ456" s="131"/>
      <c r="AR456" s="130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</row>
    <row r="457" spans="1:56" x14ac:dyDescent="0.2">
      <c r="A457" s="56">
        <v>14116352</v>
      </c>
      <c r="B457" s="56">
        <v>175255297</v>
      </c>
      <c r="C457" s="56" t="s">
        <v>2613</v>
      </c>
      <c r="D457" s="56" t="s">
        <v>2614</v>
      </c>
      <c r="E457" s="56" t="s">
        <v>1047</v>
      </c>
      <c r="F457" s="56">
        <v>1</v>
      </c>
      <c r="G457" s="56">
        <v>15685</v>
      </c>
      <c r="H457" s="56" t="s">
        <v>1048</v>
      </c>
      <c r="I457" s="56" t="s">
        <v>1049</v>
      </c>
      <c r="J457" s="129">
        <v>46231</v>
      </c>
      <c r="K457" s="130">
        <v>0.72222222222222221</v>
      </c>
      <c r="L457" s="130">
        <v>0.72569444444444442</v>
      </c>
      <c r="M457" s="56" t="s">
        <v>1050</v>
      </c>
      <c r="N457" s="129">
        <v>46231</v>
      </c>
      <c r="O457" s="130">
        <v>0.76041666666666663</v>
      </c>
      <c r="P457" s="130">
        <v>0.75621527777777775</v>
      </c>
      <c r="Q457" s="56" t="s">
        <v>1050</v>
      </c>
      <c r="R457" s="56" t="s">
        <v>159</v>
      </c>
      <c r="S457" s="56">
        <v>31</v>
      </c>
      <c r="T457" s="131">
        <v>3.4722222222222099E-3</v>
      </c>
      <c r="U457" s="130">
        <v>-4.2013888888888795E-3</v>
      </c>
      <c r="V457" s="56" t="s">
        <v>1051</v>
      </c>
      <c r="W457" s="56" t="s">
        <v>1052</v>
      </c>
      <c r="X457" s="56" t="s">
        <v>1053</v>
      </c>
      <c r="Y457" s="56">
        <v>31</v>
      </c>
      <c r="Z457" s="56" t="s">
        <v>1054</v>
      </c>
      <c r="AA457" s="56" t="s">
        <v>2615</v>
      </c>
      <c r="AB457" s="56" t="s">
        <v>1056</v>
      </c>
      <c r="AC457" s="56" t="s">
        <v>1057</v>
      </c>
      <c r="AD457" s="56" t="s">
        <v>2616</v>
      </c>
      <c r="AE457" s="56" t="s">
        <v>2617</v>
      </c>
      <c r="AF457" s="56" t="s">
        <v>1237</v>
      </c>
      <c r="AG457" s="56" t="s">
        <v>2618</v>
      </c>
      <c r="AH457" s="56"/>
      <c r="AI457" s="56"/>
      <c r="AJ457" s="56"/>
      <c r="AK457" s="56"/>
      <c r="AL457" s="56"/>
      <c r="AM457" s="56"/>
      <c r="AN457" s="56"/>
      <c r="AO457" s="56"/>
      <c r="AP457" s="56"/>
      <c r="AQ457" s="131"/>
      <c r="AR457" s="130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</row>
    <row r="458" spans="1:56" x14ac:dyDescent="0.2">
      <c r="A458" s="56">
        <v>14123573</v>
      </c>
      <c r="B458" s="56">
        <v>175238726</v>
      </c>
      <c r="C458" s="56" t="s">
        <v>2083</v>
      </c>
      <c r="D458" s="56" t="s">
        <v>2004</v>
      </c>
      <c r="E458" s="56" t="s">
        <v>1047</v>
      </c>
      <c r="F458" s="56">
        <v>7</v>
      </c>
      <c r="G458" s="56">
        <v>5722</v>
      </c>
      <c r="H458" s="56" t="s">
        <v>1048</v>
      </c>
      <c r="I458" s="56" t="s">
        <v>1192</v>
      </c>
      <c r="J458" s="129">
        <v>46231</v>
      </c>
      <c r="K458" s="130">
        <v>0.82986111111111116</v>
      </c>
      <c r="L458" s="130">
        <v>0.83402777777777781</v>
      </c>
      <c r="M458" s="56" t="s">
        <v>1050</v>
      </c>
      <c r="N458" s="129">
        <v>46231</v>
      </c>
      <c r="O458" s="130">
        <v>0.90277777777777779</v>
      </c>
      <c r="P458" s="130">
        <v>0.89166666666666672</v>
      </c>
      <c r="Q458" s="56" t="s">
        <v>1050</v>
      </c>
      <c r="R458" s="56" t="s">
        <v>538</v>
      </c>
      <c r="S458" s="56">
        <v>31</v>
      </c>
      <c r="T458" s="131">
        <v>4.1666666666666519E-3</v>
      </c>
      <c r="U458" s="130">
        <v>-1.1111111111111072E-2</v>
      </c>
      <c r="V458" s="56" t="s">
        <v>1051</v>
      </c>
      <c r="W458" s="56" t="s">
        <v>1052</v>
      </c>
      <c r="X458" s="56" t="s">
        <v>1053</v>
      </c>
      <c r="Y458" s="56">
        <v>31</v>
      </c>
      <c r="Z458" s="56" t="s">
        <v>1054</v>
      </c>
      <c r="AA458" s="56" t="s">
        <v>2005</v>
      </c>
      <c r="AB458" s="56" t="s">
        <v>1194</v>
      </c>
      <c r="AC458" s="56" t="s">
        <v>1057</v>
      </c>
      <c r="AD458" s="56" t="s">
        <v>2006</v>
      </c>
      <c r="AE458" s="56" t="s">
        <v>2007</v>
      </c>
      <c r="AF458" s="56" t="s">
        <v>1336</v>
      </c>
      <c r="AG458" s="56" t="s">
        <v>2084</v>
      </c>
      <c r="AH458" s="56"/>
      <c r="AI458" s="56"/>
      <c r="AJ458" s="56"/>
      <c r="AK458" s="56"/>
      <c r="AL458" s="56"/>
      <c r="AM458" s="56"/>
      <c r="AN458" s="56"/>
      <c r="AO458" s="56"/>
      <c r="AP458" s="56"/>
      <c r="AQ458" s="131"/>
      <c r="AR458" s="130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</row>
    <row r="459" spans="1:56" x14ac:dyDescent="0.2">
      <c r="A459" s="56">
        <v>14118186</v>
      </c>
      <c r="B459" s="56">
        <v>175238682</v>
      </c>
      <c r="C459" s="56" t="s">
        <v>1775</v>
      </c>
      <c r="D459" s="56" t="s">
        <v>1776</v>
      </c>
      <c r="E459" s="56" t="s">
        <v>1047</v>
      </c>
      <c r="F459" s="56">
        <v>5</v>
      </c>
      <c r="G459" s="56">
        <v>6660</v>
      </c>
      <c r="H459" s="56" t="s">
        <v>1048</v>
      </c>
      <c r="I459" s="56" t="s">
        <v>1192</v>
      </c>
      <c r="J459" s="129">
        <v>46231</v>
      </c>
      <c r="K459" s="130">
        <v>0.83333333333333337</v>
      </c>
      <c r="L459" s="130">
        <v>0.83680555555555558</v>
      </c>
      <c r="M459" s="56" t="s">
        <v>1050</v>
      </c>
      <c r="N459" s="129">
        <v>46231</v>
      </c>
      <c r="O459" s="130">
        <v>0.90277777777777779</v>
      </c>
      <c r="P459" s="130">
        <v>0.89097222222222228</v>
      </c>
      <c r="Q459" s="56" t="s">
        <v>1050</v>
      </c>
      <c r="R459" s="56" t="s">
        <v>187</v>
      </c>
      <c r="S459" s="56">
        <v>31</v>
      </c>
      <c r="T459" s="131">
        <v>3.4722222222222099E-3</v>
      </c>
      <c r="U459" s="130">
        <v>-1.1805555555555514E-2</v>
      </c>
      <c r="V459" s="56" t="s">
        <v>1051</v>
      </c>
      <c r="W459" s="56" t="s">
        <v>1052</v>
      </c>
      <c r="X459" s="56" t="s">
        <v>1053</v>
      </c>
      <c r="Y459" s="56">
        <v>31</v>
      </c>
      <c r="Z459" s="56" t="s">
        <v>1054</v>
      </c>
      <c r="AA459" s="56" t="s">
        <v>1777</v>
      </c>
      <c r="AB459" s="56" t="s">
        <v>1194</v>
      </c>
      <c r="AC459" s="56" t="s">
        <v>1057</v>
      </c>
      <c r="AD459" s="56" t="s">
        <v>1778</v>
      </c>
      <c r="AE459" s="56" t="s">
        <v>1779</v>
      </c>
      <c r="AF459" s="56" t="s">
        <v>1336</v>
      </c>
      <c r="AG459" s="56" t="s">
        <v>1780</v>
      </c>
      <c r="AH459" s="56"/>
      <c r="AI459" s="56"/>
      <c r="AJ459" s="56"/>
      <c r="AK459" s="56"/>
      <c r="AL459" s="56"/>
      <c r="AM459" s="56"/>
      <c r="AN459" s="56"/>
      <c r="AO459" s="56"/>
      <c r="AP459" s="56"/>
      <c r="AQ459" s="131"/>
      <c r="AR459" s="130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</row>
    <row r="460" spans="1:56" x14ac:dyDescent="0.2">
      <c r="A460" s="56">
        <v>14103183</v>
      </c>
      <c r="B460" s="56">
        <v>175245173</v>
      </c>
      <c r="C460" s="56" t="s">
        <v>1338</v>
      </c>
      <c r="D460" s="56" t="s">
        <v>1339</v>
      </c>
      <c r="E460" s="56" t="s">
        <v>1047</v>
      </c>
      <c r="F460" s="56">
        <v>1</v>
      </c>
      <c r="G460" s="56">
        <v>15313</v>
      </c>
      <c r="H460" s="56" t="s">
        <v>1048</v>
      </c>
      <c r="I460" s="56" t="s">
        <v>1340</v>
      </c>
      <c r="J460" s="129">
        <v>46231</v>
      </c>
      <c r="K460" s="130">
        <v>0.86805555555555558</v>
      </c>
      <c r="L460" s="130">
        <v>0.87222222222222223</v>
      </c>
      <c r="M460" s="56" t="s">
        <v>1050</v>
      </c>
      <c r="N460" s="129">
        <v>46231</v>
      </c>
      <c r="O460" s="130">
        <v>0.88888888888888884</v>
      </c>
      <c r="P460" s="130">
        <v>0.88402777777777775</v>
      </c>
      <c r="Q460" s="56" t="s">
        <v>1050</v>
      </c>
      <c r="R460" s="56" t="s">
        <v>35</v>
      </c>
      <c r="S460" s="56">
        <v>31</v>
      </c>
      <c r="T460" s="131">
        <v>4.1666666666666519E-3</v>
      </c>
      <c r="U460" s="130">
        <v>-4.8611111111110938E-3</v>
      </c>
      <c r="V460" s="56" t="s">
        <v>1051</v>
      </c>
      <c r="W460" s="56" t="s">
        <v>1052</v>
      </c>
      <c r="X460" s="56" t="s">
        <v>1053</v>
      </c>
      <c r="Y460" s="56">
        <v>31</v>
      </c>
      <c r="Z460" s="56" t="s">
        <v>1054</v>
      </c>
      <c r="AA460" s="56" t="s">
        <v>1341</v>
      </c>
      <c r="AB460" s="56" t="s">
        <v>1342</v>
      </c>
      <c r="AC460" s="56" t="s">
        <v>1069</v>
      </c>
      <c r="AD460" s="56" t="s">
        <v>1343</v>
      </c>
      <c r="AE460" s="56" t="s">
        <v>1344</v>
      </c>
      <c r="AF460" s="56" t="s">
        <v>1336</v>
      </c>
      <c r="AG460" s="56" t="s">
        <v>1345</v>
      </c>
      <c r="AH460" s="56"/>
      <c r="AI460" s="56"/>
      <c r="AJ460" s="56"/>
      <c r="AK460" s="56"/>
      <c r="AL460" s="56"/>
      <c r="AM460" s="56"/>
      <c r="AN460" s="56"/>
      <c r="AO460" s="56"/>
      <c r="AP460" s="56"/>
      <c r="AQ460" s="131"/>
      <c r="AR460" s="130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</row>
    <row r="461" spans="1:56" x14ac:dyDescent="0.2">
      <c r="A461" s="56">
        <v>14122320</v>
      </c>
      <c r="B461" s="56">
        <v>175249422</v>
      </c>
      <c r="C461" s="56" t="s">
        <v>1346</v>
      </c>
      <c r="D461" s="56" t="s">
        <v>1347</v>
      </c>
      <c r="E461" s="56" t="s">
        <v>1047</v>
      </c>
      <c r="F461" s="56">
        <v>42</v>
      </c>
      <c r="G461" s="56">
        <v>6983</v>
      </c>
      <c r="H461" s="56" t="s">
        <v>1048</v>
      </c>
      <c r="I461" s="56" t="s">
        <v>1118</v>
      </c>
      <c r="J461" s="129">
        <v>46231</v>
      </c>
      <c r="K461" s="130">
        <v>0.86805555555555558</v>
      </c>
      <c r="L461" s="130">
        <v>0.98750000000000004</v>
      </c>
      <c r="M461" s="56" t="s">
        <v>1050</v>
      </c>
      <c r="N461" s="129">
        <v>46231</v>
      </c>
      <c r="O461" s="130">
        <v>0.93402777777777779</v>
      </c>
      <c r="P461" s="56"/>
      <c r="Q461" s="56" t="s">
        <v>1286</v>
      </c>
      <c r="R461" s="56" t="s">
        <v>405</v>
      </c>
      <c r="S461" s="56">
        <v>31</v>
      </c>
      <c r="T461" s="131">
        <v>0.11944444444444446</v>
      </c>
      <c r="U461" s="130">
        <v>-0.93402777777777779</v>
      </c>
      <c r="V461" s="56" t="s">
        <v>1051</v>
      </c>
      <c r="W461" s="56" t="s">
        <v>1052</v>
      </c>
      <c r="X461" s="56" t="s">
        <v>1053</v>
      </c>
      <c r="Y461" s="56">
        <v>31</v>
      </c>
      <c r="Z461" s="56" t="s">
        <v>1054</v>
      </c>
      <c r="AA461" s="56" t="s">
        <v>1348</v>
      </c>
      <c r="AB461" s="56" t="s">
        <v>1120</v>
      </c>
      <c r="AC461" s="56" t="s">
        <v>1078</v>
      </c>
      <c r="AD461" s="56" t="s">
        <v>1349</v>
      </c>
      <c r="AE461" s="56" t="s">
        <v>1350</v>
      </c>
      <c r="AF461" s="56" t="s">
        <v>1336</v>
      </c>
      <c r="AG461" s="56" t="s">
        <v>1351</v>
      </c>
      <c r="AH461" s="56"/>
      <c r="AI461" s="56"/>
      <c r="AJ461" s="56"/>
      <c r="AK461" s="56"/>
      <c r="AL461" s="56"/>
      <c r="AM461" s="56"/>
      <c r="AN461" s="56"/>
      <c r="AO461" s="56"/>
      <c r="AP461" s="56"/>
      <c r="AQ461" s="131"/>
      <c r="AR461" s="130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</row>
    <row r="462" spans="1:56" x14ac:dyDescent="0.2">
      <c r="A462" s="56"/>
      <c r="B462" s="56">
        <v>175249234</v>
      </c>
      <c r="C462" s="56" t="s">
        <v>2316</v>
      </c>
      <c r="D462" s="56" t="s">
        <v>2317</v>
      </c>
      <c r="E462" s="56" t="s">
        <v>1047</v>
      </c>
      <c r="F462" s="56">
        <v>13</v>
      </c>
      <c r="G462" s="56">
        <v>16785</v>
      </c>
      <c r="H462" s="56" t="s">
        <v>1048</v>
      </c>
      <c r="I462" s="56" t="s">
        <v>1118</v>
      </c>
      <c r="J462" s="129">
        <v>46231</v>
      </c>
      <c r="K462" s="130">
        <v>0.87291666666666667</v>
      </c>
      <c r="L462" s="130">
        <v>0.87777777777777777</v>
      </c>
      <c r="M462" s="56" t="s">
        <v>1050</v>
      </c>
      <c r="N462" s="129">
        <v>46231</v>
      </c>
      <c r="O462" s="130">
        <v>0.93402777777777779</v>
      </c>
      <c r="P462" s="130">
        <v>0.92708333333333337</v>
      </c>
      <c r="Q462" s="56" t="s">
        <v>1050</v>
      </c>
      <c r="R462" s="56"/>
      <c r="S462" s="56">
        <v>31</v>
      </c>
      <c r="T462" s="131">
        <v>4.8611111111110938E-3</v>
      </c>
      <c r="U462" s="130">
        <v>-6.9444444444444198E-3</v>
      </c>
      <c r="V462" s="56" t="s">
        <v>1051</v>
      </c>
      <c r="W462" s="56" t="s">
        <v>1052</v>
      </c>
      <c r="X462" s="56" t="s">
        <v>1053</v>
      </c>
      <c r="Y462" s="56">
        <v>31</v>
      </c>
      <c r="Z462" s="56" t="s">
        <v>1054</v>
      </c>
      <c r="AA462" s="56" t="s">
        <v>2318</v>
      </c>
      <c r="AB462" s="56" t="s">
        <v>1120</v>
      </c>
      <c r="AC462" s="56" t="s">
        <v>1078</v>
      </c>
      <c r="AD462" s="56" t="s">
        <v>2319</v>
      </c>
      <c r="AE462" s="56" t="s">
        <v>2320</v>
      </c>
      <c r="AF462" s="56" t="s">
        <v>1336</v>
      </c>
      <c r="AG462" s="56" t="s">
        <v>2321</v>
      </c>
      <c r="AH462" s="56"/>
      <c r="AI462" s="56"/>
      <c r="AJ462" s="56"/>
      <c r="AK462" s="56"/>
      <c r="AL462" s="56"/>
      <c r="AM462" s="56"/>
      <c r="AN462" s="56"/>
      <c r="AO462" s="56"/>
      <c r="AP462" s="56"/>
      <c r="AQ462" s="131"/>
      <c r="AR462" s="130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</row>
    <row r="463" spans="1:56" x14ac:dyDescent="0.2">
      <c r="A463" s="56">
        <v>14104971</v>
      </c>
      <c r="B463" s="56">
        <v>175249549</v>
      </c>
      <c r="C463" s="56" t="s">
        <v>2619</v>
      </c>
      <c r="D463" s="56" t="s">
        <v>1656</v>
      </c>
      <c r="E463" s="56" t="s">
        <v>1047</v>
      </c>
      <c r="F463" s="56">
        <v>109</v>
      </c>
      <c r="G463" s="56">
        <v>5672</v>
      </c>
      <c r="H463" s="56" t="s">
        <v>1048</v>
      </c>
      <c r="I463" s="56" t="s">
        <v>1104</v>
      </c>
      <c r="J463" s="129">
        <v>46231</v>
      </c>
      <c r="K463" s="130">
        <v>0.87847222222222221</v>
      </c>
      <c r="L463" s="130">
        <v>0.88263888888888886</v>
      </c>
      <c r="M463" s="56" t="s">
        <v>1050</v>
      </c>
      <c r="N463" s="129">
        <v>46231</v>
      </c>
      <c r="O463" s="130">
        <v>0.93402777777777779</v>
      </c>
      <c r="P463" s="130">
        <v>0.92708333333333337</v>
      </c>
      <c r="Q463" s="56" t="s">
        <v>1050</v>
      </c>
      <c r="R463" s="56" t="s">
        <v>43</v>
      </c>
      <c r="S463" s="56">
        <v>31</v>
      </c>
      <c r="T463" s="131">
        <v>4.1666666666666519E-3</v>
      </c>
      <c r="U463" s="130">
        <v>-6.9444444444444198E-3</v>
      </c>
      <c r="V463" s="56" t="s">
        <v>1051</v>
      </c>
      <c r="W463" s="56" t="s">
        <v>1052</v>
      </c>
      <c r="X463" s="56" t="s">
        <v>1053</v>
      </c>
      <c r="Y463" s="56">
        <v>31</v>
      </c>
      <c r="Z463" s="56" t="s">
        <v>1054</v>
      </c>
      <c r="AA463" s="56" t="s">
        <v>1657</v>
      </c>
      <c r="AB463" s="56" t="s">
        <v>1106</v>
      </c>
      <c r="AC463" s="56" t="s">
        <v>1078</v>
      </c>
      <c r="AD463" s="56" t="s">
        <v>1658</v>
      </c>
      <c r="AE463" s="56" t="s">
        <v>1659</v>
      </c>
      <c r="AF463" s="56" t="s">
        <v>1336</v>
      </c>
      <c r="AG463" s="56" t="s">
        <v>2620</v>
      </c>
      <c r="AH463" s="56"/>
      <c r="AI463" s="56"/>
      <c r="AJ463" s="56"/>
      <c r="AK463" s="56"/>
      <c r="AL463" s="56"/>
      <c r="AM463" s="56"/>
      <c r="AN463" s="56"/>
      <c r="AO463" s="56"/>
      <c r="AP463" s="56"/>
      <c r="AQ463" s="131"/>
      <c r="AR463" s="130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</row>
    <row r="464" spans="1:56" x14ac:dyDescent="0.2">
      <c r="A464" s="56">
        <v>14113056</v>
      </c>
      <c r="B464" s="56">
        <v>175256927</v>
      </c>
      <c r="C464" s="56" t="s">
        <v>2322</v>
      </c>
      <c r="D464" s="56" t="s">
        <v>2323</v>
      </c>
      <c r="E464" s="56" t="s">
        <v>1047</v>
      </c>
      <c r="F464" s="56">
        <v>49</v>
      </c>
      <c r="G464" s="56">
        <v>5424</v>
      </c>
      <c r="H464" s="56" t="s">
        <v>1048</v>
      </c>
      <c r="I464" s="56" t="s">
        <v>1158</v>
      </c>
      <c r="J464" s="129">
        <v>46231</v>
      </c>
      <c r="K464" s="130">
        <v>0.87847222222222221</v>
      </c>
      <c r="L464" s="130">
        <v>0.9375</v>
      </c>
      <c r="M464" s="56" t="s">
        <v>1050</v>
      </c>
      <c r="N464" s="129">
        <v>46231</v>
      </c>
      <c r="O464" s="130">
        <v>0.90625</v>
      </c>
      <c r="P464" s="130">
        <v>0</v>
      </c>
      <c r="Q464" s="56" t="s">
        <v>1367</v>
      </c>
      <c r="R464" s="56" t="s">
        <v>234</v>
      </c>
      <c r="S464" s="56">
        <v>31</v>
      </c>
      <c r="T464" s="131">
        <v>5.902777777777779E-2</v>
      </c>
      <c r="U464" s="130">
        <v>-0.90625</v>
      </c>
      <c r="V464" s="56" t="s">
        <v>1051</v>
      </c>
      <c r="W464" s="56" t="s">
        <v>1052</v>
      </c>
      <c r="X464" s="56" t="s">
        <v>1053</v>
      </c>
      <c r="Y464" s="56">
        <v>31</v>
      </c>
      <c r="Z464" s="56" t="s">
        <v>1054</v>
      </c>
      <c r="AA464" s="56" t="s">
        <v>2324</v>
      </c>
      <c r="AB464" s="56" t="s">
        <v>1160</v>
      </c>
      <c r="AC464" s="56" t="s">
        <v>1069</v>
      </c>
      <c r="AD464" s="56" t="s">
        <v>2325</v>
      </c>
      <c r="AE464" s="56" t="s">
        <v>2326</v>
      </c>
      <c r="AF464" s="56" t="s">
        <v>1336</v>
      </c>
      <c r="AG464" s="56" t="s">
        <v>2327</v>
      </c>
      <c r="AH464" s="56"/>
      <c r="AI464" s="56"/>
      <c r="AJ464" s="56"/>
      <c r="AK464" s="56"/>
      <c r="AL464" s="56"/>
      <c r="AM464" s="56"/>
      <c r="AN464" s="56"/>
      <c r="AO464" s="56"/>
      <c r="AP464" s="56"/>
      <c r="AQ464" s="131"/>
      <c r="AR464" s="130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</row>
    <row r="465" spans="1:56" x14ac:dyDescent="0.2">
      <c r="A465" s="56"/>
      <c r="B465" s="56">
        <v>175261880</v>
      </c>
      <c r="C465" s="56" t="s">
        <v>2494</v>
      </c>
      <c r="D465" s="56" t="s">
        <v>2219</v>
      </c>
      <c r="E465" s="56" t="s">
        <v>1047</v>
      </c>
      <c r="F465" s="56">
        <v>151</v>
      </c>
      <c r="G465" s="56">
        <v>17183</v>
      </c>
      <c r="H465" s="56" t="s">
        <v>1048</v>
      </c>
      <c r="I465" s="56" t="s">
        <v>1172</v>
      </c>
      <c r="J465" s="129">
        <v>46231</v>
      </c>
      <c r="K465" s="130">
        <v>0.8833333333333333</v>
      </c>
      <c r="L465" s="130">
        <v>0.88888888888888884</v>
      </c>
      <c r="M465" s="56" t="s">
        <v>1050</v>
      </c>
      <c r="N465" s="129">
        <v>46231</v>
      </c>
      <c r="O465" s="130">
        <v>0.92708333333333337</v>
      </c>
      <c r="P465" s="130">
        <v>0.92013888888888884</v>
      </c>
      <c r="Q465" s="56" t="s">
        <v>1050</v>
      </c>
      <c r="R465" s="56"/>
      <c r="S465" s="56">
        <v>31</v>
      </c>
      <c r="T465" s="131">
        <v>5.5555555555555358E-3</v>
      </c>
      <c r="U465" s="130">
        <v>-6.9444444444445308E-3</v>
      </c>
      <c r="V465" s="56" t="s">
        <v>1051</v>
      </c>
      <c r="W465" s="56" t="s">
        <v>1052</v>
      </c>
      <c r="X465" s="56" t="s">
        <v>1053</v>
      </c>
      <c r="Y465" s="56">
        <v>31</v>
      </c>
      <c r="Z465" s="56" t="s">
        <v>1054</v>
      </c>
      <c r="AA465" s="56" t="s">
        <v>2220</v>
      </c>
      <c r="AB465" s="56" t="s">
        <v>1210</v>
      </c>
      <c r="AC465" s="56" t="s">
        <v>1057</v>
      </c>
      <c r="AD465" s="56" t="s">
        <v>2221</v>
      </c>
      <c r="AE465" s="56" t="s">
        <v>2222</v>
      </c>
      <c r="AF465" s="56" t="s">
        <v>1336</v>
      </c>
      <c r="AG465" s="56" t="s">
        <v>2495</v>
      </c>
      <c r="AH465" s="56"/>
      <c r="AI465" s="56"/>
      <c r="AJ465" s="56"/>
      <c r="AK465" s="56"/>
      <c r="AL465" s="56"/>
      <c r="AM465" s="56"/>
      <c r="AN465" s="56"/>
      <c r="AO465" s="56"/>
      <c r="AP465" s="56"/>
      <c r="AQ465" s="131"/>
      <c r="AR465" s="130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</row>
    <row r="466" spans="1:56" x14ac:dyDescent="0.2">
      <c r="A466" s="56">
        <v>14122709</v>
      </c>
      <c r="B466" s="56">
        <v>175251899</v>
      </c>
      <c r="C466" s="56" t="s">
        <v>2334</v>
      </c>
      <c r="D466" s="56" t="s">
        <v>2335</v>
      </c>
      <c r="E466" s="56" t="s">
        <v>1047</v>
      </c>
      <c r="F466" s="56">
        <v>424</v>
      </c>
      <c r="G466" s="56">
        <v>16003</v>
      </c>
      <c r="H466" s="56" t="s">
        <v>1048</v>
      </c>
      <c r="I466" s="56" t="s">
        <v>1075</v>
      </c>
      <c r="J466" s="129">
        <v>46231</v>
      </c>
      <c r="K466" s="130">
        <v>0.88541666666666663</v>
      </c>
      <c r="L466" s="130">
        <v>0.99583333333333335</v>
      </c>
      <c r="M466" s="56" t="s">
        <v>1050</v>
      </c>
      <c r="N466" s="129">
        <v>46231</v>
      </c>
      <c r="O466" s="130">
        <v>0.93402777777777779</v>
      </c>
      <c r="P466" s="130">
        <v>0.93958333333333333</v>
      </c>
      <c r="Q466" s="56" t="s">
        <v>1050</v>
      </c>
      <c r="R466" s="56" t="s">
        <v>441</v>
      </c>
      <c r="S466" s="56">
        <v>31</v>
      </c>
      <c r="T466" s="131">
        <v>0.11041666666666672</v>
      </c>
      <c r="U466" s="130">
        <v>5.5555555555555358E-3</v>
      </c>
      <c r="V466" s="56" t="s">
        <v>1051</v>
      </c>
      <c r="W466" s="56" t="s">
        <v>1065</v>
      </c>
      <c r="X466" s="56" t="s">
        <v>1066</v>
      </c>
      <c r="Y466" s="56">
        <v>31</v>
      </c>
      <c r="Z466" s="56" t="s">
        <v>1054</v>
      </c>
      <c r="AA466" s="56" t="s">
        <v>2336</v>
      </c>
      <c r="AB466" s="56" t="s">
        <v>1077</v>
      </c>
      <c r="AC466" s="56" t="s">
        <v>1078</v>
      </c>
      <c r="AD466" s="56" t="s">
        <v>2337</v>
      </c>
      <c r="AE466" s="56" t="s">
        <v>2338</v>
      </c>
      <c r="AF466" s="56" t="s">
        <v>1336</v>
      </c>
      <c r="AG466" s="56" t="s">
        <v>2339</v>
      </c>
      <c r="AH466" s="56"/>
      <c r="AI466" s="56"/>
      <c r="AJ466" s="56"/>
      <c r="AK466" s="56"/>
      <c r="AL466" s="56"/>
      <c r="AM466" s="56"/>
      <c r="AN466" s="56"/>
      <c r="AO466" s="56"/>
      <c r="AP466" s="56"/>
      <c r="AQ466" s="131"/>
      <c r="AR466" s="130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</row>
    <row r="467" spans="1:56" x14ac:dyDescent="0.2">
      <c r="A467" s="56">
        <v>14118811</v>
      </c>
      <c r="B467" s="56">
        <v>175260977</v>
      </c>
      <c r="C467" s="56" t="s">
        <v>1827</v>
      </c>
      <c r="D467" s="56" t="s">
        <v>1828</v>
      </c>
      <c r="E467" s="56" t="s">
        <v>1047</v>
      </c>
      <c r="F467" s="56">
        <v>87</v>
      </c>
      <c r="G467" s="56">
        <v>6158</v>
      </c>
      <c r="H467" s="56" t="s">
        <v>1048</v>
      </c>
      <c r="I467" s="56" t="s">
        <v>1118</v>
      </c>
      <c r="J467" s="129">
        <v>46231</v>
      </c>
      <c r="K467" s="130">
        <v>0.88541666666666663</v>
      </c>
      <c r="L467" s="130">
        <v>0.91874999999999996</v>
      </c>
      <c r="M467" s="56" t="s">
        <v>1050</v>
      </c>
      <c r="N467" s="129">
        <v>46231</v>
      </c>
      <c r="O467" s="130">
        <v>0.93402777777777779</v>
      </c>
      <c r="P467" s="130">
        <v>0.92500000000000004</v>
      </c>
      <c r="Q467" s="56" t="s">
        <v>1050</v>
      </c>
      <c r="R467" s="56" t="s">
        <v>214</v>
      </c>
      <c r="S467" s="56">
        <v>31</v>
      </c>
      <c r="T467" s="131">
        <v>3.3333333333333326E-2</v>
      </c>
      <c r="U467" s="130">
        <v>-9.0277777777777457E-3</v>
      </c>
      <c r="V467" s="56" t="s">
        <v>1051</v>
      </c>
      <c r="W467" s="56" t="s">
        <v>1052</v>
      </c>
      <c r="X467" s="56" t="s">
        <v>1053</v>
      </c>
      <c r="Y467" s="56">
        <v>31</v>
      </c>
      <c r="Z467" s="56" t="s">
        <v>1054</v>
      </c>
      <c r="AA467" s="56" t="s">
        <v>1829</v>
      </c>
      <c r="AB467" s="56" t="s">
        <v>1120</v>
      </c>
      <c r="AC467" s="56" t="s">
        <v>1078</v>
      </c>
      <c r="AD467" s="56" t="s">
        <v>1830</v>
      </c>
      <c r="AE467" s="56" t="s">
        <v>1831</v>
      </c>
      <c r="AF467" s="56" t="s">
        <v>1336</v>
      </c>
      <c r="AG467" s="56" t="s">
        <v>1832</v>
      </c>
      <c r="AH467" s="56"/>
      <c r="AI467" s="56"/>
      <c r="AJ467" s="56"/>
      <c r="AK467" s="56"/>
      <c r="AL467" s="56"/>
      <c r="AM467" s="56"/>
      <c r="AN467" s="56"/>
      <c r="AO467" s="56"/>
      <c r="AP467" s="56"/>
      <c r="AQ467" s="131"/>
      <c r="AR467" s="130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</row>
    <row r="468" spans="1:56" x14ac:dyDescent="0.2">
      <c r="A468" s="56">
        <v>14118889</v>
      </c>
      <c r="B468" s="56">
        <v>175261874</v>
      </c>
      <c r="C468" s="56" t="s">
        <v>2344</v>
      </c>
      <c r="D468" s="56" t="s">
        <v>2345</v>
      </c>
      <c r="E468" s="56" t="s">
        <v>1047</v>
      </c>
      <c r="F468" s="56">
        <v>149</v>
      </c>
      <c r="G468" s="56">
        <v>13754</v>
      </c>
      <c r="H468" s="56" t="s">
        <v>1048</v>
      </c>
      <c r="I468" s="56" t="s">
        <v>1172</v>
      </c>
      <c r="J468" s="129">
        <v>46231</v>
      </c>
      <c r="K468" s="130">
        <v>0.89166666666666672</v>
      </c>
      <c r="L468" s="130">
        <v>0.89861111111111114</v>
      </c>
      <c r="M468" s="56" t="s">
        <v>1050</v>
      </c>
      <c r="N468" s="129">
        <v>46231</v>
      </c>
      <c r="O468" s="130">
        <v>0.92708333333333337</v>
      </c>
      <c r="P468" s="130">
        <v>0.92500000000000004</v>
      </c>
      <c r="Q468" s="56" t="s">
        <v>1050</v>
      </c>
      <c r="R468" s="56" t="s">
        <v>218</v>
      </c>
      <c r="S468" s="56">
        <v>31</v>
      </c>
      <c r="T468" s="131">
        <v>6.9444444444444198E-3</v>
      </c>
      <c r="U468" s="130">
        <v>-2.0833333333333259E-3</v>
      </c>
      <c r="V468" s="56" t="s">
        <v>1051</v>
      </c>
      <c r="W468" s="56" t="s">
        <v>1052</v>
      </c>
      <c r="X468" s="56" t="s">
        <v>1053</v>
      </c>
      <c r="Y468" s="56">
        <v>31</v>
      </c>
      <c r="Z468" s="56" t="s">
        <v>1054</v>
      </c>
      <c r="AA468" s="56" t="s">
        <v>2346</v>
      </c>
      <c r="AB468" s="56" t="s">
        <v>1210</v>
      </c>
      <c r="AC468" s="56" t="s">
        <v>1057</v>
      </c>
      <c r="AD468" s="56" t="s">
        <v>2347</v>
      </c>
      <c r="AE468" s="56" t="s">
        <v>2348</v>
      </c>
      <c r="AF468" s="56" t="s">
        <v>1336</v>
      </c>
      <c r="AG468" s="56" t="s">
        <v>2349</v>
      </c>
      <c r="AH468" s="56"/>
      <c r="AI468" s="56"/>
      <c r="AJ468" s="56"/>
      <c r="AK468" s="56"/>
      <c r="AL468" s="56"/>
      <c r="AM468" s="56"/>
      <c r="AN468" s="56"/>
      <c r="AO468" s="56"/>
      <c r="AP468" s="56"/>
      <c r="AQ468" s="131"/>
      <c r="AR468" s="130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</row>
    <row r="469" spans="1:56" x14ac:dyDescent="0.2">
      <c r="A469" s="56">
        <v>14112630</v>
      </c>
      <c r="B469" s="56">
        <v>175252019</v>
      </c>
      <c r="C469" s="56" t="s">
        <v>2350</v>
      </c>
      <c r="D469" s="56" t="s">
        <v>2066</v>
      </c>
      <c r="E469" s="56" t="s">
        <v>1047</v>
      </c>
      <c r="F469" s="56">
        <v>9</v>
      </c>
      <c r="G469" s="56">
        <v>6982</v>
      </c>
      <c r="H469" s="56" t="s">
        <v>1048</v>
      </c>
      <c r="I469" s="56" t="s">
        <v>1358</v>
      </c>
      <c r="J469" s="129">
        <v>46231</v>
      </c>
      <c r="K469" s="130">
        <v>0.89236111111111116</v>
      </c>
      <c r="L469" s="130">
        <v>0.89722222222222225</v>
      </c>
      <c r="M469" s="56" t="s">
        <v>1050</v>
      </c>
      <c r="N469" s="129">
        <v>46231</v>
      </c>
      <c r="O469" s="130">
        <v>0.93055555555555558</v>
      </c>
      <c r="P469" s="130">
        <v>0.9291666666666667</v>
      </c>
      <c r="Q469" s="56" t="s">
        <v>1050</v>
      </c>
      <c r="R469" s="56" t="s">
        <v>121</v>
      </c>
      <c r="S469" s="56">
        <v>31</v>
      </c>
      <c r="T469" s="131">
        <v>4.8611111111110938E-3</v>
      </c>
      <c r="U469" s="130">
        <v>-1.388888888888884E-3</v>
      </c>
      <c r="V469" s="56" t="s">
        <v>1051</v>
      </c>
      <c r="W469" s="56" t="s">
        <v>1052</v>
      </c>
      <c r="X469" s="56" t="s">
        <v>1053</v>
      </c>
      <c r="Y469" s="56">
        <v>31</v>
      </c>
      <c r="Z469" s="56" t="s">
        <v>1054</v>
      </c>
      <c r="AA469" s="56" t="s">
        <v>2067</v>
      </c>
      <c r="AB469" s="56" t="s">
        <v>1361</v>
      </c>
      <c r="AC469" s="56" t="s">
        <v>1069</v>
      </c>
      <c r="AD469" s="56" t="s">
        <v>2068</v>
      </c>
      <c r="AE469" s="56" t="s">
        <v>2069</v>
      </c>
      <c r="AF469" s="56" t="s">
        <v>1336</v>
      </c>
      <c r="AG469" s="56" t="s">
        <v>2351</v>
      </c>
      <c r="AH469" s="56"/>
      <c r="AI469" s="56"/>
      <c r="AJ469" s="56"/>
      <c r="AK469" s="56"/>
      <c r="AL469" s="56"/>
      <c r="AM469" s="56"/>
      <c r="AN469" s="56"/>
      <c r="AO469" s="56"/>
      <c r="AP469" s="56"/>
      <c r="AQ469" s="131"/>
      <c r="AR469" s="130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</row>
    <row r="470" spans="1:56" x14ac:dyDescent="0.2">
      <c r="A470" s="56"/>
      <c r="B470" s="56">
        <v>175263321</v>
      </c>
      <c r="C470" s="56" t="s">
        <v>1853</v>
      </c>
      <c r="D470" s="56" t="s">
        <v>1854</v>
      </c>
      <c r="E470" s="56" t="s">
        <v>1047</v>
      </c>
      <c r="F470" s="56">
        <v>225</v>
      </c>
      <c r="G470" s="56">
        <v>6313</v>
      </c>
      <c r="H470" s="56" t="s">
        <v>1048</v>
      </c>
      <c r="I470" s="56" t="s">
        <v>1172</v>
      </c>
      <c r="J470" s="129">
        <v>46231</v>
      </c>
      <c r="K470" s="130">
        <v>0.89236111111111116</v>
      </c>
      <c r="L470" s="130">
        <v>0.91388888888888886</v>
      </c>
      <c r="M470" s="56" t="s">
        <v>1050</v>
      </c>
      <c r="N470" s="129">
        <v>46231</v>
      </c>
      <c r="O470" s="130">
        <v>0.92708333333333337</v>
      </c>
      <c r="P470" s="130">
        <v>0.93958333333333333</v>
      </c>
      <c r="Q470" s="56" t="s">
        <v>1050</v>
      </c>
      <c r="R470" s="56"/>
      <c r="S470" s="56">
        <v>31</v>
      </c>
      <c r="T470" s="131">
        <v>2.1527777777777701E-2</v>
      </c>
      <c r="U470" s="130">
        <v>1.2499999999999956E-2</v>
      </c>
      <c r="V470" s="56" t="s">
        <v>1051</v>
      </c>
      <c r="W470" s="56" t="s">
        <v>1065</v>
      </c>
      <c r="X470" s="56" t="s">
        <v>1066</v>
      </c>
      <c r="Y470" s="56">
        <v>31</v>
      </c>
      <c r="Z470" s="56" t="s">
        <v>1054</v>
      </c>
      <c r="AA470" s="56" t="s">
        <v>1855</v>
      </c>
      <c r="AB470" s="56" t="s">
        <v>1565</v>
      </c>
      <c r="AC470" s="56" t="s">
        <v>1057</v>
      </c>
      <c r="AD470" s="56" t="s">
        <v>1856</v>
      </c>
      <c r="AE470" s="56" t="s">
        <v>1857</v>
      </c>
      <c r="AF470" s="56" t="s">
        <v>1336</v>
      </c>
      <c r="AG470" s="56" t="s">
        <v>1858</v>
      </c>
      <c r="AH470" s="56"/>
      <c r="AI470" s="56"/>
      <c r="AJ470" s="56"/>
      <c r="AK470" s="56"/>
      <c r="AL470" s="56"/>
      <c r="AM470" s="56"/>
      <c r="AN470" s="56"/>
      <c r="AO470" s="56"/>
      <c r="AP470" s="56"/>
      <c r="AQ470" s="131"/>
      <c r="AR470" s="130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</row>
    <row r="471" spans="1:56" x14ac:dyDescent="0.2">
      <c r="A471" s="56">
        <v>14116295</v>
      </c>
      <c r="B471" s="56">
        <v>175252000</v>
      </c>
      <c r="C471" s="56" t="s">
        <v>2126</v>
      </c>
      <c r="D471" s="56" t="s">
        <v>2127</v>
      </c>
      <c r="E471" s="56" t="s">
        <v>1047</v>
      </c>
      <c r="F471" s="56">
        <v>1</v>
      </c>
      <c r="G471" s="56">
        <v>5924</v>
      </c>
      <c r="H471" s="56" t="s">
        <v>1048</v>
      </c>
      <c r="I471" s="56" t="s">
        <v>1358</v>
      </c>
      <c r="J471" s="129">
        <v>46231</v>
      </c>
      <c r="K471" s="130">
        <v>0.89930555555555558</v>
      </c>
      <c r="L471" s="130">
        <v>0.90277777777777779</v>
      </c>
      <c r="M471" s="56" t="s">
        <v>1050</v>
      </c>
      <c r="N471" s="129">
        <v>46231</v>
      </c>
      <c r="O471" s="130">
        <v>0.93055555555555558</v>
      </c>
      <c r="P471" s="130">
        <v>0.92708333333333337</v>
      </c>
      <c r="Q471" s="56" t="s">
        <v>1050</v>
      </c>
      <c r="R471" s="56" t="s">
        <v>158</v>
      </c>
      <c r="S471" s="56">
        <v>31</v>
      </c>
      <c r="T471" s="131">
        <v>3.4722222222222099E-3</v>
      </c>
      <c r="U471" s="130">
        <v>-3.4722222222222099E-3</v>
      </c>
      <c r="V471" s="56" t="s">
        <v>1051</v>
      </c>
      <c r="W471" s="56" t="s">
        <v>1052</v>
      </c>
      <c r="X471" s="56" t="s">
        <v>1053</v>
      </c>
      <c r="Y471" s="56">
        <v>31</v>
      </c>
      <c r="Z471" s="56" t="s">
        <v>1054</v>
      </c>
      <c r="AA471" s="56" t="s">
        <v>2128</v>
      </c>
      <c r="AB471" s="56" t="s">
        <v>1361</v>
      </c>
      <c r="AC471" s="56" t="s">
        <v>1069</v>
      </c>
      <c r="AD471" s="56" t="s">
        <v>2129</v>
      </c>
      <c r="AE471" s="56" t="s">
        <v>2130</v>
      </c>
      <c r="AF471" s="56" t="s">
        <v>1336</v>
      </c>
      <c r="AG471" s="56" t="s">
        <v>2131</v>
      </c>
      <c r="AH471" s="56"/>
      <c r="AI471" s="56"/>
      <c r="AJ471" s="56"/>
      <c r="AK471" s="56"/>
      <c r="AL471" s="56"/>
      <c r="AM471" s="56"/>
      <c r="AN471" s="56"/>
      <c r="AO471" s="56"/>
      <c r="AP471" s="56"/>
      <c r="AQ471" s="131"/>
      <c r="AR471" s="130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</row>
    <row r="472" spans="1:56" x14ac:dyDescent="0.2">
      <c r="A472" s="56">
        <v>14123719</v>
      </c>
      <c r="B472" s="56">
        <v>175213836</v>
      </c>
      <c r="C472" s="56" t="s">
        <v>2621</v>
      </c>
      <c r="D472" s="56" t="s">
        <v>2622</v>
      </c>
      <c r="E472" s="56" t="s">
        <v>1047</v>
      </c>
      <c r="F472" s="56">
        <v>12</v>
      </c>
      <c r="G472" s="56">
        <v>5364</v>
      </c>
      <c r="H472" s="56" t="s">
        <v>1048</v>
      </c>
      <c r="I472" s="56" t="s">
        <v>1427</v>
      </c>
      <c r="J472" s="129">
        <v>46230</v>
      </c>
      <c r="K472" s="130">
        <v>0.19444444444444445</v>
      </c>
      <c r="L472" s="130">
        <v>0.20208333333333334</v>
      </c>
      <c r="M472" s="56" t="s">
        <v>1050</v>
      </c>
      <c r="N472" s="129">
        <v>46230</v>
      </c>
      <c r="O472" s="130">
        <v>0.27083333333333331</v>
      </c>
      <c r="P472" s="130">
        <v>0.25969907407407405</v>
      </c>
      <c r="Q472" s="56" t="s">
        <v>1050</v>
      </c>
      <c r="R472" s="56" t="s">
        <v>953</v>
      </c>
      <c r="S472" s="56">
        <v>31</v>
      </c>
      <c r="T472" s="131">
        <v>7.6388888888888895E-3</v>
      </c>
      <c r="U472" s="130">
        <v>-1.113425925925926E-2</v>
      </c>
      <c r="V472" s="56" t="s">
        <v>1051</v>
      </c>
      <c r="W472" s="56" t="s">
        <v>1052</v>
      </c>
      <c r="X472" s="56" t="s">
        <v>1053</v>
      </c>
      <c r="Y472" s="56">
        <v>31</v>
      </c>
      <c r="Z472" s="56" t="s">
        <v>1054</v>
      </c>
      <c r="AA472" s="56" t="s">
        <v>2623</v>
      </c>
      <c r="AB472" s="56" t="s">
        <v>1194</v>
      </c>
      <c r="AC472" s="56" t="s">
        <v>1057</v>
      </c>
      <c r="AD472" s="56" t="s">
        <v>2624</v>
      </c>
      <c r="AE472" s="56" t="s">
        <v>2625</v>
      </c>
      <c r="AF472" s="56" t="s">
        <v>1060</v>
      </c>
      <c r="AG472" s="56" t="s">
        <v>2626</v>
      </c>
      <c r="AH472" s="56"/>
      <c r="AI472" s="56"/>
      <c r="AJ472" s="56"/>
      <c r="AK472" s="56"/>
      <c r="AL472" s="56"/>
      <c r="AM472" s="56"/>
      <c r="AN472" s="56"/>
      <c r="AO472" s="56"/>
      <c r="AP472" s="56"/>
      <c r="AQ472" s="131"/>
      <c r="AR472" s="130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</row>
    <row r="473" spans="1:56" x14ac:dyDescent="0.2">
      <c r="A473" s="56">
        <v>14122708</v>
      </c>
      <c r="B473" s="56">
        <v>175219604</v>
      </c>
      <c r="C473" s="56" t="s">
        <v>2132</v>
      </c>
      <c r="D473" s="56" t="s">
        <v>2133</v>
      </c>
      <c r="E473" s="56" t="s">
        <v>1047</v>
      </c>
      <c r="F473" s="56">
        <v>9</v>
      </c>
      <c r="G473" s="56">
        <v>14866</v>
      </c>
      <c r="H473" s="56" t="s">
        <v>1048</v>
      </c>
      <c r="I473" s="56" t="s">
        <v>2134</v>
      </c>
      <c r="J473" s="129">
        <v>46230</v>
      </c>
      <c r="K473" s="130">
        <v>0.19444444444444445</v>
      </c>
      <c r="L473" s="130">
        <v>0.25138888888888888</v>
      </c>
      <c r="M473" s="56" t="s">
        <v>1050</v>
      </c>
      <c r="N473" s="129">
        <v>46230</v>
      </c>
      <c r="O473" s="130">
        <v>0.29166666666666669</v>
      </c>
      <c r="P473" s="56"/>
      <c r="Q473" s="56" t="s">
        <v>1286</v>
      </c>
      <c r="R473" s="56" t="s">
        <v>440</v>
      </c>
      <c r="S473" s="56">
        <v>31</v>
      </c>
      <c r="T473" s="131">
        <v>5.6944444444444436E-2</v>
      </c>
      <c r="U473" s="130">
        <v>-0.29166666666666669</v>
      </c>
      <c r="V473" s="56" t="s">
        <v>1051</v>
      </c>
      <c r="W473" s="56" t="s">
        <v>1052</v>
      </c>
      <c r="X473" s="56" t="s">
        <v>1053</v>
      </c>
      <c r="Y473" s="56">
        <v>31</v>
      </c>
      <c r="Z473" s="56" t="s">
        <v>1054</v>
      </c>
      <c r="AA473" s="56" t="s">
        <v>2135</v>
      </c>
      <c r="AB473" s="56" t="s">
        <v>1342</v>
      </c>
      <c r="AC473" s="56" t="s">
        <v>1069</v>
      </c>
      <c r="AD473" s="56" t="s">
        <v>2136</v>
      </c>
      <c r="AE473" s="56" t="s">
        <v>2137</v>
      </c>
      <c r="AF473" s="56" t="s">
        <v>1060</v>
      </c>
      <c r="AG473" s="56" t="s">
        <v>2138</v>
      </c>
      <c r="AH473" s="56"/>
      <c r="AI473" s="56"/>
      <c r="AJ473" s="56"/>
      <c r="AK473" s="56"/>
      <c r="AL473" s="56"/>
      <c r="AM473" s="56"/>
      <c r="AN473" s="56"/>
      <c r="AO473" s="56"/>
      <c r="AP473" s="56"/>
      <c r="AQ473" s="131"/>
      <c r="AR473" s="130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</row>
    <row r="474" spans="1:56" x14ac:dyDescent="0.2">
      <c r="A474" s="56">
        <v>14122993</v>
      </c>
      <c r="B474" s="56">
        <v>175222445</v>
      </c>
      <c r="C474" s="56" t="s">
        <v>2354</v>
      </c>
      <c r="D474" s="56" t="s">
        <v>2355</v>
      </c>
      <c r="E474" s="56" t="s">
        <v>1047</v>
      </c>
      <c r="F474" s="56">
        <v>5</v>
      </c>
      <c r="G474" s="56">
        <v>16741</v>
      </c>
      <c r="H474" s="56" t="s">
        <v>1048</v>
      </c>
      <c r="I474" s="56" t="s">
        <v>2356</v>
      </c>
      <c r="J474" s="129">
        <v>46230</v>
      </c>
      <c r="K474" s="130">
        <v>0.2013888888888889</v>
      </c>
      <c r="L474" s="130">
        <v>0.2076388888888889</v>
      </c>
      <c r="M474" s="56" t="s">
        <v>1050</v>
      </c>
      <c r="N474" s="129">
        <v>46230</v>
      </c>
      <c r="O474" s="130">
        <v>0.28125</v>
      </c>
      <c r="P474" s="130">
        <v>0.2590277777777778</v>
      </c>
      <c r="Q474" s="56" t="s">
        <v>1050</v>
      </c>
      <c r="R474" s="56" t="s">
        <v>466</v>
      </c>
      <c r="S474" s="56">
        <v>31</v>
      </c>
      <c r="T474" s="131">
        <v>6.2500000000000056E-3</v>
      </c>
      <c r="U474" s="130">
        <v>-2.2222222222222199E-2</v>
      </c>
      <c r="V474" s="56" t="s">
        <v>1051</v>
      </c>
      <c r="W474" s="56" t="s">
        <v>1052</v>
      </c>
      <c r="X474" s="56" t="s">
        <v>1053</v>
      </c>
      <c r="Y474" s="56">
        <v>31</v>
      </c>
      <c r="Z474" s="56" t="s">
        <v>1054</v>
      </c>
      <c r="AA474" s="56" t="s">
        <v>2357</v>
      </c>
      <c r="AB474" s="56" t="s">
        <v>1605</v>
      </c>
      <c r="AC474" s="56" t="s">
        <v>1069</v>
      </c>
      <c r="AD474" s="56" t="s">
        <v>2358</v>
      </c>
      <c r="AE474" s="56" t="s">
        <v>2359</v>
      </c>
      <c r="AF474" s="56" t="s">
        <v>1060</v>
      </c>
      <c r="AG474" s="56" t="s">
        <v>2360</v>
      </c>
      <c r="AH474" s="56"/>
      <c r="AI474" s="56"/>
      <c r="AJ474" s="56"/>
      <c r="AK474" s="56"/>
      <c r="AL474" s="56"/>
      <c r="AM474" s="56"/>
      <c r="AN474" s="56"/>
      <c r="AO474" s="56"/>
      <c r="AP474" s="56"/>
      <c r="AQ474" s="131"/>
      <c r="AR474" s="130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</row>
    <row r="475" spans="1:56" x14ac:dyDescent="0.2">
      <c r="A475" s="56">
        <v>14123473</v>
      </c>
      <c r="B475" s="56">
        <v>175223998</v>
      </c>
      <c r="C475" s="56" t="s">
        <v>1110</v>
      </c>
      <c r="D475" s="56" t="s">
        <v>1111</v>
      </c>
      <c r="E475" s="56" t="s">
        <v>1047</v>
      </c>
      <c r="F475" s="56">
        <v>19</v>
      </c>
      <c r="G475" s="56">
        <v>6906</v>
      </c>
      <c r="H475" s="56" t="s">
        <v>1048</v>
      </c>
      <c r="I475" s="56" t="s">
        <v>1090</v>
      </c>
      <c r="J475" s="129">
        <v>46230</v>
      </c>
      <c r="K475" s="130">
        <v>0.2048611111111111</v>
      </c>
      <c r="L475" s="130">
        <v>0.21597222222222223</v>
      </c>
      <c r="M475" s="56" t="s">
        <v>1050</v>
      </c>
      <c r="N475" s="129">
        <v>46230</v>
      </c>
      <c r="O475" s="130">
        <v>0.2673611111111111</v>
      </c>
      <c r="P475" s="130">
        <v>0.26651620370370371</v>
      </c>
      <c r="Q475" s="56" t="s">
        <v>1050</v>
      </c>
      <c r="R475" s="56" t="s">
        <v>514</v>
      </c>
      <c r="S475" s="56">
        <v>31</v>
      </c>
      <c r="T475" s="131">
        <v>1.1111111111111127E-2</v>
      </c>
      <c r="U475" s="130">
        <v>-8.4490740740739145E-4</v>
      </c>
      <c r="V475" s="56" t="s">
        <v>1051</v>
      </c>
      <c r="W475" s="56" t="s">
        <v>1052</v>
      </c>
      <c r="X475" s="56" t="s">
        <v>1053</v>
      </c>
      <c r="Y475" s="56">
        <v>31</v>
      </c>
      <c r="Z475" s="56" t="s">
        <v>1054</v>
      </c>
      <c r="AA475" s="56" t="s">
        <v>1112</v>
      </c>
      <c r="AB475" s="56" t="s">
        <v>1092</v>
      </c>
      <c r="AC475" s="56" t="s">
        <v>1078</v>
      </c>
      <c r="AD475" s="56" t="s">
        <v>1113</v>
      </c>
      <c r="AE475" s="56" t="s">
        <v>1114</v>
      </c>
      <c r="AF475" s="56" t="s">
        <v>1060</v>
      </c>
      <c r="AG475" s="56" t="s">
        <v>1115</v>
      </c>
      <c r="AH475" s="56"/>
      <c r="AI475" s="56"/>
      <c r="AJ475" s="56"/>
      <c r="AK475" s="56"/>
      <c r="AL475" s="56"/>
      <c r="AM475" s="56"/>
      <c r="AN475" s="56"/>
      <c r="AO475" s="56"/>
      <c r="AP475" s="56"/>
      <c r="AQ475" s="131"/>
      <c r="AR475" s="130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</row>
    <row r="476" spans="1:56" x14ac:dyDescent="0.2">
      <c r="A476" s="56"/>
      <c r="B476" s="56">
        <v>175213218</v>
      </c>
      <c r="C476" s="56" t="s">
        <v>2627</v>
      </c>
      <c r="D476" s="56" t="s">
        <v>1527</v>
      </c>
      <c r="E476" s="56" t="s">
        <v>1047</v>
      </c>
      <c r="F476" s="56">
        <v>29</v>
      </c>
      <c r="G476" s="56">
        <v>13858</v>
      </c>
      <c r="H476" s="56" t="s">
        <v>1048</v>
      </c>
      <c r="I476" s="56" t="s">
        <v>1118</v>
      </c>
      <c r="J476" s="129">
        <v>46230</v>
      </c>
      <c r="K476" s="130">
        <v>0.20833333333333334</v>
      </c>
      <c r="L476" s="130">
        <v>0.24027777777777778</v>
      </c>
      <c r="M476" s="56" t="s">
        <v>1050</v>
      </c>
      <c r="N476" s="129">
        <v>46230</v>
      </c>
      <c r="O476" s="130">
        <v>0.2673611111111111</v>
      </c>
      <c r="P476" s="130">
        <v>0.28333333333333333</v>
      </c>
      <c r="Q476" s="56" t="s">
        <v>1050</v>
      </c>
      <c r="R476" s="56" t="s">
        <v>1414</v>
      </c>
      <c r="S476" s="56">
        <v>31</v>
      </c>
      <c r="T476" s="131">
        <v>3.1944444444444442E-2</v>
      </c>
      <c r="U476" s="130">
        <v>1.5972222222222221E-2</v>
      </c>
      <c r="V476" s="56" t="s">
        <v>1051</v>
      </c>
      <c r="W476" s="56" t="s">
        <v>1065</v>
      </c>
      <c r="X476" s="56" t="s">
        <v>1066</v>
      </c>
      <c r="Y476" s="56">
        <v>31</v>
      </c>
      <c r="Z476" s="56" t="s">
        <v>1054</v>
      </c>
      <c r="AA476" s="56" t="s">
        <v>1610</v>
      </c>
      <c r="AB476" s="56" t="s">
        <v>1120</v>
      </c>
      <c r="AC476" s="56" t="s">
        <v>1078</v>
      </c>
      <c r="AD476" s="56" t="s">
        <v>1611</v>
      </c>
      <c r="AE476" s="56" t="s">
        <v>1612</v>
      </c>
      <c r="AF476" s="56" t="s">
        <v>1060</v>
      </c>
      <c r="AG476" s="56" t="s">
        <v>2628</v>
      </c>
      <c r="AH476" s="56"/>
      <c r="AI476" s="56"/>
      <c r="AJ476" s="56"/>
      <c r="AK476" s="56"/>
      <c r="AL476" s="56"/>
      <c r="AM476" s="56"/>
      <c r="AN476" s="56"/>
      <c r="AO476" s="56"/>
      <c r="AP476" s="56"/>
      <c r="AQ476" s="131"/>
      <c r="AR476" s="130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</row>
    <row r="477" spans="1:56" x14ac:dyDescent="0.2">
      <c r="A477" s="56"/>
      <c r="B477" s="56">
        <v>175213613</v>
      </c>
      <c r="C477" s="56" t="s">
        <v>2146</v>
      </c>
      <c r="D477" s="56" t="s">
        <v>2522</v>
      </c>
      <c r="E477" s="56" t="s">
        <v>1047</v>
      </c>
      <c r="F477" s="56">
        <v>1</v>
      </c>
      <c r="G477" s="56">
        <v>11942</v>
      </c>
      <c r="H477" s="56" t="s">
        <v>1048</v>
      </c>
      <c r="I477" s="56" t="s">
        <v>2134</v>
      </c>
      <c r="J477" s="129">
        <v>46230</v>
      </c>
      <c r="K477" s="130">
        <v>0.20833333333333334</v>
      </c>
      <c r="L477" s="130">
        <v>0.24097222222222223</v>
      </c>
      <c r="M477" s="56" t="s">
        <v>1050</v>
      </c>
      <c r="N477" s="129">
        <v>46230</v>
      </c>
      <c r="O477" s="130">
        <v>0.29166666666666669</v>
      </c>
      <c r="P477" s="130">
        <v>0.24986111111111112</v>
      </c>
      <c r="Q477" s="56" t="s">
        <v>1050</v>
      </c>
      <c r="R477" s="56" t="s">
        <v>1414</v>
      </c>
      <c r="S477" s="56">
        <v>31</v>
      </c>
      <c r="T477" s="131">
        <v>3.2638888888888884E-2</v>
      </c>
      <c r="U477" s="130">
        <v>-4.1805555555555568E-2</v>
      </c>
      <c r="V477" s="56" t="s">
        <v>1051</v>
      </c>
      <c r="W477" s="56" t="s">
        <v>1052</v>
      </c>
      <c r="X477" s="56" t="s">
        <v>1053</v>
      </c>
      <c r="Y477" s="56">
        <v>31</v>
      </c>
      <c r="Z477" s="56" t="s">
        <v>1054</v>
      </c>
      <c r="AA477" s="56" t="s">
        <v>2523</v>
      </c>
      <c r="AB477" s="56" t="s">
        <v>1342</v>
      </c>
      <c r="AC477" s="56" t="s">
        <v>1069</v>
      </c>
      <c r="AD477" s="56" t="s">
        <v>2524</v>
      </c>
      <c r="AE477" s="56" t="s">
        <v>2150</v>
      </c>
      <c r="AF477" s="56" t="s">
        <v>1060</v>
      </c>
      <c r="AG477" s="56" t="s">
        <v>2525</v>
      </c>
      <c r="AH477" s="56"/>
      <c r="AI477" s="56"/>
      <c r="AJ477" s="56"/>
      <c r="AK477" s="56"/>
      <c r="AL477" s="56"/>
      <c r="AM477" s="56"/>
      <c r="AN477" s="56"/>
      <c r="AO477" s="56"/>
      <c r="AP477" s="56"/>
      <c r="AQ477" s="131"/>
      <c r="AR477" s="130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</row>
    <row r="478" spans="1:56" x14ac:dyDescent="0.2">
      <c r="A478" s="56">
        <v>14108775</v>
      </c>
      <c r="B478" s="56">
        <v>175213614</v>
      </c>
      <c r="C478" s="56" t="s">
        <v>2152</v>
      </c>
      <c r="D478" s="56" t="s">
        <v>2526</v>
      </c>
      <c r="E478" s="56" t="s">
        <v>1047</v>
      </c>
      <c r="F478" s="56">
        <v>2</v>
      </c>
      <c r="G478" s="56">
        <v>11853</v>
      </c>
      <c r="H478" s="56" t="s">
        <v>1048</v>
      </c>
      <c r="I478" s="56" t="s">
        <v>2134</v>
      </c>
      <c r="J478" s="129">
        <v>46230</v>
      </c>
      <c r="K478" s="130">
        <v>0.20833333333333334</v>
      </c>
      <c r="L478" s="130">
        <v>0.23055555555555557</v>
      </c>
      <c r="M478" s="56" t="s">
        <v>1050</v>
      </c>
      <c r="N478" s="129">
        <v>46230</v>
      </c>
      <c r="O478" s="130">
        <v>0.29166666666666669</v>
      </c>
      <c r="P478" s="130">
        <v>0.25069444444444444</v>
      </c>
      <c r="Q478" s="56" t="s">
        <v>1050</v>
      </c>
      <c r="R478" s="56" t="s">
        <v>178</v>
      </c>
      <c r="S478" s="56">
        <v>31</v>
      </c>
      <c r="T478" s="131">
        <v>2.2222222222222227E-2</v>
      </c>
      <c r="U478" s="130">
        <v>-4.0972222222222243E-2</v>
      </c>
      <c r="V478" s="56" t="s">
        <v>1051</v>
      </c>
      <c r="W478" s="56" t="s">
        <v>1052</v>
      </c>
      <c r="X478" s="56" t="s">
        <v>1053</v>
      </c>
      <c r="Y478" s="56">
        <v>31</v>
      </c>
      <c r="Z478" s="56" t="s">
        <v>1054</v>
      </c>
      <c r="AA478" s="56" t="s">
        <v>2527</v>
      </c>
      <c r="AB478" s="56" t="s">
        <v>1342</v>
      </c>
      <c r="AC478" s="56" t="s">
        <v>1069</v>
      </c>
      <c r="AD478" s="56" t="s">
        <v>2528</v>
      </c>
      <c r="AE478" s="56" t="s">
        <v>2156</v>
      </c>
      <c r="AF478" s="56" t="s">
        <v>1060</v>
      </c>
      <c r="AG478" s="56" t="s">
        <v>2529</v>
      </c>
      <c r="AH478" s="56"/>
      <c r="AI478" s="56"/>
      <c r="AJ478" s="56"/>
      <c r="AK478" s="56"/>
      <c r="AL478" s="56"/>
      <c r="AM478" s="56"/>
      <c r="AN478" s="56"/>
      <c r="AO478" s="56"/>
      <c r="AP478" s="56"/>
      <c r="AQ478" s="131"/>
      <c r="AR478" s="130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</row>
    <row r="479" spans="1:56" x14ac:dyDescent="0.2">
      <c r="A479" s="56"/>
      <c r="B479" s="56">
        <v>175213616</v>
      </c>
      <c r="C479" s="56" t="s">
        <v>2158</v>
      </c>
      <c r="D479" s="56" t="s">
        <v>2147</v>
      </c>
      <c r="E479" s="56" t="s">
        <v>1047</v>
      </c>
      <c r="F479" s="56">
        <v>4</v>
      </c>
      <c r="G479" s="56">
        <v>7943</v>
      </c>
      <c r="H479" s="56" t="s">
        <v>1048</v>
      </c>
      <c r="I479" s="56" t="s">
        <v>2134</v>
      </c>
      <c r="J479" s="129">
        <v>46230</v>
      </c>
      <c r="K479" s="130">
        <v>0.20833333333333334</v>
      </c>
      <c r="L479" s="130">
        <v>0.27500000000000002</v>
      </c>
      <c r="M479" s="56" t="s">
        <v>1050</v>
      </c>
      <c r="N479" s="129">
        <v>46230</v>
      </c>
      <c r="O479" s="130">
        <v>0.29166666666666669</v>
      </c>
      <c r="P479" s="56"/>
      <c r="Q479" s="56" t="s">
        <v>1286</v>
      </c>
      <c r="R479" s="56" t="s">
        <v>2629</v>
      </c>
      <c r="S479" s="56">
        <v>31</v>
      </c>
      <c r="T479" s="131">
        <v>6.666666666666668E-2</v>
      </c>
      <c r="U479" s="130">
        <v>-0.29166666666666669</v>
      </c>
      <c r="V479" s="56" t="s">
        <v>1051</v>
      </c>
      <c r="W479" s="56" t="s">
        <v>1052</v>
      </c>
      <c r="X479" s="56" t="s">
        <v>1053</v>
      </c>
      <c r="Y479" s="56">
        <v>31</v>
      </c>
      <c r="Z479" s="56" t="s">
        <v>1054</v>
      </c>
      <c r="AA479" s="56" t="s">
        <v>2148</v>
      </c>
      <c r="AB479" s="56" t="s">
        <v>1342</v>
      </c>
      <c r="AC479" s="56" t="s">
        <v>1069</v>
      </c>
      <c r="AD479" s="56" t="s">
        <v>2149</v>
      </c>
      <c r="AE479" s="56" t="s">
        <v>2162</v>
      </c>
      <c r="AF479" s="56" t="s">
        <v>1060</v>
      </c>
      <c r="AG479" s="56" t="s">
        <v>2530</v>
      </c>
      <c r="AH479" s="56"/>
      <c r="AI479" s="56"/>
      <c r="AJ479" s="56"/>
      <c r="AK479" s="56"/>
      <c r="AL479" s="56"/>
      <c r="AM479" s="56"/>
      <c r="AN479" s="56"/>
      <c r="AO479" s="56"/>
      <c r="AP479" s="56"/>
      <c r="AQ479" s="131"/>
      <c r="AR479" s="130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</row>
    <row r="480" spans="1:56" x14ac:dyDescent="0.2">
      <c r="A480" s="56">
        <v>14119324</v>
      </c>
      <c r="B480" s="56">
        <v>175220802</v>
      </c>
      <c r="C480" s="56" t="s">
        <v>1878</v>
      </c>
      <c r="D480" s="56" t="s">
        <v>1683</v>
      </c>
      <c r="E480" s="56" t="s">
        <v>1047</v>
      </c>
      <c r="F480" s="56">
        <v>204</v>
      </c>
      <c r="G480" s="56">
        <v>12948</v>
      </c>
      <c r="H480" s="56" t="s">
        <v>1048</v>
      </c>
      <c r="I480" s="56" t="s">
        <v>1104</v>
      </c>
      <c r="J480" s="129">
        <v>46230</v>
      </c>
      <c r="K480" s="130">
        <v>0.20833333333333334</v>
      </c>
      <c r="L480" s="130">
        <v>0.21527777777777779</v>
      </c>
      <c r="M480" s="56" t="s">
        <v>1050</v>
      </c>
      <c r="N480" s="129">
        <v>46230</v>
      </c>
      <c r="O480" s="130">
        <v>0.2673611111111111</v>
      </c>
      <c r="P480" s="130">
        <v>0.24703703703703703</v>
      </c>
      <c r="Q480" s="56" t="s">
        <v>1050</v>
      </c>
      <c r="R480" s="56" t="s">
        <v>241</v>
      </c>
      <c r="S480" s="56">
        <v>31</v>
      </c>
      <c r="T480" s="131">
        <v>6.9444444444444475E-3</v>
      </c>
      <c r="U480" s="130">
        <v>-2.0324074074074078E-2</v>
      </c>
      <c r="V480" s="56" t="s">
        <v>1051</v>
      </c>
      <c r="W480" s="56" t="s">
        <v>1052</v>
      </c>
      <c r="X480" s="56" t="s">
        <v>1053</v>
      </c>
      <c r="Y480" s="56">
        <v>31</v>
      </c>
      <c r="Z480" s="56" t="s">
        <v>1054</v>
      </c>
      <c r="AA480" s="56" t="s">
        <v>1684</v>
      </c>
      <c r="AB480" s="56" t="s">
        <v>1106</v>
      </c>
      <c r="AC480" s="56" t="s">
        <v>1078</v>
      </c>
      <c r="AD480" s="56" t="s">
        <v>1685</v>
      </c>
      <c r="AE480" s="56" t="s">
        <v>1686</v>
      </c>
      <c r="AF480" s="56" t="s">
        <v>1060</v>
      </c>
      <c r="AG480" s="56" t="s">
        <v>1879</v>
      </c>
      <c r="AH480" s="56"/>
      <c r="AI480" s="56"/>
      <c r="AJ480" s="56"/>
      <c r="AK480" s="56"/>
      <c r="AL480" s="56"/>
      <c r="AM480" s="56"/>
      <c r="AN480" s="56"/>
      <c r="AO480" s="56"/>
      <c r="AP480" s="56"/>
      <c r="AQ480" s="131"/>
      <c r="AR480" s="130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</row>
    <row r="481" spans="1:56" x14ac:dyDescent="0.2">
      <c r="A481" s="56">
        <v>14123004</v>
      </c>
      <c r="B481" s="56">
        <v>175224050</v>
      </c>
      <c r="C481" s="56" t="s">
        <v>1124</v>
      </c>
      <c r="D481" s="56" t="s">
        <v>1125</v>
      </c>
      <c r="E481" s="56" t="s">
        <v>1047</v>
      </c>
      <c r="F481" s="56">
        <v>45</v>
      </c>
      <c r="G481" s="56">
        <v>4875</v>
      </c>
      <c r="H481" s="56" t="s">
        <v>1048</v>
      </c>
      <c r="I481" s="56" t="s">
        <v>1090</v>
      </c>
      <c r="J481" s="129">
        <v>46230</v>
      </c>
      <c r="K481" s="130">
        <v>0.20833333333333334</v>
      </c>
      <c r="L481" s="130">
        <v>0.21249999999999999</v>
      </c>
      <c r="M481" s="56" t="s">
        <v>1050</v>
      </c>
      <c r="N481" s="129">
        <v>46230</v>
      </c>
      <c r="O481" s="130">
        <v>0.2673611111111111</v>
      </c>
      <c r="P481" s="130">
        <v>0.24739583333333334</v>
      </c>
      <c r="Q481" s="56" t="s">
        <v>1050</v>
      </c>
      <c r="R481" s="56" t="s">
        <v>468</v>
      </c>
      <c r="S481" s="56">
        <v>31</v>
      </c>
      <c r="T481" s="131">
        <v>4.1666666666666519E-3</v>
      </c>
      <c r="U481" s="130">
        <v>-1.9965277777777762E-2</v>
      </c>
      <c r="V481" s="56" t="s">
        <v>1051</v>
      </c>
      <c r="W481" s="56" t="s">
        <v>1052</v>
      </c>
      <c r="X481" s="56" t="s">
        <v>1053</v>
      </c>
      <c r="Y481" s="56">
        <v>31</v>
      </c>
      <c r="Z481" s="56" t="s">
        <v>1054</v>
      </c>
      <c r="AA481" s="56" t="s">
        <v>1126</v>
      </c>
      <c r="AB481" s="56" t="s">
        <v>1092</v>
      </c>
      <c r="AC481" s="56" t="s">
        <v>1078</v>
      </c>
      <c r="AD481" s="56" t="s">
        <v>1127</v>
      </c>
      <c r="AE481" s="56" t="s">
        <v>1128</v>
      </c>
      <c r="AF481" s="56" t="s">
        <v>1060</v>
      </c>
      <c r="AG481" s="56" t="s">
        <v>1129</v>
      </c>
      <c r="AH481" s="56"/>
      <c r="AI481" s="56"/>
      <c r="AJ481" s="56"/>
      <c r="AK481" s="56"/>
      <c r="AL481" s="56"/>
      <c r="AM481" s="56"/>
      <c r="AN481" s="56"/>
      <c r="AO481" s="56"/>
      <c r="AP481" s="56"/>
      <c r="AQ481" s="131"/>
      <c r="AR481" s="130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</row>
    <row r="482" spans="1:56" x14ac:dyDescent="0.2">
      <c r="A482" s="56">
        <v>14123463</v>
      </c>
      <c r="B482" s="56">
        <v>175204250</v>
      </c>
      <c r="C482" s="56" t="s">
        <v>2630</v>
      </c>
      <c r="D482" s="56" t="s">
        <v>2631</v>
      </c>
      <c r="E482" s="56" t="s">
        <v>1047</v>
      </c>
      <c r="F482" s="56">
        <v>67</v>
      </c>
      <c r="G482" s="56">
        <v>11162</v>
      </c>
      <c r="H482" s="56" t="s">
        <v>1048</v>
      </c>
      <c r="I482" s="56" t="s">
        <v>1075</v>
      </c>
      <c r="J482" s="129">
        <v>46230</v>
      </c>
      <c r="K482" s="130">
        <v>0.21041666666666667</v>
      </c>
      <c r="L482" s="130">
        <v>0.21527777777777779</v>
      </c>
      <c r="M482" s="56" t="s">
        <v>1050</v>
      </c>
      <c r="N482" s="129">
        <v>46230</v>
      </c>
      <c r="O482" s="130">
        <v>0.2673611111111111</v>
      </c>
      <c r="P482" s="130">
        <v>0.25538194444444445</v>
      </c>
      <c r="Q482" s="56" t="s">
        <v>1050</v>
      </c>
      <c r="R482" s="56" t="s">
        <v>512</v>
      </c>
      <c r="S482" s="56">
        <v>31</v>
      </c>
      <c r="T482" s="131">
        <v>4.8611111111111216E-3</v>
      </c>
      <c r="U482" s="130">
        <v>-1.1979166666666652E-2</v>
      </c>
      <c r="V482" s="56" t="s">
        <v>1051</v>
      </c>
      <c r="W482" s="56" t="s">
        <v>1052</v>
      </c>
      <c r="X482" s="56" t="s">
        <v>1053</v>
      </c>
      <c r="Y482" s="56">
        <v>31</v>
      </c>
      <c r="Z482" s="56" t="s">
        <v>1054</v>
      </c>
      <c r="AA482" s="56" t="s">
        <v>2632</v>
      </c>
      <c r="AB482" s="56" t="s">
        <v>1077</v>
      </c>
      <c r="AC482" s="56" t="s">
        <v>1078</v>
      </c>
      <c r="AD482" s="56" t="s">
        <v>2633</v>
      </c>
      <c r="AE482" s="56" t="s">
        <v>2634</v>
      </c>
      <c r="AF482" s="56" t="s">
        <v>1060</v>
      </c>
      <c r="AG482" s="56" t="s">
        <v>2635</v>
      </c>
      <c r="AH482" s="56"/>
      <c r="AI482" s="56"/>
      <c r="AJ482" s="56"/>
      <c r="AK482" s="56"/>
      <c r="AL482" s="56"/>
      <c r="AM482" s="56"/>
      <c r="AN482" s="56"/>
      <c r="AO482" s="56"/>
      <c r="AP482" s="56"/>
      <c r="AQ482" s="131"/>
      <c r="AR482" s="130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</row>
    <row r="483" spans="1:56" x14ac:dyDescent="0.2">
      <c r="A483" s="56">
        <v>14107967</v>
      </c>
      <c r="B483" s="56">
        <v>175213182</v>
      </c>
      <c r="C483" s="56" t="s">
        <v>1130</v>
      </c>
      <c r="D483" s="56" t="s">
        <v>1131</v>
      </c>
      <c r="E483" s="56" t="s">
        <v>1047</v>
      </c>
      <c r="F483" s="56">
        <v>15</v>
      </c>
      <c r="G483" s="56">
        <v>16734</v>
      </c>
      <c r="H483" s="56" t="s">
        <v>1048</v>
      </c>
      <c r="I483" s="56" t="s">
        <v>1118</v>
      </c>
      <c r="J483" s="129">
        <v>46230</v>
      </c>
      <c r="K483" s="130">
        <v>0.21180555555555555</v>
      </c>
      <c r="L483" s="130">
        <v>0.22569444444444445</v>
      </c>
      <c r="M483" s="56" t="s">
        <v>1050</v>
      </c>
      <c r="N483" s="129">
        <v>46230</v>
      </c>
      <c r="O483" s="130">
        <v>0.2673611111111111</v>
      </c>
      <c r="P483" s="130">
        <v>0.26635416666666667</v>
      </c>
      <c r="Q483" s="56" t="s">
        <v>1050</v>
      </c>
      <c r="R483" s="56" t="s">
        <v>67</v>
      </c>
      <c r="S483" s="56">
        <v>31</v>
      </c>
      <c r="T483" s="131">
        <v>1.3888888888888895E-2</v>
      </c>
      <c r="U483" s="130">
        <v>-1.0069444444444353E-3</v>
      </c>
      <c r="V483" s="56" t="s">
        <v>1051</v>
      </c>
      <c r="W483" s="56" t="s">
        <v>1052</v>
      </c>
      <c r="X483" s="56" t="s">
        <v>1053</v>
      </c>
      <c r="Y483" s="56">
        <v>31</v>
      </c>
      <c r="Z483" s="56" t="s">
        <v>1054</v>
      </c>
      <c r="AA483" s="56" t="s">
        <v>1133</v>
      </c>
      <c r="AB483" s="56" t="s">
        <v>1120</v>
      </c>
      <c r="AC483" s="56" t="s">
        <v>1078</v>
      </c>
      <c r="AD483" s="56" t="s">
        <v>1134</v>
      </c>
      <c r="AE483" s="56" t="s">
        <v>1135</v>
      </c>
      <c r="AF483" s="56" t="s">
        <v>1060</v>
      </c>
      <c r="AG483" s="56" t="s">
        <v>1136</v>
      </c>
      <c r="AH483" s="56"/>
      <c r="AI483" s="56"/>
      <c r="AJ483" s="56"/>
      <c r="AK483" s="56"/>
      <c r="AL483" s="56"/>
      <c r="AM483" s="56"/>
      <c r="AN483" s="56"/>
      <c r="AO483" s="56"/>
      <c r="AP483" s="56"/>
      <c r="AQ483" s="131"/>
      <c r="AR483" s="130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</row>
    <row r="484" spans="1:56" x14ac:dyDescent="0.2">
      <c r="A484" s="56">
        <v>14107393</v>
      </c>
      <c r="B484" s="56">
        <v>175213476</v>
      </c>
      <c r="C484" s="56" t="s">
        <v>1438</v>
      </c>
      <c r="D484" s="56" t="s">
        <v>1439</v>
      </c>
      <c r="E484" s="56" t="s">
        <v>1047</v>
      </c>
      <c r="F484" s="56">
        <v>112</v>
      </c>
      <c r="G484" s="56">
        <v>15996</v>
      </c>
      <c r="H484" s="56" t="s">
        <v>1048</v>
      </c>
      <c r="I484" s="56" t="s">
        <v>1104</v>
      </c>
      <c r="J484" s="129">
        <v>46230</v>
      </c>
      <c r="K484" s="130">
        <v>0.21180555555555555</v>
      </c>
      <c r="L484" s="130">
        <v>0.21597222222222223</v>
      </c>
      <c r="M484" s="56" t="s">
        <v>1050</v>
      </c>
      <c r="N484" s="129">
        <v>46230</v>
      </c>
      <c r="O484" s="130">
        <v>0.2673611111111111</v>
      </c>
      <c r="P484" s="130">
        <v>0.24710648148148148</v>
      </c>
      <c r="Q484" s="56" t="s">
        <v>1050</v>
      </c>
      <c r="R484" s="56" t="s">
        <v>61</v>
      </c>
      <c r="S484" s="56">
        <v>31</v>
      </c>
      <c r="T484" s="131">
        <v>4.1666666666666796E-3</v>
      </c>
      <c r="U484" s="130">
        <v>-2.0254629629629622E-2</v>
      </c>
      <c r="V484" s="56" t="s">
        <v>1051</v>
      </c>
      <c r="W484" s="56" t="s">
        <v>1052</v>
      </c>
      <c r="X484" s="56" t="s">
        <v>1053</v>
      </c>
      <c r="Y484" s="56">
        <v>31</v>
      </c>
      <c r="Z484" s="56" t="s">
        <v>1054</v>
      </c>
      <c r="AA484" s="56" t="s">
        <v>1440</v>
      </c>
      <c r="AB484" s="56" t="s">
        <v>1106</v>
      </c>
      <c r="AC484" s="56" t="s">
        <v>1078</v>
      </c>
      <c r="AD484" s="56" t="s">
        <v>1441</v>
      </c>
      <c r="AE484" s="56" t="s">
        <v>1442</v>
      </c>
      <c r="AF484" s="56" t="s">
        <v>1060</v>
      </c>
      <c r="AG484" s="56" t="s">
        <v>1443</v>
      </c>
      <c r="AH484" s="56"/>
      <c r="AI484" s="56"/>
      <c r="AJ484" s="56"/>
      <c r="AK484" s="56"/>
      <c r="AL484" s="56"/>
      <c r="AM484" s="56"/>
      <c r="AN484" s="56"/>
      <c r="AO484" s="56"/>
      <c r="AP484" s="56"/>
      <c r="AQ484" s="131"/>
      <c r="AR484" s="130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</row>
    <row r="485" spans="1:56" x14ac:dyDescent="0.2">
      <c r="A485" s="56">
        <v>14106368</v>
      </c>
      <c r="B485" s="56">
        <v>175204253</v>
      </c>
      <c r="C485" s="56" t="s">
        <v>1886</v>
      </c>
      <c r="D485" s="56" t="s">
        <v>1627</v>
      </c>
      <c r="E485" s="56" t="s">
        <v>1047</v>
      </c>
      <c r="F485" s="56">
        <v>68</v>
      </c>
      <c r="G485" s="56">
        <v>16000</v>
      </c>
      <c r="H485" s="56" t="s">
        <v>1048</v>
      </c>
      <c r="I485" s="56" t="s">
        <v>1075</v>
      </c>
      <c r="J485" s="129">
        <v>46230</v>
      </c>
      <c r="K485" s="130">
        <v>0.21527777777777779</v>
      </c>
      <c r="L485" s="130">
        <v>0.22083333333333333</v>
      </c>
      <c r="M485" s="56" t="s">
        <v>1050</v>
      </c>
      <c r="N485" s="129">
        <v>46230</v>
      </c>
      <c r="O485" s="130">
        <v>0.2673611111111111</v>
      </c>
      <c r="P485" s="130">
        <v>0.26325231481481481</v>
      </c>
      <c r="Q485" s="56" t="s">
        <v>1050</v>
      </c>
      <c r="R485" s="56" t="s">
        <v>50</v>
      </c>
      <c r="S485" s="56">
        <v>31</v>
      </c>
      <c r="T485" s="131">
        <v>5.5555555555555358E-3</v>
      </c>
      <c r="U485" s="130">
        <v>-4.108796296296291E-3</v>
      </c>
      <c r="V485" s="56" t="s">
        <v>1051</v>
      </c>
      <c r="W485" s="56" t="s">
        <v>1052</v>
      </c>
      <c r="X485" s="56" t="s">
        <v>1053</v>
      </c>
      <c r="Y485" s="56">
        <v>31</v>
      </c>
      <c r="Z485" s="56" t="s">
        <v>1054</v>
      </c>
      <c r="AA485" s="56" t="s">
        <v>1628</v>
      </c>
      <c r="AB485" s="56" t="s">
        <v>1077</v>
      </c>
      <c r="AC485" s="56" t="s">
        <v>1078</v>
      </c>
      <c r="AD485" s="56" t="s">
        <v>1629</v>
      </c>
      <c r="AE485" s="56" t="s">
        <v>1630</v>
      </c>
      <c r="AF485" s="56" t="s">
        <v>1060</v>
      </c>
      <c r="AG485" s="56" t="s">
        <v>1887</v>
      </c>
      <c r="AH485" s="56"/>
      <c r="AI485" s="56"/>
      <c r="AJ485" s="56"/>
      <c r="AK485" s="56"/>
      <c r="AL485" s="56"/>
      <c r="AM485" s="56"/>
      <c r="AN485" s="56"/>
      <c r="AO485" s="56"/>
      <c r="AP485" s="56"/>
      <c r="AQ485" s="131"/>
      <c r="AR485" s="130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</row>
    <row r="486" spans="1:56" x14ac:dyDescent="0.2">
      <c r="A486" s="56">
        <v>14107217</v>
      </c>
      <c r="B486" s="56">
        <v>175224118</v>
      </c>
      <c r="C486" s="56" t="s">
        <v>2191</v>
      </c>
      <c r="D486" s="56" t="s">
        <v>1316</v>
      </c>
      <c r="E486" s="56" t="s">
        <v>1047</v>
      </c>
      <c r="F486" s="56">
        <v>79</v>
      </c>
      <c r="G486" s="56">
        <v>6885</v>
      </c>
      <c r="H486" s="56" t="s">
        <v>1048</v>
      </c>
      <c r="I486" s="56" t="s">
        <v>1090</v>
      </c>
      <c r="J486" s="129">
        <v>46230</v>
      </c>
      <c r="K486" s="130">
        <v>0.21527777777777779</v>
      </c>
      <c r="L486" s="130">
        <v>0.21875</v>
      </c>
      <c r="M486" s="56" t="s">
        <v>1050</v>
      </c>
      <c r="N486" s="129">
        <v>46230</v>
      </c>
      <c r="O486" s="130">
        <v>0.2673611111111111</v>
      </c>
      <c r="P486" s="130">
        <v>0.25333333333333335</v>
      </c>
      <c r="Q486" s="56" t="s">
        <v>1050</v>
      </c>
      <c r="R486" s="56" t="s">
        <v>59</v>
      </c>
      <c r="S486" s="56">
        <v>31</v>
      </c>
      <c r="T486" s="131">
        <v>3.4722222222222099E-3</v>
      </c>
      <c r="U486" s="130">
        <v>-1.402777777777775E-2</v>
      </c>
      <c r="V486" s="56" t="s">
        <v>1051</v>
      </c>
      <c r="W486" s="56" t="s">
        <v>1052</v>
      </c>
      <c r="X486" s="56" t="s">
        <v>1053</v>
      </c>
      <c r="Y486" s="56">
        <v>31</v>
      </c>
      <c r="Z486" s="56" t="s">
        <v>1054</v>
      </c>
      <c r="AA486" s="56" t="s">
        <v>1317</v>
      </c>
      <c r="AB486" s="56" t="s">
        <v>1092</v>
      </c>
      <c r="AC486" s="56" t="s">
        <v>1078</v>
      </c>
      <c r="AD486" s="56" t="s">
        <v>1318</v>
      </c>
      <c r="AE486" s="56" t="s">
        <v>1319</v>
      </c>
      <c r="AF486" s="56" t="s">
        <v>1060</v>
      </c>
      <c r="AG486" s="56" t="s">
        <v>2192</v>
      </c>
      <c r="AH486" s="56"/>
      <c r="AI486" s="56"/>
      <c r="AJ486" s="56"/>
      <c r="AK486" s="56"/>
      <c r="AL486" s="56"/>
      <c r="AM486" s="56"/>
      <c r="AN486" s="56"/>
      <c r="AO486" s="56"/>
      <c r="AP486" s="56"/>
      <c r="AQ486" s="131"/>
      <c r="AR486" s="130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</row>
    <row r="487" spans="1:56" x14ac:dyDescent="0.2">
      <c r="A487" s="56">
        <v>14103183</v>
      </c>
      <c r="B487" s="56">
        <v>175209461</v>
      </c>
      <c r="C487" s="56" t="s">
        <v>2195</v>
      </c>
      <c r="D487" s="56" t="s">
        <v>1339</v>
      </c>
      <c r="E487" s="56" t="s">
        <v>1047</v>
      </c>
      <c r="F487" s="56">
        <v>1</v>
      </c>
      <c r="G487" s="56">
        <v>15313</v>
      </c>
      <c r="H487" s="56" t="s">
        <v>1048</v>
      </c>
      <c r="I487" s="56" t="s">
        <v>1340</v>
      </c>
      <c r="J487" s="129">
        <v>46230</v>
      </c>
      <c r="K487" s="130">
        <v>0.21875</v>
      </c>
      <c r="L487" s="130">
        <v>0.22222222222222221</v>
      </c>
      <c r="M487" s="56" t="s">
        <v>1050</v>
      </c>
      <c r="N487" s="129">
        <v>46230</v>
      </c>
      <c r="O487" s="130">
        <v>0.23958333333333334</v>
      </c>
      <c r="P487" s="130">
        <v>0.23503472222222221</v>
      </c>
      <c r="Q487" s="56" t="s">
        <v>1050</v>
      </c>
      <c r="R487" s="56" t="s">
        <v>35</v>
      </c>
      <c r="S487" s="56">
        <v>31</v>
      </c>
      <c r="T487" s="131">
        <v>3.4722222222222099E-3</v>
      </c>
      <c r="U487" s="130">
        <v>-4.5486111111111283E-3</v>
      </c>
      <c r="V487" s="56" t="s">
        <v>1051</v>
      </c>
      <c r="W487" s="56" t="s">
        <v>1052</v>
      </c>
      <c r="X487" s="56" t="s">
        <v>1053</v>
      </c>
      <c r="Y487" s="56">
        <v>31</v>
      </c>
      <c r="Z487" s="56" t="s">
        <v>1054</v>
      </c>
      <c r="AA487" s="56" t="s">
        <v>1341</v>
      </c>
      <c r="AB487" s="56" t="s">
        <v>1342</v>
      </c>
      <c r="AC487" s="56" t="s">
        <v>1069</v>
      </c>
      <c r="AD487" s="56" t="s">
        <v>1343</v>
      </c>
      <c r="AE487" s="56" t="s">
        <v>1344</v>
      </c>
      <c r="AF487" s="56" t="s">
        <v>1060</v>
      </c>
      <c r="AG487" s="56" t="s">
        <v>2196</v>
      </c>
      <c r="AH487" s="56"/>
      <c r="AI487" s="56"/>
      <c r="AJ487" s="56"/>
      <c r="AK487" s="56"/>
      <c r="AL487" s="56"/>
      <c r="AM487" s="56"/>
      <c r="AN487" s="56"/>
      <c r="AO487" s="56"/>
      <c r="AP487" s="56"/>
      <c r="AQ487" s="131"/>
      <c r="AR487" s="130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</row>
    <row r="488" spans="1:56" x14ac:dyDescent="0.2">
      <c r="A488" s="56">
        <v>14123893</v>
      </c>
      <c r="B488" s="56">
        <v>175220226</v>
      </c>
      <c r="C488" s="56" t="s">
        <v>2636</v>
      </c>
      <c r="D488" s="56" t="s">
        <v>2637</v>
      </c>
      <c r="E488" s="56" t="s">
        <v>1047</v>
      </c>
      <c r="F488" s="56">
        <v>45</v>
      </c>
      <c r="G488" s="56">
        <v>7377</v>
      </c>
      <c r="H488" s="56" t="s">
        <v>1048</v>
      </c>
      <c r="I488" s="56" t="s">
        <v>1158</v>
      </c>
      <c r="J488" s="129">
        <v>46230</v>
      </c>
      <c r="K488" s="130">
        <v>0.21875</v>
      </c>
      <c r="L488" s="130">
        <v>0.23472222222222222</v>
      </c>
      <c r="M488" s="56" t="s">
        <v>1050</v>
      </c>
      <c r="N488" s="129">
        <v>46230</v>
      </c>
      <c r="O488" s="130">
        <v>0.26041666666666669</v>
      </c>
      <c r="P488" s="130">
        <v>0.26968750000000002</v>
      </c>
      <c r="Q488" s="56" t="s">
        <v>1050</v>
      </c>
      <c r="R488" s="56" t="s">
        <v>979</v>
      </c>
      <c r="S488" s="56">
        <v>31</v>
      </c>
      <c r="T488" s="131">
        <v>1.5972222222222221E-2</v>
      </c>
      <c r="U488" s="130">
        <v>9.2708333333333393E-3</v>
      </c>
      <c r="V488" s="56" t="s">
        <v>1051</v>
      </c>
      <c r="W488" s="56" t="s">
        <v>1065</v>
      </c>
      <c r="X488" s="56" t="s">
        <v>1066</v>
      </c>
      <c r="Y488" s="56">
        <v>31</v>
      </c>
      <c r="Z488" s="56" t="s">
        <v>1054</v>
      </c>
      <c r="AA488" s="56" t="s">
        <v>2638</v>
      </c>
      <c r="AB488" s="56" t="s">
        <v>1160</v>
      </c>
      <c r="AC488" s="56" t="s">
        <v>1069</v>
      </c>
      <c r="AD488" s="56" t="s">
        <v>2639</v>
      </c>
      <c r="AE488" s="56" t="s">
        <v>2640</v>
      </c>
      <c r="AF488" s="56" t="s">
        <v>1060</v>
      </c>
      <c r="AG488" s="56" t="s">
        <v>2641</v>
      </c>
      <c r="AH488" s="56"/>
      <c r="AI488" s="56"/>
      <c r="AJ488" s="56"/>
      <c r="AK488" s="56"/>
      <c r="AL488" s="56"/>
      <c r="AM488" s="56"/>
      <c r="AN488" s="56"/>
      <c r="AO488" s="56"/>
      <c r="AP488" s="56"/>
      <c r="AQ488" s="131"/>
      <c r="AR488" s="130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</row>
    <row r="489" spans="1:56" x14ac:dyDescent="0.2">
      <c r="A489" s="56">
        <v>14100843</v>
      </c>
      <c r="B489" s="56">
        <v>175220262</v>
      </c>
      <c r="C489" s="56" t="s">
        <v>2642</v>
      </c>
      <c r="D489" s="56" t="s">
        <v>1792</v>
      </c>
      <c r="E489" s="56" t="s">
        <v>1047</v>
      </c>
      <c r="F489" s="56">
        <v>57</v>
      </c>
      <c r="G489" s="56">
        <v>5476</v>
      </c>
      <c r="H489" s="56" t="s">
        <v>1048</v>
      </c>
      <c r="I489" s="56" t="s">
        <v>1158</v>
      </c>
      <c r="J489" s="129">
        <v>46230</v>
      </c>
      <c r="K489" s="130">
        <v>0.21875</v>
      </c>
      <c r="L489" s="130">
        <v>0.22222222222222221</v>
      </c>
      <c r="M489" s="56" t="s">
        <v>1050</v>
      </c>
      <c r="N489" s="129">
        <v>46230</v>
      </c>
      <c r="O489" s="130">
        <v>0.26041666666666669</v>
      </c>
      <c r="P489" s="130">
        <v>0.25231481481481483</v>
      </c>
      <c r="Q489" s="56" t="s">
        <v>1050</v>
      </c>
      <c r="R489" s="56" t="s">
        <v>221</v>
      </c>
      <c r="S489" s="56">
        <v>31</v>
      </c>
      <c r="T489" s="131">
        <v>3.4722222222222099E-3</v>
      </c>
      <c r="U489" s="130">
        <v>-8.1018518518518601E-3</v>
      </c>
      <c r="V489" s="56" t="s">
        <v>1051</v>
      </c>
      <c r="W489" s="56" t="s">
        <v>1052</v>
      </c>
      <c r="X489" s="56" t="s">
        <v>1053</v>
      </c>
      <c r="Y489" s="56">
        <v>31</v>
      </c>
      <c r="Z489" s="56" t="s">
        <v>1054</v>
      </c>
      <c r="AA489" s="56" t="s">
        <v>1793</v>
      </c>
      <c r="AB489" s="56" t="s">
        <v>1160</v>
      </c>
      <c r="AC489" s="56" t="s">
        <v>1069</v>
      </c>
      <c r="AD489" s="56" t="s">
        <v>1794</v>
      </c>
      <c r="AE489" s="56" t="s">
        <v>1795</v>
      </c>
      <c r="AF489" s="56" t="s">
        <v>1060</v>
      </c>
      <c r="AG489" s="56" t="s">
        <v>2643</v>
      </c>
      <c r="AH489" s="56"/>
      <c r="AI489" s="56"/>
      <c r="AJ489" s="56"/>
      <c r="AK489" s="56"/>
      <c r="AL489" s="56"/>
      <c r="AM489" s="56"/>
      <c r="AN489" s="56"/>
      <c r="AO489" s="56"/>
      <c r="AP489" s="56"/>
      <c r="AQ489" s="131"/>
      <c r="AR489" s="130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</row>
    <row r="490" spans="1:56" x14ac:dyDescent="0.2">
      <c r="A490" s="56">
        <v>14119153</v>
      </c>
      <c r="B490" s="56">
        <v>175223961</v>
      </c>
      <c r="C490" s="56" t="s">
        <v>2644</v>
      </c>
      <c r="D490" s="56" t="s">
        <v>2645</v>
      </c>
      <c r="E490" s="56" t="s">
        <v>1047</v>
      </c>
      <c r="F490" s="56">
        <v>1</v>
      </c>
      <c r="G490" s="56">
        <v>4431</v>
      </c>
      <c r="H490" s="56" t="s">
        <v>1048</v>
      </c>
      <c r="I490" s="56" t="s">
        <v>1090</v>
      </c>
      <c r="J490" s="129">
        <v>46230</v>
      </c>
      <c r="K490" s="130">
        <v>0.22569444444444445</v>
      </c>
      <c r="L490" s="130">
        <v>0.23055555555555557</v>
      </c>
      <c r="M490" s="56" t="s">
        <v>1050</v>
      </c>
      <c r="N490" s="129">
        <v>46230</v>
      </c>
      <c r="O490" s="130">
        <v>0.2673611111111111</v>
      </c>
      <c r="P490" s="130">
        <v>0.25552083333333331</v>
      </c>
      <c r="Q490" s="56" t="s">
        <v>1050</v>
      </c>
      <c r="R490" s="56" t="s">
        <v>231</v>
      </c>
      <c r="S490" s="56">
        <v>31</v>
      </c>
      <c r="T490" s="131">
        <v>4.8611111111111216E-3</v>
      </c>
      <c r="U490" s="130">
        <v>-1.1840277777777797E-2</v>
      </c>
      <c r="V490" s="56" t="s">
        <v>1051</v>
      </c>
      <c r="W490" s="56" t="s">
        <v>1052</v>
      </c>
      <c r="X490" s="56" t="s">
        <v>1053</v>
      </c>
      <c r="Y490" s="56">
        <v>31</v>
      </c>
      <c r="Z490" s="56" t="s">
        <v>1054</v>
      </c>
      <c r="AA490" s="56" t="s">
        <v>2646</v>
      </c>
      <c r="AB490" s="56" t="s">
        <v>1092</v>
      </c>
      <c r="AC490" s="56" t="s">
        <v>1078</v>
      </c>
      <c r="AD490" s="56" t="s">
        <v>2647</v>
      </c>
      <c r="AE490" s="56" t="s">
        <v>2648</v>
      </c>
      <c r="AF490" s="56" t="s">
        <v>1060</v>
      </c>
      <c r="AG490" s="56" t="s">
        <v>2649</v>
      </c>
      <c r="AH490" s="56"/>
      <c r="AI490" s="56"/>
      <c r="AJ490" s="56"/>
      <c r="AK490" s="56"/>
      <c r="AL490" s="56"/>
      <c r="AM490" s="56"/>
      <c r="AN490" s="56"/>
      <c r="AO490" s="56"/>
      <c r="AP490" s="56"/>
      <c r="AQ490" s="131"/>
      <c r="AR490" s="130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</row>
    <row r="491" spans="1:56" x14ac:dyDescent="0.2">
      <c r="A491" s="56">
        <v>14123273</v>
      </c>
      <c r="B491" s="56">
        <v>175226116</v>
      </c>
      <c r="C491" s="56" t="s">
        <v>2650</v>
      </c>
      <c r="D491" s="56" t="s">
        <v>2053</v>
      </c>
      <c r="E491" s="56" t="s">
        <v>1047</v>
      </c>
      <c r="F491" s="56">
        <v>230</v>
      </c>
      <c r="G491" s="56">
        <v>15319</v>
      </c>
      <c r="H491" s="56" t="s">
        <v>1048</v>
      </c>
      <c r="I491" s="56" t="s">
        <v>1172</v>
      </c>
      <c r="J491" s="129">
        <v>46230</v>
      </c>
      <c r="K491" s="130">
        <v>0.22777777777777777</v>
      </c>
      <c r="L491" s="130">
        <v>0.23125000000000001</v>
      </c>
      <c r="M491" s="56" t="s">
        <v>1050</v>
      </c>
      <c r="N491" s="129">
        <v>46230</v>
      </c>
      <c r="O491" s="130">
        <v>0.28125</v>
      </c>
      <c r="P491" s="130">
        <v>0.27643518518518517</v>
      </c>
      <c r="Q491" s="56" t="s">
        <v>1050</v>
      </c>
      <c r="R491" s="56" t="s">
        <v>491</v>
      </c>
      <c r="S491" s="56">
        <v>31</v>
      </c>
      <c r="T491" s="131">
        <v>3.4722222222222376E-3</v>
      </c>
      <c r="U491" s="130">
        <v>-4.8148148148148273E-3</v>
      </c>
      <c r="V491" s="56" t="s">
        <v>1051</v>
      </c>
      <c r="W491" s="56" t="s">
        <v>1052</v>
      </c>
      <c r="X491" s="56" t="s">
        <v>1053</v>
      </c>
      <c r="Y491" s="56">
        <v>31</v>
      </c>
      <c r="Z491" s="56" t="s">
        <v>1054</v>
      </c>
      <c r="AA491" s="56" t="s">
        <v>2054</v>
      </c>
      <c r="AB491" s="56" t="s">
        <v>1174</v>
      </c>
      <c r="AC491" s="56" t="s">
        <v>1057</v>
      </c>
      <c r="AD491" s="56" t="s">
        <v>2055</v>
      </c>
      <c r="AE491" s="56" t="s">
        <v>2056</v>
      </c>
      <c r="AF491" s="56" t="s">
        <v>1060</v>
      </c>
      <c r="AG491" s="56" t="s">
        <v>2651</v>
      </c>
      <c r="AH491" s="56"/>
      <c r="AI491" s="56"/>
      <c r="AJ491" s="56"/>
      <c r="AK491" s="56"/>
      <c r="AL491" s="56"/>
      <c r="AM491" s="56"/>
      <c r="AN491" s="56"/>
      <c r="AO491" s="56"/>
      <c r="AP491" s="56"/>
      <c r="AQ491" s="131"/>
      <c r="AR491" s="130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</row>
    <row r="492" spans="1:56" x14ac:dyDescent="0.2">
      <c r="A492" s="56">
        <v>14121791</v>
      </c>
      <c r="B492" s="56">
        <v>175217660</v>
      </c>
      <c r="C492" s="56" t="s">
        <v>1520</v>
      </c>
      <c r="D492" s="56" t="s">
        <v>1521</v>
      </c>
      <c r="E492" s="56" t="s">
        <v>1047</v>
      </c>
      <c r="F492" s="56">
        <v>22</v>
      </c>
      <c r="G492" s="56">
        <v>14687</v>
      </c>
      <c r="H492" s="56" t="s">
        <v>1048</v>
      </c>
      <c r="I492" s="56" t="s">
        <v>1172</v>
      </c>
      <c r="J492" s="129">
        <v>46230</v>
      </c>
      <c r="K492" s="130">
        <v>0.22916666666666666</v>
      </c>
      <c r="L492" s="130">
        <v>0.2326388888888889</v>
      </c>
      <c r="M492" s="56" t="s">
        <v>1050</v>
      </c>
      <c r="N492" s="129">
        <v>46230</v>
      </c>
      <c r="O492" s="130">
        <v>0.28125</v>
      </c>
      <c r="P492" s="130">
        <v>0.27149305555555553</v>
      </c>
      <c r="Q492" s="56" t="s">
        <v>1050</v>
      </c>
      <c r="R492" s="56" t="s">
        <v>354</v>
      </c>
      <c r="S492" s="56">
        <v>31</v>
      </c>
      <c r="T492" s="131">
        <v>3.4722222222222376E-3</v>
      </c>
      <c r="U492" s="130">
        <v>-9.7569444444444708E-3</v>
      </c>
      <c r="V492" s="56" t="s">
        <v>1051</v>
      </c>
      <c r="W492" s="56" t="s">
        <v>1052</v>
      </c>
      <c r="X492" s="56" t="s">
        <v>1053</v>
      </c>
      <c r="Y492" s="56">
        <v>31</v>
      </c>
      <c r="Z492" s="56" t="s">
        <v>1054</v>
      </c>
      <c r="AA492" s="56" t="s">
        <v>1522</v>
      </c>
      <c r="AB492" s="56" t="s">
        <v>1174</v>
      </c>
      <c r="AC492" s="56" t="s">
        <v>1057</v>
      </c>
      <c r="AD492" s="56" t="s">
        <v>1523</v>
      </c>
      <c r="AE492" s="56" t="s">
        <v>1524</v>
      </c>
      <c r="AF492" s="56" t="s">
        <v>1060</v>
      </c>
      <c r="AG492" s="56" t="s">
        <v>1525</v>
      </c>
      <c r="AH492" s="56"/>
      <c r="AI492" s="56"/>
      <c r="AJ492" s="56"/>
      <c r="AK492" s="56"/>
      <c r="AL492" s="56"/>
      <c r="AM492" s="56"/>
      <c r="AN492" s="56"/>
      <c r="AO492" s="56"/>
      <c r="AP492" s="56"/>
      <c r="AQ492" s="131"/>
      <c r="AR492" s="130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</row>
    <row r="493" spans="1:56" x14ac:dyDescent="0.2">
      <c r="A493" s="56">
        <v>14123725</v>
      </c>
      <c r="B493" s="56">
        <v>175223320</v>
      </c>
      <c r="C493" s="56" t="s">
        <v>1170</v>
      </c>
      <c r="D493" s="56" t="s">
        <v>1171</v>
      </c>
      <c r="E493" s="56" t="s">
        <v>1047</v>
      </c>
      <c r="F493" s="56">
        <v>98</v>
      </c>
      <c r="G493" s="56">
        <v>13371</v>
      </c>
      <c r="H493" s="56" t="s">
        <v>1048</v>
      </c>
      <c r="I493" s="56" t="s">
        <v>1172</v>
      </c>
      <c r="J493" s="129">
        <v>46230</v>
      </c>
      <c r="K493" s="130">
        <v>0.22916666666666666</v>
      </c>
      <c r="L493" s="130">
        <v>0.23541666666666666</v>
      </c>
      <c r="M493" s="56" t="s">
        <v>1050</v>
      </c>
      <c r="N493" s="129">
        <v>46230</v>
      </c>
      <c r="O493" s="130">
        <v>0.28125</v>
      </c>
      <c r="P493" s="130">
        <v>0.26939814814814816</v>
      </c>
      <c r="Q493" s="56" t="s">
        <v>1050</v>
      </c>
      <c r="R493" s="56" t="s">
        <v>956</v>
      </c>
      <c r="S493" s="56">
        <v>31</v>
      </c>
      <c r="T493" s="131">
        <v>6.2500000000000056E-3</v>
      </c>
      <c r="U493" s="130">
        <v>-1.1851851851851836E-2</v>
      </c>
      <c r="V493" s="56" t="s">
        <v>1051</v>
      </c>
      <c r="W493" s="56" t="s">
        <v>1052</v>
      </c>
      <c r="X493" s="56" t="s">
        <v>1053</v>
      </c>
      <c r="Y493" s="56">
        <v>31</v>
      </c>
      <c r="Z493" s="56" t="s">
        <v>1054</v>
      </c>
      <c r="AA493" s="56" t="s">
        <v>1173</v>
      </c>
      <c r="AB493" s="56" t="s">
        <v>1174</v>
      </c>
      <c r="AC493" s="56" t="s">
        <v>1057</v>
      </c>
      <c r="AD493" s="56" t="s">
        <v>1175</v>
      </c>
      <c r="AE493" s="56" t="s">
        <v>1176</v>
      </c>
      <c r="AF493" s="56" t="s">
        <v>1060</v>
      </c>
      <c r="AG493" s="56" t="s">
        <v>1177</v>
      </c>
      <c r="AH493" s="56"/>
      <c r="AI493" s="56"/>
      <c r="AJ493" s="56"/>
      <c r="AK493" s="56"/>
      <c r="AL493" s="56"/>
      <c r="AM493" s="56"/>
      <c r="AN493" s="56"/>
      <c r="AO493" s="56"/>
      <c r="AP493" s="56"/>
      <c r="AQ493" s="131"/>
      <c r="AR493" s="130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</row>
    <row r="494" spans="1:56" x14ac:dyDescent="0.2">
      <c r="A494" s="56">
        <v>14107206</v>
      </c>
      <c r="B494" s="56">
        <v>175224779</v>
      </c>
      <c r="C494" s="56" t="s">
        <v>2218</v>
      </c>
      <c r="D494" s="56" t="s">
        <v>2219</v>
      </c>
      <c r="E494" s="56" t="s">
        <v>1047</v>
      </c>
      <c r="F494" s="56">
        <v>151</v>
      </c>
      <c r="G494" s="56">
        <v>17183</v>
      </c>
      <c r="H494" s="56" t="s">
        <v>1048</v>
      </c>
      <c r="I494" s="56" t="s">
        <v>1172</v>
      </c>
      <c r="J494" s="129">
        <v>46230</v>
      </c>
      <c r="K494" s="130">
        <v>0.23055555555555557</v>
      </c>
      <c r="L494" s="130">
        <v>0.24027777777777778</v>
      </c>
      <c r="M494" s="56" t="s">
        <v>1050</v>
      </c>
      <c r="N494" s="129">
        <v>46230</v>
      </c>
      <c r="O494" s="130">
        <v>0.28125</v>
      </c>
      <c r="P494" s="130">
        <v>0.27127314814814812</v>
      </c>
      <c r="Q494" s="56" t="s">
        <v>1050</v>
      </c>
      <c r="R494" s="56" t="s">
        <v>58</v>
      </c>
      <c r="S494" s="56">
        <v>31</v>
      </c>
      <c r="T494" s="131">
        <v>9.7222222222222154E-3</v>
      </c>
      <c r="U494" s="130">
        <v>-9.9768518518518756E-3</v>
      </c>
      <c r="V494" s="56" t="s">
        <v>1051</v>
      </c>
      <c r="W494" s="56" t="s">
        <v>1052</v>
      </c>
      <c r="X494" s="56" t="s">
        <v>1053</v>
      </c>
      <c r="Y494" s="56">
        <v>31</v>
      </c>
      <c r="Z494" s="56" t="s">
        <v>1054</v>
      </c>
      <c r="AA494" s="56" t="s">
        <v>2220</v>
      </c>
      <c r="AB494" s="56" t="s">
        <v>1210</v>
      </c>
      <c r="AC494" s="56" t="s">
        <v>1057</v>
      </c>
      <c r="AD494" s="56" t="s">
        <v>2221</v>
      </c>
      <c r="AE494" s="56" t="s">
        <v>2222</v>
      </c>
      <c r="AF494" s="56" t="s">
        <v>1060</v>
      </c>
      <c r="AG494" s="56" t="s">
        <v>2223</v>
      </c>
      <c r="AH494" s="56"/>
      <c r="AI494" s="56"/>
      <c r="AJ494" s="56"/>
      <c r="AK494" s="56"/>
      <c r="AL494" s="56"/>
      <c r="AM494" s="56"/>
      <c r="AN494" s="56"/>
      <c r="AO494" s="56"/>
      <c r="AP494" s="56"/>
      <c r="AQ494" s="131"/>
      <c r="AR494" s="130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</row>
    <row r="495" spans="1:56" x14ac:dyDescent="0.2">
      <c r="A495" s="56">
        <v>14123312</v>
      </c>
      <c r="B495" s="56">
        <v>175225128</v>
      </c>
      <c r="C495" s="56" t="s">
        <v>1533</v>
      </c>
      <c r="D495" s="56" t="s">
        <v>1534</v>
      </c>
      <c r="E495" s="56" t="s">
        <v>1047</v>
      </c>
      <c r="F495" s="56">
        <v>173</v>
      </c>
      <c r="G495" s="56">
        <v>6901</v>
      </c>
      <c r="H495" s="56" t="s">
        <v>1048</v>
      </c>
      <c r="I495" s="56" t="s">
        <v>1172</v>
      </c>
      <c r="J495" s="129">
        <v>46230</v>
      </c>
      <c r="K495" s="130">
        <v>0.23402777777777778</v>
      </c>
      <c r="L495" s="130">
        <v>0.23958333333333334</v>
      </c>
      <c r="M495" s="56" t="s">
        <v>1050</v>
      </c>
      <c r="N495" s="129">
        <v>46230</v>
      </c>
      <c r="O495" s="130">
        <v>0.28125</v>
      </c>
      <c r="P495" s="130">
        <v>0.27250000000000002</v>
      </c>
      <c r="Q495" s="56" t="s">
        <v>1050</v>
      </c>
      <c r="R495" s="56" t="s">
        <v>496</v>
      </c>
      <c r="S495" s="56">
        <v>31</v>
      </c>
      <c r="T495" s="131">
        <v>5.5555555555555636E-3</v>
      </c>
      <c r="U495" s="130">
        <v>-8.74999999999998E-3</v>
      </c>
      <c r="V495" s="56" t="s">
        <v>1051</v>
      </c>
      <c r="W495" s="56" t="s">
        <v>1052</v>
      </c>
      <c r="X495" s="56" t="s">
        <v>1053</v>
      </c>
      <c r="Y495" s="56">
        <v>31</v>
      </c>
      <c r="Z495" s="56" t="s">
        <v>1054</v>
      </c>
      <c r="AA495" s="56" t="s">
        <v>1535</v>
      </c>
      <c r="AB495" s="56" t="s">
        <v>1174</v>
      </c>
      <c r="AC495" s="56" t="s">
        <v>1057</v>
      </c>
      <c r="AD495" s="56" t="s">
        <v>1536</v>
      </c>
      <c r="AE495" s="56" t="s">
        <v>1537</v>
      </c>
      <c r="AF495" s="56" t="s">
        <v>1060</v>
      </c>
      <c r="AG495" s="56" t="s">
        <v>1538</v>
      </c>
      <c r="AH495" s="56"/>
      <c r="AI495" s="56"/>
      <c r="AJ495" s="56"/>
      <c r="AK495" s="56"/>
      <c r="AL495" s="56"/>
      <c r="AM495" s="56"/>
      <c r="AN495" s="56"/>
      <c r="AO495" s="56"/>
      <c r="AP495" s="56"/>
      <c r="AQ495" s="131"/>
      <c r="AR495" s="130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</row>
    <row r="496" spans="1:56" x14ac:dyDescent="0.2">
      <c r="A496" s="56">
        <v>14112026</v>
      </c>
      <c r="B496" s="56">
        <v>175224749</v>
      </c>
      <c r="C496" s="56" t="s">
        <v>1539</v>
      </c>
      <c r="D496" s="56" t="s">
        <v>1540</v>
      </c>
      <c r="E496" s="56" t="s">
        <v>1047</v>
      </c>
      <c r="F496" s="56">
        <v>139</v>
      </c>
      <c r="G496" s="56">
        <v>10359</v>
      </c>
      <c r="H496" s="56" t="s">
        <v>1048</v>
      </c>
      <c r="I496" s="56" t="s">
        <v>1172</v>
      </c>
      <c r="J496" s="129">
        <v>46230</v>
      </c>
      <c r="K496" s="130">
        <v>0.2361111111111111</v>
      </c>
      <c r="L496" s="130">
        <v>0.24305555555555555</v>
      </c>
      <c r="M496" s="56" t="s">
        <v>1050</v>
      </c>
      <c r="N496" s="129">
        <v>46230</v>
      </c>
      <c r="O496" s="130">
        <v>0.28125</v>
      </c>
      <c r="P496" s="130">
        <v>0.26719907407407406</v>
      </c>
      <c r="Q496" s="56" t="s">
        <v>1050</v>
      </c>
      <c r="R496" s="56" t="s">
        <v>1541</v>
      </c>
      <c r="S496" s="56">
        <v>31</v>
      </c>
      <c r="T496" s="131">
        <v>6.9444444444444475E-3</v>
      </c>
      <c r="U496" s="130">
        <v>-1.4050925925925939E-2</v>
      </c>
      <c r="V496" s="56" t="s">
        <v>1051</v>
      </c>
      <c r="W496" s="56" t="s">
        <v>1052</v>
      </c>
      <c r="X496" s="56" t="s">
        <v>1053</v>
      </c>
      <c r="Y496" s="56">
        <v>31</v>
      </c>
      <c r="Z496" s="56" t="s">
        <v>1054</v>
      </c>
      <c r="AA496" s="56" t="s">
        <v>1542</v>
      </c>
      <c r="AB496" s="56" t="s">
        <v>1210</v>
      </c>
      <c r="AC496" s="56" t="s">
        <v>1057</v>
      </c>
      <c r="AD496" s="56" t="s">
        <v>1543</v>
      </c>
      <c r="AE496" s="56" t="s">
        <v>1544</v>
      </c>
      <c r="AF496" s="56" t="s">
        <v>1060</v>
      </c>
      <c r="AG496" s="56" t="s">
        <v>1545</v>
      </c>
      <c r="AH496" s="56"/>
      <c r="AI496" s="56"/>
      <c r="AJ496" s="56"/>
      <c r="AK496" s="56"/>
      <c r="AL496" s="56"/>
      <c r="AM496" s="56"/>
      <c r="AN496" s="56"/>
      <c r="AO496" s="56"/>
      <c r="AP496" s="56"/>
      <c r="AQ496" s="131"/>
      <c r="AR496" s="130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</row>
    <row r="497" spans="1:56" x14ac:dyDescent="0.2">
      <c r="A497" s="56"/>
      <c r="B497" s="56">
        <v>175226121</v>
      </c>
      <c r="C497" s="56" t="s">
        <v>2652</v>
      </c>
      <c r="D497" s="56" t="s">
        <v>2059</v>
      </c>
      <c r="E497" s="56" t="s">
        <v>1047</v>
      </c>
      <c r="F497" s="56">
        <v>232</v>
      </c>
      <c r="G497" s="56">
        <v>4203</v>
      </c>
      <c r="H497" s="56" t="s">
        <v>1048</v>
      </c>
      <c r="I497" s="56" t="s">
        <v>1172</v>
      </c>
      <c r="J497" s="129">
        <v>46230</v>
      </c>
      <c r="K497" s="130">
        <v>0.2361111111111111</v>
      </c>
      <c r="L497" s="130">
        <v>0.23958333333333334</v>
      </c>
      <c r="M497" s="56" t="s">
        <v>1050</v>
      </c>
      <c r="N497" s="129">
        <v>46230</v>
      </c>
      <c r="O497" s="130">
        <v>0.28125</v>
      </c>
      <c r="P497" s="130">
        <v>0.28431712962962963</v>
      </c>
      <c r="Q497" s="56" t="s">
        <v>1050</v>
      </c>
      <c r="R497" s="56" t="s">
        <v>1414</v>
      </c>
      <c r="S497" s="56">
        <v>31</v>
      </c>
      <c r="T497" s="131">
        <v>3.4722222222222376E-3</v>
      </c>
      <c r="U497" s="130">
        <v>3.067129629629628E-3</v>
      </c>
      <c r="V497" s="56" t="s">
        <v>1051</v>
      </c>
      <c r="W497" s="56" t="s">
        <v>1052</v>
      </c>
      <c r="X497" s="56" t="s">
        <v>1053</v>
      </c>
      <c r="Y497" s="56">
        <v>31</v>
      </c>
      <c r="Z497" s="56" t="s">
        <v>1054</v>
      </c>
      <c r="AA497" s="56" t="s">
        <v>2061</v>
      </c>
      <c r="AB497" s="56" t="s">
        <v>1174</v>
      </c>
      <c r="AC497" s="56" t="s">
        <v>1057</v>
      </c>
      <c r="AD497" s="56" t="s">
        <v>2062</v>
      </c>
      <c r="AE497" s="56" t="s">
        <v>2063</v>
      </c>
      <c r="AF497" s="56" t="s">
        <v>1060</v>
      </c>
      <c r="AG497" s="56" t="s">
        <v>2653</v>
      </c>
      <c r="AH497" s="56"/>
      <c r="AI497" s="56"/>
      <c r="AJ497" s="56"/>
      <c r="AK497" s="56"/>
      <c r="AL497" s="56"/>
      <c r="AM497" s="56"/>
      <c r="AN497" s="56"/>
      <c r="AO497" s="56"/>
      <c r="AP497" s="56"/>
      <c r="AQ497" s="131"/>
      <c r="AR497" s="130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</row>
    <row r="498" spans="1:56" x14ac:dyDescent="0.2">
      <c r="A498" s="56"/>
      <c r="B498" s="56">
        <v>175222454</v>
      </c>
      <c r="C498" s="56" t="s">
        <v>2654</v>
      </c>
      <c r="D498" s="56" t="s">
        <v>2655</v>
      </c>
      <c r="E498" s="56" t="s">
        <v>1047</v>
      </c>
      <c r="F498" s="56">
        <v>223</v>
      </c>
      <c r="G498" s="56">
        <v>5958</v>
      </c>
      <c r="H498" s="56" t="s">
        <v>1048</v>
      </c>
      <c r="I498" s="56" t="s">
        <v>1676</v>
      </c>
      <c r="J498" s="129">
        <v>46230</v>
      </c>
      <c r="K498" s="130">
        <v>0.24305555555555555</v>
      </c>
      <c r="L498" s="130">
        <v>0.24652777777777779</v>
      </c>
      <c r="M498" s="56" t="s">
        <v>1050</v>
      </c>
      <c r="N498" s="129">
        <v>46230</v>
      </c>
      <c r="O498" s="130">
        <v>0.2673611111111111</v>
      </c>
      <c r="P498" s="130">
        <v>0.25509259259259259</v>
      </c>
      <c r="Q498" s="56" t="s">
        <v>1050</v>
      </c>
      <c r="R498" s="56" t="s">
        <v>1414</v>
      </c>
      <c r="S498" s="56">
        <v>31</v>
      </c>
      <c r="T498" s="131">
        <v>3.4722222222222376E-3</v>
      </c>
      <c r="U498" s="130">
        <v>-1.2268518518518512E-2</v>
      </c>
      <c r="V498" s="56" t="s">
        <v>1051</v>
      </c>
      <c r="W498" s="56" t="s">
        <v>1052</v>
      </c>
      <c r="X498" s="56" t="s">
        <v>1053</v>
      </c>
      <c r="Y498" s="56">
        <v>31</v>
      </c>
      <c r="Z498" s="56" t="s">
        <v>1054</v>
      </c>
      <c r="AA498" s="56" t="s">
        <v>2656</v>
      </c>
      <c r="AB498" s="56" t="s">
        <v>1678</v>
      </c>
      <c r="AC498" s="56" t="s">
        <v>1078</v>
      </c>
      <c r="AD498" s="56" t="s">
        <v>2657</v>
      </c>
      <c r="AE498" s="56" t="s">
        <v>2658</v>
      </c>
      <c r="AF498" s="56" t="s">
        <v>1060</v>
      </c>
      <c r="AG498" s="56" t="s">
        <v>2659</v>
      </c>
      <c r="AH498" s="56"/>
      <c r="AI498" s="56"/>
      <c r="AJ498" s="56"/>
      <c r="AK498" s="56"/>
      <c r="AL498" s="56"/>
      <c r="AM498" s="56"/>
      <c r="AN498" s="56"/>
      <c r="AO498" s="56"/>
      <c r="AP498" s="56"/>
      <c r="AQ498" s="131"/>
      <c r="AR498" s="130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</row>
    <row r="499" spans="1:56" x14ac:dyDescent="0.2">
      <c r="A499" s="56">
        <v>14120196</v>
      </c>
      <c r="B499" s="56">
        <v>175223356</v>
      </c>
      <c r="C499" s="56" t="s">
        <v>1207</v>
      </c>
      <c r="D499" s="56" t="s">
        <v>1208</v>
      </c>
      <c r="E499" s="56" t="s">
        <v>1047</v>
      </c>
      <c r="F499" s="56">
        <v>102</v>
      </c>
      <c r="G499" s="56">
        <v>14680</v>
      </c>
      <c r="H499" s="56" t="s">
        <v>1048</v>
      </c>
      <c r="I499" s="56" t="s">
        <v>1172</v>
      </c>
      <c r="J499" s="129">
        <v>46230</v>
      </c>
      <c r="K499" s="130">
        <v>0.24652777777777779</v>
      </c>
      <c r="L499" s="130">
        <v>0.25069444444444444</v>
      </c>
      <c r="M499" s="56" t="s">
        <v>1050</v>
      </c>
      <c r="N499" s="129">
        <v>46230</v>
      </c>
      <c r="O499" s="130">
        <v>0.28125</v>
      </c>
      <c r="P499" s="130">
        <v>0.27445601851851853</v>
      </c>
      <c r="Q499" s="56" t="s">
        <v>1050</v>
      </c>
      <c r="R499" s="56" t="s">
        <v>279</v>
      </c>
      <c r="S499" s="56">
        <v>31</v>
      </c>
      <c r="T499" s="131">
        <v>4.1666666666666519E-3</v>
      </c>
      <c r="U499" s="130">
        <v>-6.7939814814814703E-3</v>
      </c>
      <c r="V499" s="56" t="s">
        <v>1051</v>
      </c>
      <c r="W499" s="56" t="s">
        <v>1052</v>
      </c>
      <c r="X499" s="56" t="s">
        <v>1053</v>
      </c>
      <c r="Y499" s="56">
        <v>31</v>
      </c>
      <c r="Z499" s="56" t="s">
        <v>1054</v>
      </c>
      <c r="AA499" s="56" t="s">
        <v>1209</v>
      </c>
      <c r="AB499" s="56" t="s">
        <v>1210</v>
      </c>
      <c r="AC499" s="56" t="s">
        <v>1057</v>
      </c>
      <c r="AD499" s="56" t="s">
        <v>1211</v>
      </c>
      <c r="AE499" s="56" t="s">
        <v>1212</v>
      </c>
      <c r="AF499" s="56" t="s">
        <v>1060</v>
      </c>
      <c r="AG499" s="56" t="s">
        <v>1213</v>
      </c>
      <c r="AH499" s="56"/>
      <c r="AI499" s="56"/>
      <c r="AJ499" s="56"/>
      <c r="AK499" s="56"/>
      <c r="AL499" s="56"/>
      <c r="AM499" s="56"/>
      <c r="AN499" s="56"/>
      <c r="AO499" s="56"/>
      <c r="AP499" s="56"/>
      <c r="AQ499" s="131"/>
      <c r="AR499" s="130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</row>
    <row r="500" spans="1:56" x14ac:dyDescent="0.2">
      <c r="A500" s="56">
        <v>14110604</v>
      </c>
      <c r="B500" s="56">
        <v>175218754</v>
      </c>
      <c r="C500" s="56" t="s">
        <v>1932</v>
      </c>
      <c r="D500" s="56" t="s">
        <v>1933</v>
      </c>
      <c r="E500" s="56" t="s">
        <v>1047</v>
      </c>
      <c r="F500" s="56">
        <v>28</v>
      </c>
      <c r="G500" s="56">
        <v>15485</v>
      </c>
      <c r="H500" s="56" t="s">
        <v>1048</v>
      </c>
      <c r="I500" s="56" t="s">
        <v>1049</v>
      </c>
      <c r="J500" s="129">
        <v>46230</v>
      </c>
      <c r="K500" s="130">
        <v>0.26041666666666669</v>
      </c>
      <c r="L500" s="130">
        <v>0.26458333333333334</v>
      </c>
      <c r="M500" s="56" t="s">
        <v>1050</v>
      </c>
      <c r="N500" s="129">
        <v>46230</v>
      </c>
      <c r="O500" s="130">
        <v>0.3125</v>
      </c>
      <c r="P500" s="130">
        <v>0.29988425925925927</v>
      </c>
      <c r="Q500" s="56" t="s">
        <v>1050</v>
      </c>
      <c r="R500" s="56" t="s">
        <v>330</v>
      </c>
      <c r="S500" s="56">
        <v>31</v>
      </c>
      <c r="T500" s="131">
        <v>4.1666666666666519E-3</v>
      </c>
      <c r="U500" s="130">
        <v>-1.2615740740740733E-2</v>
      </c>
      <c r="V500" s="56" t="s">
        <v>1051</v>
      </c>
      <c r="W500" s="56" t="s">
        <v>1052</v>
      </c>
      <c r="X500" s="56" t="s">
        <v>1053</v>
      </c>
      <c r="Y500" s="56">
        <v>31</v>
      </c>
      <c r="Z500" s="56" t="s">
        <v>1054</v>
      </c>
      <c r="AA500" s="56" t="s">
        <v>1934</v>
      </c>
      <c r="AB500" s="56" t="s">
        <v>1056</v>
      </c>
      <c r="AC500" s="56" t="s">
        <v>1057</v>
      </c>
      <c r="AD500" s="56" t="s">
        <v>1935</v>
      </c>
      <c r="AE500" s="56" t="s">
        <v>1936</v>
      </c>
      <c r="AF500" s="56" t="s">
        <v>1060</v>
      </c>
      <c r="AG500" s="56" t="s">
        <v>1937</v>
      </c>
      <c r="AH500" s="56"/>
      <c r="AI500" s="56"/>
      <c r="AJ500" s="56"/>
      <c r="AK500" s="56"/>
      <c r="AL500" s="56"/>
      <c r="AM500" s="56"/>
      <c r="AN500" s="56"/>
      <c r="AO500" s="56"/>
      <c r="AP500" s="56"/>
      <c r="AQ500" s="131"/>
      <c r="AR500" s="130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</row>
    <row r="501" spans="1:56" x14ac:dyDescent="0.2">
      <c r="A501" s="56">
        <v>14122035</v>
      </c>
      <c r="B501" s="56">
        <v>175220301</v>
      </c>
      <c r="C501" s="56" t="s">
        <v>2558</v>
      </c>
      <c r="D501" s="56" t="s">
        <v>2559</v>
      </c>
      <c r="E501" s="56" t="s">
        <v>1047</v>
      </c>
      <c r="F501" s="56">
        <v>96</v>
      </c>
      <c r="G501" s="56">
        <v>5035</v>
      </c>
      <c r="H501" s="56" t="s">
        <v>1048</v>
      </c>
      <c r="I501" s="56" t="s">
        <v>1947</v>
      </c>
      <c r="J501" s="129">
        <v>46230</v>
      </c>
      <c r="K501" s="130">
        <v>0.27083333333333331</v>
      </c>
      <c r="L501" s="130">
        <v>0.27430555555555558</v>
      </c>
      <c r="M501" s="56" t="s">
        <v>1050</v>
      </c>
      <c r="N501" s="129">
        <v>46230</v>
      </c>
      <c r="O501" s="130">
        <v>0.34722222222222221</v>
      </c>
      <c r="P501" s="130">
        <v>0.32185185185185183</v>
      </c>
      <c r="Q501" s="56" t="s">
        <v>1050</v>
      </c>
      <c r="R501" s="56" t="s">
        <v>2241</v>
      </c>
      <c r="S501" s="56">
        <v>31</v>
      </c>
      <c r="T501" s="131">
        <v>3.4722222222222654E-3</v>
      </c>
      <c r="U501" s="130">
        <v>-2.5370370370370376E-2</v>
      </c>
      <c r="V501" s="56" t="s">
        <v>1051</v>
      </c>
      <c r="W501" s="56" t="s">
        <v>1052</v>
      </c>
      <c r="X501" s="56" t="s">
        <v>1053</v>
      </c>
      <c r="Y501" s="56">
        <v>31</v>
      </c>
      <c r="Z501" s="56" t="s">
        <v>1054</v>
      </c>
      <c r="AA501" s="56" t="s">
        <v>2560</v>
      </c>
      <c r="AB501" s="56" t="s">
        <v>1949</v>
      </c>
      <c r="AC501" s="56" t="s">
        <v>1078</v>
      </c>
      <c r="AD501" s="56" t="s">
        <v>2561</v>
      </c>
      <c r="AE501" s="56" t="s">
        <v>2562</v>
      </c>
      <c r="AF501" s="56" t="s">
        <v>1060</v>
      </c>
      <c r="AG501" s="56" t="s">
        <v>2563</v>
      </c>
      <c r="AH501" s="56"/>
      <c r="AI501" s="56"/>
      <c r="AJ501" s="56"/>
      <c r="AK501" s="56"/>
      <c r="AL501" s="56"/>
      <c r="AM501" s="56"/>
      <c r="AN501" s="56"/>
      <c r="AO501" s="56"/>
      <c r="AP501" s="56"/>
      <c r="AQ501" s="131"/>
      <c r="AR501" s="130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</row>
    <row r="502" spans="1:56" x14ac:dyDescent="0.2">
      <c r="A502" s="56">
        <v>14108577</v>
      </c>
      <c r="B502" s="56">
        <v>175220339</v>
      </c>
      <c r="C502" s="56" t="s">
        <v>2660</v>
      </c>
      <c r="D502" s="56" t="s">
        <v>2661</v>
      </c>
      <c r="E502" s="56" t="s">
        <v>1047</v>
      </c>
      <c r="F502" s="56">
        <v>135</v>
      </c>
      <c r="G502" s="56">
        <v>16004</v>
      </c>
      <c r="H502" s="56" t="s">
        <v>1048</v>
      </c>
      <c r="I502" s="56" t="s">
        <v>1947</v>
      </c>
      <c r="J502" s="129">
        <v>46230</v>
      </c>
      <c r="K502" s="130">
        <v>0.27083333333333331</v>
      </c>
      <c r="L502" s="130">
        <v>0.27916666666666667</v>
      </c>
      <c r="M502" s="56" t="s">
        <v>1050</v>
      </c>
      <c r="N502" s="129">
        <v>46230</v>
      </c>
      <c r="O502" s="130">
        <v>0.34722222222222221</v>
      </c>
      <c r="P502" s="130">
        <v>0.32496527777777778</v>
      </c>
      <c r="Q502" s="56" t="s">
        <v>1050</v>
      </c>
      <c r="R502" s="56" t="s">
        <v>78</v>
      </c>
      <c r="S502" s="56">
        <v>31</v>
      </c>
      <c r="T502" s="131">
        <v>8.3333333333333592E-3</v>
      </c>
      <c r="U502" s="130">
        <v>-2.2256944444444426E-2</v>
      </c>
      <c r="V502" s="56" t="s">
        <v>1051</v>
      </c>
      <c r="W502" s="56" t="s">
        <v>1052</v>
      </c>
      <c r="X502" s="56" t="s">
        <v>1053</v>
      </c>
      <c r="Y502" s="56">
        <v>31</v>
      </c>
      <c r="Z502" s="56" t="s">
        <v>1054</v>
      </c>
      <c r="AA502" s="56" t="s">
        <v>2662</v>
      </c>
      <c r="AB502" s="56" t="s">
        <v>1949</v>
      </c>
      <c r="AC502" s="56" t="s">
        <v>1078</v>
      </c>
      <c r="AD502" s="56" t="s">
        <v>2663</v>
      </c>
      <c r="AE502" s="56" t="s">
        <v>2664</v>
      </c>
      <c r="AF502" s="56" t="s">
        <v>1060</v>
      </c>
      <c r="AG502" s="56" t="s">
        <v>2665</v>
      </c>
      <c r="AH502" s="56"/>
      <c r="AI502" s="56"/>
      <c r="AJ502" s="56"/>
      <c r="AK502" s="56"/>
      <c r="AL502" s="56"/>
      <c r="AM502" s="56"/>
      <c r="AN502" s="56"/>
      <c r="AO502" s="56"/>
      <c r="AP502" s="56"/>
      <c r="AQ502" s="131"/>
      <c r="AR502" s="130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</row>
    <row r="503" spans="1:56" x14ac:dyDescent="0.2">
      <c r="A503" s="56">
        <v>14113146</v>
      </c>
      <c r="B503" s="56">
        <v>175237526</v>
      </c>
      <c r="C503" s="56" t="s">
        <v>2666</v>
      </c>
      <c r="D503" s="56" t="s">
        <v>2532</v>
      </c>
      <c r="E503" s="56" t="s">
        <v>1047</v>
      </c>
      <c r="F503" s="56">
        <v>32</v>
      </c>
      <c r="G503" s="56">
        <v>7378</v>
      </c>
      <c r="H503" s="56" t="s">
        <v>1048</v>
      </c>
      <c r="I503" s="56" t="s">
        <v>2011</v>
      </c>
      <c r="J503" s="129">
        <v>46230</v>
      </c>
      <c r="K503" s="130">
        <v>0.27083333333333331</v>
      </c>
      <c r="L503" s="130">
        <v>0.27569444444444446</v>
      </c>
      <c r="M503" s="56" t="s">
        <v>1050</v>
      </c>
      <c r="N503" s="129">
        <v>46230</v>
      </c>
      <c r="O503" s="130">
        <v>0.33333333333333331</v>
      </c>
      <c r="P503" s="130">
        <v>0.31017361111111114</v>
      </c>
      <c r="Q503" s="56" t="s">
        <v>1050</v>
      </c>
      <c r="R503" s="56" t="s">
        <v>124</v>
      </c>
      <c r="S503" s="56">
        <v>31</v>
      </c>
      <c r="T503" s="131">
        <v>4.8611111111111494E-3</v>
      </c>
      <c r="U503" s="130">
        <v>-2.3159722222222179E-2</v>
      </c>
      <c r="V503" s="56" t="s">
        <v>1051</v>
      </c>
      <c r="W503" s="56" t="s">
        <v>1052</v>
      </c>
      <c r="X503" s="56" t="s">
        <v>1053</v>
      </c>
      <c r="Y503" s="56">
        <v>31</v>
      </c>
      <c r="Z503" s="56" t="s">
        <v>1054</v>
      </c>
      <c r="AA503" s="56" t="s">
        <v>2667</v>
      </c>
      <c r="AB503" s="56" t="s">
        <v>1605</v>
      </c>
      <c r="AC503" s="56" t="s">
        <v>1069</v>
      </c>
      <c r="AD503" s="56" t="s">
        <v>2668</v>
      </c>
      <c r="AE503" s="56" t="s">
        <v>2669</v>
      </c>
      <c r="AF503" s="56" t="s">
        <v>1060</v>
      </c>
      <c r="AG503" s="56" t="s">
        <v>2670</v>
      </c>
      <c r="AH503" s="56"/>
      <c r="AI503" s="56"/>
      <c r="AJ503" s="56"/>
      <c r="AK503" s="56"/>
      <c r="AL503" s="56"/>
      <c r="AM503" s="56"/>
      <c r="AN503" s="56"/>
      <c r="AO503" s="56"/>
      <c r="AP503" s="56"/>
      <c r="AQ503" s="131"/>
      <c r="AR503" s="130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</row>
    <row r="504" spans="1:56" x14ac:dyDescent="0.2">
      <c r="A504" s="56">
        <v>14108111</v>
      </c>
      <c r="B504" s="56">
        <v>175220310</v>
      </c>
      <c r="C504" s="56" t="s">
        <v>1945</v>
      </c>
      <c r="D504" s="56" t="s">
        <v>1946</v>
      </c>
      <c r="E504" s="56" t="s">
        <v>1047</v>
      </c>
      <c r="F504" s="56">
        <v>105</v>
      </c>
      <c r="G504" s="56">
        <v>17340</v>
      </c>
      <c r="H504" s="56" t="s">
        <v>1048</v>
      </c>
      <c r="I504" s="56" t="s">
        <v>1947</v>
      </c>
      <c r="J504" s="129">
        <v>46230</v>
      </c>
      <c r="K504" s="130">
        <v>0.27777777777777779</v>
      </c>
      <c r="L504" s="130">
        <v>0.28611111111111109</v>
      </c>
      <c r="M504" s="56" t="s">
        <v>1050</v>
      </c>
      <c r="N504" s="129">
        <v>46230</v>
      </c>
      <c r="O504" s="130">
        <v>0.34722222222222221</v>
      </c>
      <c r="P504" s="130">
        <v>0.32104166666666667</v>
      </c>
      <c r="Q504" s="56" t="s">
        <v>1050</v>
      </c>
      <c r="R504" s="56" t="s">
        <v>69</v>
      </c>
      <c r="S504" s="56">
        <v>31</v>
      </c>
      <c r="T504" s="131">
        <v>8.3333333333333037E-3</v>
      </c>
      <c r="U504" s="130">
        <v>-2.618055555555554E-2</v>
      </c>
      <c r="V504" s="56" t="s">
        <v>1051</v>
      </c>
      <c r="W504" s="56" t="s">
        <v>1052</v>
      </c>
      <c r="X504" s="56" t="s">
        <v>1053</v>
      </c>
      <c r="Y504" s="56">
        <v>31</v>
      </c>
      <c r="Z504" s="56" t="s">
        <v>1054</v>
      </c>
      <c r="AA504" s="56" t="s">
        <v>1948</v>
      </c>
      <c r="AB504" s="56" t="s">
        <v>1949</v>
      </c>
      <c r="AC504" s="56" t="s">
        <v>1078</v>
      </c>
      <c r="AD504" s="56" t="s">
        <v>1950</v>
      </c>
      <c r="AE504" s="56" t="s">
        <v>1951</v>
      </c>
      <c r="AF504" s="56" t="s">
        <v>1060</v>
      </c>
      <c r="AG504" s="56" t="s">
        <v>1952</v>
      </c>
      <c r="AH504" s="56"/>
      <c r="AI504" s="56"/>
      <c r="AJ504" s="56"/>
      <c r="AK504" s="56"/>
      <c r="AL504" s="56"/>
      <c r="AM504" s="56"/>
      <c r="AN504" s="56"/>
      <c r="AO504" s="56"/>
      <c r="AP504" s="56"/>
      <c r="AQ504" s="131"/>
      <c r="AR504" s="130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</row>
    <row r="505" spans="1:56" x14ac:dyDescent="0.2">
      <c r="A505" s="56">
        <v>14122510</v>
      </c>
      <c r="B505" s="56">
        <v>175224685</v>
      </c>
      <c r="C505" s="56" t="s">
        <v>2671</v>
      </c>
      <c r="D505" s="56" t="s">
        <v>2672</v>
      </c>
      <c r="E505" s="56" t="s">
        <v>1047</v>
      </c>
      <c r="F505" s="56">
        <v>92</v>
      </c>
      <c r="G505" s="56">
        <v>13844</v>
      </c>
      <c r="H505" s="56" t="s">
        <v>1048</v>
      </c>
      <c r="I505" s="56" t="s">
        <v>1118</v>
      </c>
      <c r="J505" s="129">
        <v>46230</v>
      </c>
      <c r="K505" s="130">
        <v>0.28125</v>
      </c>
      <c r="L505" s="130">
        <v>0.28472222222222221</v>
      </c>
      <c r="M505" s="56" t="s">
        <v>1050</v>
      </c>
      <c r="N505" s="129">
        <v>46230</v>
      </c>
      <c r="O505" s="130">
        <v>0.33333333333333331</v>
      </c>
      <c r="P505" s="130">
        <v>0.31486111111111109</v>
      </c>
      <c r="Q505" s="56" t="s">
        <v>1050</v>
      </c>
      <c r="R505" s="56" t="s">
        <v>424</v>
      </c>
      <c r="S505" s="56">
        <v>31</v>
      </c>
      <c r="T505" s="131">
        <v>3.4722222222222099E-3</v>
      </c>
      <c r="U505" s="130">
        <v>-1.8472222222222223E-2</v>
      </c>
      <c r="V505" s="56" t="s">
        <v>1051</v>
      </c>
      <c r="W505" s="56" t="s">
        <v>1052</v>
      </c>
      <c r="X505" s="56" t="s">
        <v>1053</v>
      </c>
      <c r="Y505" s="56">
        <v>31</v>
      </c>
      <c r="Z505" s="56" t="s">
        <v>1054</v>
      </c>
      <c r="AA505" s="56" t="s">
        <v>2673</v>
      </c>
      <c r="AB505" s="56" t="s">
        <v>1120</v>
      </c>
      <c r="AC505" s="56" t="s">
        <v>1078</v>
      </c>
      <c r="AD505" s="56" t="s">
        <v>2674</v>
      </c>
      <c r="AE505" s="56" t="s">
        <v>2675</v>
      </c>
      <c r="AF505" s="56" t="s">
        <v>1060</v>
      </c>
      <c r="AG505" s="56" t="s">
        <v>2676</v>
      </c>
      <c r="AH505" s="56"/>
      <c r="AI505" s="56"/>
      <c r="AJ505" s="56"/>
      <c r="AK505" s="56"/>
      <c r="AL505" s="56"/>
      <c r="AM505" s="56"/>
      <c r="AN505" s="56"/>
      <c r="AO505" s="56"/>
      <c r="AP505" s="56"/>
      <c r="AQ505" s="131"/>
      <c r="AR505" s="130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</row>
    <row r="506" spans="1:56" x14ac:dyDescent="0.2">
      <c r="A506" s="56">
        <v>14123559</v>
      </c>
      <c r="B506" s="56">
        <v>175220281</v>
      </c>
      <c r="C506" s="56" t="s">
        <v>1970</v>
      </c>
      <c r="D506" s="56" t="s">
        <v>1971</v>
      </c>
      <c r="E506" s="56" t="s">
        <v>1047</v>
      </c>
      <c r="F506" s="56">
        <v>76</v>
      </c>
      <c r="G506" s="56">
        <v>13408</v>
      </c>
      <c r="H506" s="56" t="s">
        <v>1048</v>
      </c>
      <c r="I506" s="56" t="s">
        <v>1947</v>
      </c>
      <c r="J506" s="129">
        <v>46230</v>
      </c>
      <c r="K506" s="130">
        <v>0.28472222222222221</v>
      </c>
      <c r="L506" s="130">
        <v>0.2902777777777778</v>
      </c>
      <c r="M506" s="56" t="s">
        <v>1050</v>
      </c>
      <c r="N506" s="129">
        <v>46230</v>
      </c>
      <c r="O506" s="130">
        <v>0.34722222222222221</v>
      </c>
      <c r="P506" s="130">
        <v>0.31930555555555556</v>
      </c>
      <c r="Q506" s="56" t="s">
        <v>1050</v>
      </c>
      <c r="R506" s="56" t="s">
        <v>531</v>
      </c>
      <c r="S506" s="56">
        <v>31</v>
      </c>
      <c r="T506" s="131">
        <v>5.5555555555555913E-3</v>
      </c>
      <c r="U506" s="130">
        <v>-2.7916666666666645E-2</v>
      </c>
      <c r="V506" s="56" t="s">
        <v>1051</v>
      </c>
      <c r="W506" s="56" t="s">
        <v>1052</v>
      </c>
      <c r="X506" s="56" t="s">
        <v>1053</v>
      </c>
      <c r="Y506" s="56">
        <v>31</v>
      </c>
      <c r="Z506" s="56" t="s">
        <v>1054</v>
      </c>
      <c r="AA506" s="56" t="s">
        <v>1972</v>
      </c>
      <c r="AB506" s="56" t="s">
        <v>1949</v>
      </c>
      <c r="AC506" s="56" t="s">
        <v>1078</v>
      </c>
      <c r="AD506" s="56" t="s">
        <v>1973</v>
      </c>
      <c r="AE506" s="56" t="s">
        <v>1974</v>
      </c>
      <c r="AF506" s="56" t="s">
        <v>1060</v>
      </c>
      <c r="AG506" s="56" t="s">
        <v>1975</v>
      </c>
      <c r="AH506" s="56"/>
      <c r="AI506" s="56"/>
      <c r="AJ506" s="56"/>
      <c r="AK506" s="56"/>
      <c r="AL506" s="56"/>
      <c r="AM506" s="56"/>
      <c r="AN506" s="56"/>
      <c r="AO506" s="56"/>
      <c r="AP506" s="56"/>
      <c r="AQ506" s="131"/>
      <c r="AR506" s="130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</row>
    <row r="507" spans="1:56" x14ac:dyDescent="0.2">
      <c r="A507" s="56">
        <v>14121238</v>
      </c>
      <c r="B507" s="56">
        <v>175218960</v>
      </c>
      <c r="C507" s="56" t="s">
        <v>2226</v>
      </c>
      <c r="D507" s="56" t="s">
        <v>2227</v>
      </c>
      <c r="E507" s="56" t="s">
        <v>1047</v>
      </c>
      <c r="F507" s="56">
        <v>54</v>
      </c>
      <c r="G507" s="56">
        <v>15337</v>
      </c>
      <c r="H507" s="56" t="s">
        <v>1048</v>
      </c>
      <c r="I507" s="56" t="s">
        <v>1172</v>
      </c>
      <c r="J507" s="129">
        <v>46230</v>
      </c>
      <c r="K507" s="130">
        <v>0.29166666666666669</v>
      </c>
      <c r="L507" s="130">
        <v>0.29583333333333334</v>
      </c>
      <c r="M507" s="56" t="s">
        <v>1050</v>
      </c>
      <c r="N507" s="129">
        <v>46230</v>
      </c>
      <c r="O507" s="130">
        <v>0.34722222222222221</v>
      </c>
      <c r="P507" s="130">
        <v>0.33539351851851851</v>
      </c>
      <c r="Q507" s="56" t="s">
        <v>1050</v>
      </c>
      <c r="R507" s="56" t="s">
        <v>322</v>
      </c>
      <c r="S507" s="56">
        <v>31</v>
      </c>
      <c r="T507" s="131">
        <v>4.1666666666666519E-3</v>
      </c>
      <c r="U507" s="130">
        <v>-1.1828703703703702E-2</v>
      </c>
      <c r="V507" s="56" t="s">
        <v>1051</v>
      </c>
      <c r="W507" s="56" t="s">
        <v>1052</v>
      </c>
      <c r="X507" s="56" t="s">
        <v>1053</v>
      </c>
      <c r="Y507" s="56">
        <v>31</v>
      </c>
      <c r="Z507" s="56" t="s">
        <v>1054</v>
      </c>
      <c r="AA507" s="56" t="s">
        <v>2228</v>
      </c>
      <c r="AB507" s="56" t="s">
        <v>1174</v>
      </c>
      <c r="AC507" s="56" t="s">
        <v>1057</v>
      </c>
      <c r="AD507" s="56" t="s">
        <v>2229</v>
      </c>
      <c r="AE507" s="56" t="s">
        <v>2230</v>
      </c>
      <c r="AF507" s="56" t="s">
        <v>1060</v>
      </c>
      <c r="AG507" s="56" t="s">
        <v>2231</v>
      </c>
      <c r="AH507" s="56"/>
      <c r="AI507" s="56"/>
      <c r="AJ507" s="56"/>
      <c r="AK507" s="56"/>
      <c r="AL507" s="56"/>
      <c r="AM507" s="56"/>
      <c r="AN507" s="56"/>
      <c r="AO507" s="56"/>
      <c r="AP507" s="56"/>
      <c r="AQ507" s="131"/>
      <c r="AR507" s="130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</row>
    <row r="508" spans="1:56" x14ac:dyDescent="0.2">
      <c r="A508" s="56">
        <v>14120091</v>
      </c>
      <c r="B508" s="56">
        <v>175219718</v>
      </c>
      <c r="C508" s="56" t="s">
        <v>2232</v>
      </c>
      <c r="D508" s="56" t="s">
        <v>2233</v>
      </c>
      <c r="E508" s="56" t="s">
        <v>1047</v>
      </c>
      <c r="F508" s="56">
        <v>22</v>
      </c>
      <c r="G508" s="56">
        <v>13447</v>
      </c>
      <c r="H508" s="56" t="s">
        <v>1048</v>
      </c>
      <c r="I508" s="56" t="s">
        <v>2234</v>
      </c>
      <c r="J508" s="129">
        <v>46230</v>
      </c>
      <c r="K508" s="130">
        <v>0.29166666666666669</v>
      </c>
      <c r="L508" s="130">
        <v>0.29652777777777778</v>
      </c>
      <c r="M508" s="56" t="s">
        <v>1050</v>
      </c>
      <c r="N508" s="129">
        <v>46230</v>
      </c>
      <c r="O508" s="130">
        <v>0.32291666666666669</v>
      </c>
      <c r="P508" s="130">
        <v>0.31689814814814815</v>
      </c>
      <c r="Q508" s="56" t="s">
        <v>1050</v>
      </c>
      <c r="R508" s="56" t="s">
        <v>275</v>
      </c>
      <c r="S508" s="56">
        <v>31</v>
      </c>
      <c r="T508" s="131">
        <v>4.8611111111110938E-3</v>
      </c>
      <c r="U508" s="130">
        <v>-6.0185185185185341E-3</v>
      </c>
      <c r="V508" s="56" t="s">
        <v>1051</v>
      </c>
      <c r="W508" s="56" t="s">
        <v>1052</v>
      </c>
      <c r="X508" s="56" t="s">
        <v>1053</v>
      </c>
      <c r="Y508" s="56">
        <v>31</v>
      </c>
      <c r="Z508" s="56" t="s">
        <v>1054</v>
      </c>
      <c r="AA508" s="56" t="s">
        <v>2235</v>
      </c>
      <c r="AB508" s="56" t="s">
        <v>1605</v>
      </c>
      <c r="AC508" s="56" t="s">
        <v>1069</v>
      </c>
      <c r="AD508" s="56" t="s">
        <v>2236</v>
      </c>
      <c r="AE508" s="56" t="s">
        <v>2237</v>
      </c>
      <c r="AF508" s="56" t="s">
        <v>1060</v>
      </c>
      <c r="AG508" s="56" t="s">
        <v>2238</v>
      </c>
      <c r="AH508" s="56"/>
      <c r="AI508" s="56"/>
      <c r="AJ508" s="56"/>
      <c r="AK508" s="56"/>
      <c r="AL508" s="56"/>
      <c r="AM508" s="56"/>
      <c r="AN508" s="56"/>
      <c r="AO508" s="56"/>
      <c r="AP508" s="56"/>
      <c r="AQ508" s="131"/>
      <c r="AR508" s="130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</row>
    <row r="509" spans="1:56" x14ac:dyDescent="0.2">
      <c r="A509" s="56">
        <v>14121015</v>
      </c>
      <c r="B509" s="56">
        <v>175220314</v>
      </c>
      <c r="C509" s="56" t="s">
        <v>1989</v>
      </c>
      <c r="D509" s="56" t="s">
        <v>1990</v>
      </c>
      <c r="E509" s="56" t="s">
        <v>1047</v>
      </c>
      <c r="F509" s="56">
        <v>109</v>
      </c>
      <c r="G509" s="56">
        <v>15995</v>
      </c>
      <c r="H509" s="56" t="s">
        <v>1048</v>
      </c>
      <c r="I509" s="56" t="s">
        <v>1947</v>
      </c>
      <c r="J509" s="129">
        <v>46230</v>
      </c>
      <c r="K509" s="130">
        <v>0.2951388888888889</v>
      </c>
      <c r="L509" s="130">
        <v>0.3034722222222222</v>
      </c>
      <c r="M509" s="56" t="s">
        <v>1050</v>
      </c>
      <c r="N509" s="129">
        <v>46230</v>
      </c>
      <c r="O509" s="130">
        <v>0.34722222222222221</v>
      </c>
      <c r="P509" s="130">
        <v>0.32893518518518516</v>
      </c>
      <c r="Q509" s="56" t="s">
        <v>1050</v>
      </c>
      <c r="R509" s="56" t="s">
        <v>306</v>
      </c>
      <c r="S509" s="56">
        <v>31</v>
      </c>
      <c r="T509" s="131">
        <v>8.3333333333333037E-3</v>
      </c>
      <c r="U509" s="130">
        <v>-1.8287037037037046E-2</v>
      </c>
      <c r="V509" s="56" t="s">
        <v>1051</v>
      </c>
      <c r="W509" s="56" t="s">
        <v>1052</v>
      </c>
      <c r="X509" s="56" t="s">
        <v>1053</v>
      </c>
      <c r="Y509" s="56">
        <v>31</v>
      </c>
      <c r="Z509" s="56" t="s">
        <v>1054</v>
      </c>
      <c r="AA509" s="56" t="s">
        <v>1991</v>
      </c>
      <c r="AB509" s="56" t="s">
        <v>1949</v>
      </c>
      <c r="AC509" s="56" t="s">
        <v>1078</v>
      </c>
      <c r="AD509" s="56" t="s">
        <v>1992</v>
      </c>
      <c r="AE509" s="56" t="s">
        <v>1993</v>
      </c>
      <c r="AF509" s="56" t="s">
        <v>1060</v>
      </c>
      <c r="AG509" s="56" t="s">
        <v>1994</v>
      </c>
      <c r="AH509" s="56"/>
      <c r="AI509" s="56"/>
      <c r="AJ509" s="56"/>
      <c r="AK509" s="56"/>
      <c r="AL509" s="56"/>
      <c r="AM509" s="56"/>
      <c r="AN509" s="56"/>
      <c r="AO509" s="56"/>
      <c r="AP509" s="56"/>
      <c r="AQ509" s="131"/>
      <c r="AR509" s="130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</row>
    <row r="510" spans="1:56" x14ac:dyDescent="0.2">
      <c r="A510" s="56">
        <v>14121152</v>
      </c>
      <c r="B510" s="56">
        <v>175213119</v>
      </c>
      <c r="C510" s="56" t="s">
        <v>2677</v>
      </c>
      <c r="D510" s="56" t="s">
        <v>2678</v>
      </c>
      <c r="E510" s="56" t="s">
        <v>1047</v>
      </c>
      <c r="F510" s="56">
        <v>1</v>
      </c>
      <c r="G510" s="56">
        <v>13011</v>
      </c>
      <c r="H510" s="56" t="s">
        <v>1048</v>
      </c>
      <c r="I510" s="56" t="s">
        <v>1200</v>
      </c>
      <c r="J510" s="129">
        <v>46230</v>
      </c>
      <c r="K510" s="130">
        <v>0.48819444444444443</v>
      </c>
      <c r="L510" s="130">
        <v>0.49305555555555558</v>
      </c>
      <c r="M510" s="56" t="s">
        <v>1050</v>
      </c>
      <c r="N510" s="129">
        <v>46230</v>
      </c>
      <c r="O510" s="130">
        <v>0.54166666666666663</v>
      </c>
      <c r="P510" s="130">
        <v>0.5370949074074074</v>
      </c>
      <c r="Q510" s="56" t="s">
        <v>1050</v>
      </c>
      <c r="R510" s="56" t="s">
        <v>315</v>
      </c>
      <c r="S510" s="56">
        <v>31</v>
      </c>
      <c r="T510" s="131">
        <v>4.8611111111111494E-3</v>
      </c>
      <c r="U510" s="130">
        <v>-4.5717592592592338E-3</v>
      </c>
      <c r="V510" s="56" t="s">
        <v>1051</v>
      </c>
      <c r="W510" s="56" t="s">
        <v>1052</v>
      </c>
      <c r="X510" s="56" t="s">
        <v>1053</v>
      </c>
      <c r="Y510" s="56">
        <v>31</v>
      </c>
      <c r="Z510" s="56" t="s">
        <v>1054</v>
      </c>
      <c r="AA510" s="56" t="s">
        <v>2679</v>
      </c>
      <c r="AB510" s="56" t="s">
        <v>1203</v>
      </c>
      <c r="AC510" s="56" t="s">
        <v>1057</v>
      </c>
      <c r="AD510" s="56" t="s">
        <v>2680</v>
      </c>
      <c r="AE510" s="56" t="s">
        <v>2681</v>
      </c>
      <c r="AF510" s="56" t="s">
        <v>1237</v>
      </c>
      <c r="AG510" s="56" t="s">
        <v>2682</v>
      </c>
      <c r="AH510" s="56"/>
      <c r="AI510" s="56"/>
      <c r="AJ510" s="56"/>
      <c r="AK510" s="56"/>
      <c r="AL510" s="56"/>
      <c r="AM510" s="56"/>
      <c r="AN510" s="56"/>
      <c r="AO510" s="56"/>
      <c r="AP510" s="56"/>
      <c r="AQ510" s="131"/>
      <c r="AR510" s="130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</row>
    <row r="511" spans="1:56" x14ac:dyDescent="0.2">
      <c r="A511" s="56">
        <v>14122293</v>
      </c>
      <c r="B511" s="56">
        <v>175215167</v>
      </c>
      <c r="C511" s="56" t="s">
        <v>2009</v>
      </c>
      <c r="D511" s="56" t="s">
        <v>2010</v>
      </c>
      <c r="E511" s="56" t="s">
        <v>1047</v>
      </c>
      <c r="F511" s="56">
        <v>33</v>
      </c>
      <c r="G511" s="56">
        <v>11387</v>
      </c>
      <c r="H511" s="56" t="s">
        <v>1048</v>
      </c>
      <c r="I511" s="56" t="s">
        <v>2011</v>
      </c>
      <c r="J511" s="129">
        <v>46230</v>
      </c>
      <c r="K511" s="130">
        <v>0.52083333333333337</v>
      </c>
      <c r="L511" s="130">
        <v>0.52708333333333335</v>
      </c>
      <c r="M511" s="56" t="s">
        <v>1050</v>
      </c>
      <c r="N511" s="129">
        <v>46230</v>
      </c>
      <c r="O511" s="130">
        <v>0.57291666666666663</v>
      </c>
      <c r="P511" s="130">
        <v>0.57564814814814813</v>
      </c>
      <c r="Q511" s="56" t="s">
        <v>1050</v>
      </c>
      <c r="R511" s="56" t="s">
        <v>403</v>
      </c>
      <c r="S511" s="56">
        <v>31</v>
      </c>
      <c r="T511" s="131">
        <v>6.2499999999999778E-3</v>
      </c>
      <c r="U511" s="130">
        <v>2.7314814814815014E-3</v>
      </c>
      <c r="V511" s="56" t="s">
        <v>1051</v>
      </c>
      <c r="W511" s="56" t="s">
        <v>1052</v>
      </c>
      <c r="X511" s="56" t="s">
        <v>1053</v>
      </c>
      <c r="Y511" s="56">
        <v>31</v>
      </c>
      <c r="Z511" s="56" t="s">
        <v>1054</v>
      </c>
      <c r="AA511" s="56" t="s">
        <v>2012</v>
      </c>
      <c r="AB511" s="56" t="s">
        <v>1605</v>
      </c>
      <c r="AC511" s="56" t="s">
        <v>1069</v>
      </c>
      <c r="AD511" s="56" t="s">
        <v>2013</v>
      </c>
      <c r="AE511" s="56" t="s">
        <v>2014</v>
      </c>
      <c r="AF511" s="56" t="s">
        <v>1237</v>
      </c>
      <c r="AG511" s="56" t="s">
        <v>2015</v>
      </c>
      <c r="AH511" s="56"/>
      <c r="AI511" s="56"/>
      <c r="AJ511" s="56"/>
      <c r="AK511" s="56"/>
      <c r="AL511" s="56"/>
      <c r="AM511" s="56"/>
      <c r="AN511" s="56"/>
      <c r="AO511" s="56"/>
      <c r="AP511" s="56"/>
      <c r="AQ511" s="131"/>
      <c r="AR511" s="130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</row>
    <row r="512" spans="1:56" x14ac:dyDescent="0.2">
      <c r="A512" s="56">
        <v>14121545</v>
      </c>
      <c r="B512" s="56">
        <v>175220019</v>
      </c>
      <c r="C512" s="56" t="s">
        <v>2683</v>
      </c>
      <c r="D512" s="56" t="s">
        <v>2684</v>
      </c>
      <c r="E512" s="56" t="s">
        <v>1047</v>
      </c>
      <c r="F512" s="56">
        <v>455</v>
      </c>
      <c r="G512" s="56">
        <v>5474</v>
      </c>
      <c r="H512" s="56" t="s">
        <v>1048</v>
      </c>
      <c r="I512" s="56" t="s">
        <v>1075</v>
      </c>
      <c r="J512" s="129">
        <v>46230</v>
      </c>
      <c r="K512" s="130">
        <v>0.52777777777777779</v>
      </c>
      <c r="L512" s="130">
        <v>0.53472222222222221</v>
      </c>
      <c r="M512" s="56" t="s">
        <v>1050</v>
      </c>
      <c r="N512" s="129">
        <v>46230</v>
      </c>
      <c r="O512" s="130">
        <v>0.60069444444444442</v>
      </c>
      <c r="P512" s="130">
        <v>0.59870370370370374</v>
      </c>
      <c r="Q512" s="56" t="s">
        <v>1050</v>
      </c>
      <c r="R512" s="56" t="s">
        <v>334</v>
      </c>
      <c r="S512" s="56">
        <v>31</v>
      </c>
      <c r="T512" s="131">
        <v>6.9444444444444198E-3</v>
      </c>
      <c r="U512" s="130">
        <v>-1.9907407407406819E-3</v>
      </c>
      <c r="V512" s="56" t="s">
        <v>1051</v>
      </c>
      <c r="W512" s="56" t="s">
        <v>1052</v>
      </c>
      <c r="X512" s="56" t="s">
        <v>1053</v>
      </c>
      <c r="Y512" s="56">
        <v>31</v>
      </c>
      <c r="Z512" s="56" t="s">
        <v>1054</v>
      </c>
      <c r="AA512" s="56" t="s">
        <v>2685</v>
      </c>
      <c r="AB512" s="56" t="s">
        <v>1077</v>
      </c>
      <c r="AC512" s="56" t="s">
        <v>1078</v>
      </c>
      <c r="AD512" s="56" t="s">
        <v>2686</v>
      </c>
      <c r="AE512" s="56" t="s">
        <v>2687</v>
      </c>
      <c r="AF512" s="56" t="s">
        <v>1237</v>
      </c>
      <c r="AG512" s="56" t="s">
        <v>2688</v>
      </c>
      <c r="AH512" s="56"/>
      <c r="AI512" s="56"/>
      <c r="AJ512" s="56"/>
      <c r="AK512" s="56"/>
      <c r="AL512" s="56"/>
      <c r="AM512" s="56"/>
      <c r="AN512" s="56"/>
      <c r="AO512" s="56"/>
      <c r="AP512" s="56"/>
      <c r="AQ512" s="131"/>
      <c r="AR512" s="130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</row>
    <row r="513" spans="1:56" x14ac:dyDescent="0.2">
      <c r="A513" s="56">
        <v>14106368</v>
      </c>
      <c r="B513" s="56">
        <v>175204254</v>
      </c>
      <c r="C513" s="56" t="s">
        <v>1626</v>
      </c>
      <c r="D513" s="56" t="s">
        <v>1627</v>
      </c>
      <c r="E513" s="56" t="s">
        <v>1047</v>
      </c>
      <c r="F513" s="56">
        <v>68</v>
      </c>
      <c r="G513" s="56">
        <v>16000</v>
      </c>
      <c r="H513" s="56" t="s">
        <v>1048</v>
      </c>
      <c r="I513" s="56" t="s">
        <v>1075</v>
      </c>
      <c r="J513" s="129">
        <v>46230</v>
      </c>
      <c r="K513" s="130">
        <v>0.53472222222222221</v>
      </c>
      <c r="L513" s="130">
        <v>0.54027777777777775</v>
      </c>
      <c r="M513" s="56" t="s">
        <v>1050</v>
      </c>
      <c r="N513" s="129">
        <v>46230</v>
      </c>
      <c r="O513" s="130">
        <v>0.60069444444444442</v>
      </c>
      <c r="P513" s="130">
        <v>0.57903935185185185</v>
      </c>
      <c r="Q513" s="56" t="s">
        <v>1050</v>
      </c>
      <c r="R513" s="56" t="s">
        <v>50</v>
      </c>
      <c r="S513" s="56">
        <v>31</v>
      </c>
      <c r="T513" s="131">
        <v>5.5555555555555358E-3</v>
      </c>
      <c r="U513" s="130">
        <v>-2.1655092592592573E-2</v>
      </c>
      <c r="V513" s="56" t="s">
        <v>1051</v>
      </c>
      <c r="W513" s="56" t="s">
        <v>1052</v>
      </c>
      <c r="X513" s="56" t="s">
        <v>1053</v>
      </c>
      <c r="Y513" s="56">
        <v>31</v>
      </c>
      <c r="Z513" s="56" t="s">
        <v>1054</v>
      </c>
      <c r="AA513" s="56" t="s">
        <v>1628</v>
      </c>
      <c r="AB513" s="56" t="s">
        <v>1077</v>
      </c>
      <c r="AC513" s="56" t="s">
        <v>1078</v>
      </c>
      <c r="AD513" s="56" t="s">
        <v>1629</v>
      </c>
      <c r="AE513" s="56" t="s">
        <v>1630</v>
      </c>
      <c r="AF513" s="56" t="s">
        <v>1237</v>
      </c>
      <c r="AG513" s="56" t="s">
        <v>1631</v>
      </c>
      <c r="AH513" s="56"/>
      <c r="AI513" s="56"/>
      <c r="AJ513" s="56"/>
      <c r="AK513" s="56"/>
      <c r="AL513" s="56"/>
      <c r="AM513" s="56"/>
      <c r="AN513" s="56"/>
      <c r="AO513" s="56"/>
      <c r="AP513" s="56"/>
      <c r="AQ513" s="131"/>
      <c r="AR513" s="130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</row>
    <row r="514" spans="1:56" x14ac:dyDescent="0.2">
      <c r="A514" s="56">
        <v>14122709</v>
      </c>
      <c r="B514" s="56">
        <v>175204262</v>
      </c>
      <c r="C514" s="56" t="s">
        <v>1632</v>
      </c>
      <c r="D514" s="56" t="s">
        <v>1633</v>
      </c>
      <c r="E514" s="56" t="s">
        <v>1047</v>
      </c>
      <c r="F514" s="56">
        <v>71</v>
      </c>
      <c r="G514" s="56">
        <v>16003</v>
      </c>
      <c r="H514" s="56" t="s">
        <v>1048</v>
      </c>
      <c r="I514" s="56" t="s">
        <v>1075</v>
      </c>
      <c r="J514" s="129">
        <v>46230</v>
      </c>
      <c r="K514" s="130">
        <v>0.53472222222222221</v>
      </c>
      <c r="L514" s="130">
        <v>0.54583333333333328</v>
      </c>
      <c r="M514" s="56" t="s">
        <v>1050</v>
      </c>
      <c r="N514" s="129">
        <v>46230</v>
      </c>
      <c r="O514" s="130">
        <v>0.60069444444444442</v>
      </c>
      <c r="P514" s="130">
        <v>0.58987268518518521</v>
      </c>
      <c r="Q514" s="56" t="s">
        <v>1050</v>
      </c>
      <c r="R514" s="56" t="s">
        <v>441</v>
      </c>
      <c r="S514" s="56">
        <v>31</v>
      </c>
      <c r="T514" s="131">
        <v>1.1111111111111072E-2</v>
      </c>
      <c r="U514" s="130">
        <v>-1.0821759259259212E-2</v>
      </c>
      <c r="V514" s="56" t="s">
        <v>1051</v>
      </c>
      <c r="W514" s="56" t="s">
        <v>1052</v>
      </c>
      <c r="X514" s="56" t="s">
        <v>1053</v>
      </c>
      <c r="Y514" s="56">
        <v>31</v>
      </c>
      <c r="Z514" s="56" t="s">
        <v>1054</v>
      </c>
      <c r="AA514" s="56" t="s">
        <v>1634</v>
      </c>
      <c r="AB514" s="56" t="s">
        <v>1077</v>
      </c>
      <c r="AC514" s="56" t="s">
        <v>1078</v>
      </c>
      <c r="AD514" s="56" t="s">
        <v>1635</v>
      </c>
      <c r="AE514" s="56" t="s">
        <v>1636</v>
      </c>
      <c r="AF514" s="56" t="s">
        <v>1237</v>
      </c>
      <c r="AG514" s="56" t="s">
        <v>1637</v>
      </c>
      <c r="AH514" s="56"/>
      <c r="AI514" s="56"/>
      <c r="AJ514" s="56"/>
      <c r="AK514" s="56"/>
      <c r="AL514" s="56"/>
      <c r="AM514" s="56"/>
      <c r="AN514" s="56"/>
      <c r="AO514" s="56"/>
      <c r="AP514" s="56"/>
      <c r="AQ514" s="131"/>
      <c r="AR514" s="130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</row>
    <row r="515" spans="1:56" x14ac:dyDescent="0.2">
      <c r="A515" s="56">
        <v>14107393</v>
      </c>
      <c r="B515" s="56">
        <v>175213477</v>
      </c>
      <c r="C515" s="56" t="s">
        <v>2689</v>
      </c>
      <c r="D515" s="56" t="s">
        <v>1439</v>
      </c>
      <c r="E515" s="56" t="s">
        <v>1047</v>
      </c>
      <c r="F515" s="56">
        <v>112</v>
      </c>
      <c r="G515" s="56">
        <v>15996</v>
      </c>
      <c r="H515" s="56" t="s">
        <v>1048</v>
      </c>
      <c r="I515" s="56" t="s">
        <v>1104</v>
      </c>
      <c r="J515" s="129">
        <v>46230</v>
      </c>
      <c r="K515" s="130">
        <v>0.53472222222222221</v>
      </c>
      <c r="L515" s="130">
        <v>0.54027777777777775</v>
      </c>
      <c r="M515" s="56" t="s">
        <v>1050</v>
      </c>
      <c r="N515" s="129">
        <v>46230</v>
      </c>
      <c r="O515" s="130">
        <v>0.60069444444444442</v>
      </c>
      <c r="P515" s="130">
        <v>0.5854166666666667</v>
      </c>
      <c r="Q515" s="56" t="s">
        <v>1050</v>
      </c>
      <c r="R515" s="56" t="s">
        <v>61</v>
      </c>
      <c r="S515" s="56">
        <v>31</v>
      </c>
      <c r="T515" s="131">
        <v>5.5555555555555358E-3</v>
      </c>
      <c r="U515" s="130">
        <v>-1.5277777777777724E-2</v>
      </c>
      <c r="V515" s="56" t="s">
        <v>1051</v>
      </c>
      <c r="W515" s="56" t="s">
        <v>1052</v>
      </c>
      <c r="X515" s="56" t="s">
        <v>1053</v>
      </c>
      <c r="Y515" s="56">
        <v>31</v>
      </c>
      <c r="Z515" s="56" t="s">
        <v>1054</v>
      </c>
      <c r="AA515" s="56" t="s">
        <v>1440</v>
      </c>
      <c r="AB515" s="56" t="s">
        <v>1106</v>
      </c>
      <c r="AC515" s="56" t="s">
        <v>1078</v>
      </c>
      <c r="AD515" s="56" t="s">
        <v>1441</v>
      </c>
      <c r="AE515" s="56" t="s">
        <v>1442</v>
      </c>
      <c r="AF515" s="56" t="s">
        <v>1237</v>
      </c>
      <c r="AG515" s="56" t="s">
        <v>2690</v>
      </c>
      <c r="AH515" s="56"/>
      <c r="AI515" s="56"/>
      <c r="AJ515" s="56"/>
      <c r="AK515" s="56"/>
      <c r="AL515" s="56"/>
      <c r="AM515" s="56"/>
      <c r="AN515" s="56"/>
      <c r="AO515" s="56"/>
      <c r="AP515" s="56"/>
      <c r="AQ515" s="131"/>
      <c r="AR515" s="130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</row>
    <row r="516" spans="1:56" x14ac:dyDescent="0.2">
      <c r="A516" s="56">
        <v>14123885</v>
      </c>
      <c r="B516" s="56">
        <v>175216856</v>
      </c>
      <c r="C516" s="56" t="s">
        <v>2691</v>
      </c>
      <c r="D516" s="56" t="s">
        <v>1385</v>
      </c>
      <c r="E516" s="56" t="s">
        <v>1047</v>
      </c>
      <c r="F516" s="56">
        <v>15</v>
      </c>
      <c r="G516" s="56">
        <v>15761</v>
      </c>
      <c r="H516" s="56" t="s">
        <v>1048</v>
      </c>
      <c r="I516" s="56" t="s">
        <v>1064</v>
      </c>
      <c r="J516" s="129">
        <v>46230</v>
      </c>
      <c r="K516" s="130">
        <v>0.53611111111111109</v>
      </c>
      <c r="L516" s="130">
        <v>0.5395833333333333</v>
      </c>
      <c r="M516" s="56" t="s">
        <v>1050</v>
      </c>
      <c r="N516" s="129">
        <v>46230</v>
      </c>
      <c r="O516" s="130">
        <v>0.60416666666666663</v>
      </c>
      <c r="P516" s="130">
        <v>0.59880787037037042</v>
      </c>
      <c r="Q516" s="56" t="s">
        <v>1050</v>
      </c>
      <c r="R516" s="56" t="s">
        <v>978</v>
      </c>
      <c r="S516" s="56">
        <v>31</v>
      </c>
      <c r="T516" s="131">
        <v>3.4722222222222099E-3</v>
      </c>
      <c r="U516" s="130">
        <v>-5.3587962962962088E-3</v>
      </c>
      <c r="V516" s="56" t="s">
        <v>1051</v>
      </c>
      <c r="W516" s="56" t="s">
        <v>1052</v>
      </c>
      <c r="X516" s="56" t="s">
        <v>1053</v>
      </c>
      <c r="Y516" s="56">
        <v>31</v>
      </c>
      <c r="Z516" s="56" t="s">
        <v>1054</v>
      </c>
      <c r="AA516" s="56" t="s">
        <v>2692</v>
      </c>
      <c r="AB516" s="56" t="s">
        <v>1068</v>
      </c>
      <c r="AC516" s="56" t="s">
        <v>1069</v>
      </c>
      <c r="AD516" s="56" t="s">
        <v>2693</v>
      </c>
      <c r="AE516" s="56" t="s">
        <v>2694</v>
      </c>
      <c r="AF516" s="56" t="s">
        <v>1237</v>
      </c>
      <c r="AG516" s="56" t="s">
        <v>2695</v>
      </c>
      <c r="AH516" s="56"/>
      <c r="AI516" s="56"/>
      <c r="AJ516" s="56"/>
      <c r="AK516" s="56"/>
      <c r="AL516" s="56"/>
      <c r="AM516" s="56"/>
      <c r="AN516" s="56"/>
      <c r="AO516" s="56"/>
      <c r="AP516" s="56"/>
      <c r="AQ516" s="131"/>
      <c r="AR516" s="130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</row>
    <row r="517" spans="1:56" x14ac:dyDescent="0.2">
      <c r="A517" s="56">
        <v>14119958</v>
      </c>
      <c r="B517" s="56">
        <v>175216835</v>
      </c>
      <c r="C517" s="56" t="s">
        <v>2696</v>
      </c>
      <c r="D517" s="56" t="s">
        <v>1151</v>
      </c>
      <c r="E517" s="56" t="s">
        <v>1047</v>
      </c>
      <c r="F517" s="56">
        <v>8</v>
      </c>
      <c r="G517" s="56">
        <v>11827</v>
      </c>
      <c r="H517" s="56" t="s">
        <v>1048</v>
      </c>
      <c r="I517" s="56" t="s">
        <v>1064</v>
      </c>
      <c r="J517" s="129">
        <v>46230</v>
      </c>
      <c r="K517" s="130">
        <v>0.53819444444444442</v>
      </c>
      <c r="L517" s="130">
        <v>0.54166666666666663</v>
      </c>
      <c r="M517" s="56" t="s">
        <v>1050</v>
      </c>
      <c r="N517" s="129">
        <v>46230</v>
      </c>
      <c r="O517" s="130">
        <v>0.60416666666666663</v>
      </c>
      <c r="P517" s="130">
        <v>0.58123842592592589</v>
      </c>
      <c r="Q517" s="56" t="s">
        <v>1050</v>
      </c>
      <c r="R517" s="56" t="s">
        <v>270</v>
      </c>
      <c r="S517" s="56">
        <v>31</v>
      </c>
      <c r="T517" s="131">
        <v>3.4722222222222099E-3</v>
      </c>
      <c r="U517" s="130">
        <v>-2.2928240740740735E-2</v>
      </c>
      <c r="V517" s="56" t="s">
        <v>1051</v>
      </c>
      <c r="W517" s="56" t="s">
        <v>1052</v>
      </c>
      <c r="X517" s="56" t="s">
        <v>1053</v>
      </c>
      <c r="Y517" s="56">
        <v>31</v>
      </c>
      <c r="Z517" s="56" t="s">
        <v>1054</v>
      </c>
      <c r="AA517" s="56" t="s">
        <v>1152</v>
      </c>
      <c r="AB517" s="56" t="s">
        <v>1068</v>
      </c>
      <c r="AC517" s="56" t="s">
        <v>1069</v>
      </c>
      <c r="AD517" s="56" t="s">
        <v>1153</v>
      </c>
      <c r="AE517" s="56" t="s">
        <v>1154</v>
      </c>
      <c r="AF517" s="56" t="s">
        <v>1237</v>
      </c>
      <c r="AG517" s="56" t="s">
        <v>2697</v>
      </c>
      <c r="AH517" s="56"/>
      <c r="AI517" s="56"/>
      <c r="AJ517" s="56"/>
      <c r="AK517" s="56"/>
      <c r="AL517" s="56"/>
      <c r="AM517" s="56"/>
      <c r="AN517" s="56"/>
      <c r="AO517" s="56"/>
      <c r="AP517" s="56"/>
      <c r="AQ517" s="131"/>
      <c r="AR517" s="130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</row>
    <row r="518" spans="1:56" x14ac:dyDescent="0.2">
      <c r="A518" s="56">
        <v>14121600</v>
      </c>
      <c r="B518" s="56">
        <v>175225149</v>
      </c>
      <c r="C518" s="56" t="s">
        <v>2698</v>
      </c>
      <c r="D518" s="56" t="s">
        <v>2474</v>
      </c>
      <c r="E518" s="56" t="s">
        <v>1047</v>
      </c>
      <c r="F518" s="56">
        <v>181</v>
      </c>
      <c r="G518" s="56">
        <v>14711</v>
      </c>
      <c r="H518" s="56" t="s">
        <v>1048</v>
      </c>
      <c r="I518" s="56" t="s">
        <v>1172</v>
      </c>
      <c r="J518" s="129">
        <v>46230</v>
      </c>
      <c r="K518" s="130">
        <v>0.54861111111111116</v>
      </c>
      <c r="L518" s="130">
        <v>0.56319444444444444</v>
      </c>
      <c r="M518" s="56" t="s">
        <v>1050</v>
      </c>
      <c r="N518" s="129">
        <v>46230</v>
      </c>
      <c r="O518" s="130">
        <v>0.61458333333333337</v>
      </c>
      <c r="P518" s="130">
        <v>0.61114583333333339</v>
      </c>
      <c r="Q518" s="56" t="s">
        <v>1050</v>
      </c>
      <c r="R518" s="56" t="s">
        <v>2699</v>
      </c>
      <c r="S518" s="56">
        <v>31</v>
      </c>
      <c r="T518" s="131">
        <v>1.4583333333333282E-2</v>
      </c>
      <c r="U518" s="130">
        <v>-3.4374999999999822E-3</v>
      </c>
      <c r="V518" s="56" t="s">
        <v>1051</v>
      </c>
      <c r="W518" s="56" t="s">
        <v>1052</v>
      </c>
      <c r="X518" s="56" t="s">
        <v>1053</v>
      </c>
      <c r="Y518" s="56">
        <v>31</v>
      </c>
      <c r="Z518" s="56" t="s">
        <v>1054</v>
      </c>
      <c r="AA518" s="56" t="s">
        <v>2475</v>
      </c>
      <c r="AB518" s="56" t="s">
        <v>1174</v>
      </c>
      <c r="AC518" s="56" t="s">
        <v>1057</v>
      </c>
      <c r="AD518" s="56" t="s">
        <v>2476</v>
      </c>
      <c r="AE518" s="56" t="s">
        <v>2477</v>
      </c>
      <c r="AF518" s="56" t="s">
        <v>1237</v>
      </c>
      <c r="AG518" s="56" t="s">
        <v>2700</v>
      </c>
      <c r="AH518" s="56"/>
      <c r="AI518" s="56"/>
      <c r="AJ518" s="56"/>
      <c r="AK518" s="56"/>
      <c r="AL518" s="56"/>
      <c r="AM518" s="56"/>
      <c r="AN518" s="56"/>
      <c r="AO518" s="56"/>
      <c r="AP518" s="56"/>
      <c r="AQ518" s="131"/>
      <c r="AR518" s="130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</row>
    <row r="519" spans="1:56" x14ac:dyDescent="0.2">
      <c r="A519" s="56">
        <v>14118889</v>
      </c>
      <c r="B519" s="56">
        <v>175224775</v>
      </c>
      <c r="C519" s="56" t="s">
        <v>2701</v>
      </c>
      <c r="D519" s="56" t="s">
        <v>2345</v>
      </c>
      <c r="E519" s="56" t="s">
        <v>1047</v>
      </c>
      <c r="F519" s="56">
        <v>149</v>
      </c>
      <c r="G519" s="56">
        <v>13754</v>
      </c>
      <c r="H519" s="56" t="s">
        <v>1048</v>
      </c>
      <c r="I519" s="56" t="s">
        <v>1172</v>
      </c>
      <c r="J519" s="129">
        <v>46230</v>
      </c>
      <c r="K519" s="130">
        <v>0.55000000000000004</v>
      </c>
      <c r="L519" s="130">
        <v>0.55694444444444446</v>
      </c>
      <c r="M519" s="56" t="s">
        <v>1050</v>
      </c>
      <c r="N519" s="129">
        <v>46230</v>
      </c>
      <c r="O519" s="130">
        <v>0.61458333333333337</v>
      </c>
      <c r="P519" s="130">
        <v>0.59857638888888887</v>
      </c>
      <c r="Q519" s="56" t="s">
        <v>1050</v>
      </c>
      <c r="R519" s="56" t="s">
        <v>218</v>
      </c>
      <c r="S519" s="56">
        <v>31</v>
      </c>
      <c r="T519" s="131">
        <v>6.9444444444444198E-3</v>
      </c>
      <c r="U519" s="130">
        <v>-1.6006944444444504E-2</v>
      </c>
      <c r="V519" s="56" t="s">
        <v>1051</v>
      </c>
      <c r="W519" s="56" t="s">
        <v>1052</v>
      </c>
      <c r="X519" s="56" t="s">
        <v>1053</v>
      </c>
      <c r="Y519" s="56">
        <v>31</v>
      </c>
      <c r="Z519" s="56" t="s">
        <v>1054</v>
      </c>
      <c r="AA519" s="56" t="s">
        <v>2346</v>
      </c>
      <c r="AB519" s="56" t="s">
        <v>1210</v>
      </c>
      <c r="AC519" s="56" t="s">
        <v>1057</v>
      </c>
      <c r="AD519" s="56" t="s">
        <v>2347</v>
      </c>
      <c r="AE519" s="56" t="s">
        <v>2348</v>
      </c>
      <c r="AF519" s="56" t="s">
        <v>1237</v>
      </c>
      <c r="AG519" s="56" t="s">
        <v>2702</v>
      </c>
      <c r="AH519" s="56"/>
      <c r="AI519" s="56"/>
      <c r="AJ519" s="56"/>
      <c r="AK519" s="56"/>
      <c r="AL519" s="56"/>
      <c r="AM519" s="56"/>
      <c r="AN519" s="56"/>
      <c r="AO519" s="56"/>
      <c r="AP519" s="56"/>
      <c r="AQ519" s="131"/>
      <c r="AR519" s="130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</row>
    <row r="520" spans="1:56" x14ac:dyDescent="0.2">
      <c r="A520" s="56">
        <v>14103183</v>
      </c>
      <c r="B520" s="56">
        <v>175209462</v>
      </c>
      <c r="C520" s="56" t="s">
        <v>2048</v>
      </c>
      <c r="D520" s="56" t="s">
        <v>1339</v>
      </c>
      <c r="E520" s="56" t="s">
        <v>1047</v>
      </c>
      <c r="F520" s="56">
        <v>1</v>
      </c>
      <c r="G520" s="56">
        <v>15313</v>
      </c>
      <c r="H520" s="56" t="s">
        <v>1048</v>
      </c>
      <c r="I520" s="56" t="s">
        <v>1340</v>
      </c>
      <c r="J520" s="129">
        <v>46230</v>
      </c>
      <c r="K520" s="130">
        <v>0.55208333333333337</v>
      </c>
      <c r="L520" s="130">
        <v>0.55555555555555558</v>
      </c>
      <c r="M520" s="56" t="s">
        <v>1050</v>
      </c>
      <c r="N520" s="129">
        <v>46230</v>
      </c>
      <c r="O520" s="130">
        <v>0.57291666666666663</v>
      </c>
      <c r="P520" s="130">
        <v>0.56930555555555551</v>
      </c>
      <c r="Q520" s="56" t="s">
        <v>1050</v>
      </c>
      <c r="R520" s="56" t="s">
        <v>35</v>
      </c>
      <c r="S520" s="56">
        <v>31</v>
      </c>
      <c r="T520" s="131">
        <v>3.4722222222222099E-3</v>
      </c>
      <c r="U520" s="130">
        <v>-3.6111111111111205E-3</v>
      </c>
      <c r="V520" s="56" t="s">
        <v>1051</v>
      </c>
      <c r="W520" s="56" t="s">
        <v>1052</v>
      </c>
      <c r="X520" s="56" t="s">
        <v>1053</v>
      </c>
      <c r="Y520" s="56">
        <v>31</v>
      </c>
      <c r="Z520" s="56" t="s">
        <v>1054</v>
      </c>
      <c r="AA520" s="56" t="s">
        <v>1341</v>
      </c>
      <c r="AB520" s="56" t="s">
        <v>1342</v>
      </c>
      <c r="AC520" s="56" t="s">
        <v>1069</v>
      </c>
      <c r="AD520" s="56" t="s">
        <v>1343</v>
      </c>
      <c r="AE520" s="56" t="s">
        <v>1344</v>
      </c>
      <c r="AF520" s="56" t="s">
        <v>1237</v>
      </c>
      <c r="AG520" s="56" t="s">
        <v>2049</v>
      </c>
      <c r="AH520" s="56"/>
      <c r="AI520" s="56"/>
      <c r="AJ520" s="56"/>
      <c r="AK520" s="56"/>
      <c r="AL520" s="56"/>
      <c r="AM520" s="56"/>
      <c r="AN520" s="56"/>
      <c r="AO520" s="56"/>
      <c r="AP520" s="56"/>
      <c r="AQ520" s="131"/>
      <c r="AR520" s="130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</row>
    <row r="521" spans="1:56" x14ac:dyDescent="0.2">
      <c r="A521" s="56">
        <v>14100843</v>
      </c>
      <c r="B521" s="56">
        <v>175220263</v>
      </c>
      <c r="C521" s="56" t="s">
        <v>2703</v>
      </c>
      <c r="D521" s="56" t="s">
        <v>1792</v>
      </c>
      <c r="E521" s="56" t="s">
        <v>1047</v>
      </c>
      <c r="F521" s="56">
        <v>57</v>
      </c>
      <c r="G521" s="56">
        <v>5476</v>
      </c>
      <c r="H521" s="56" t="s">
        <v>1048</v>
      </c>
      <c r="I521" s="56" t="s">
        <v>1158</v>
      </c>
      <c r="J521" s="129">
        <v>46230</v>
      </c>
      <c r="K521" s="130">
        <v>0.55208333333333337</v>
      </c>
      <c r="L521" s="130">
        <v>0.56874999999999998</v>
      </c>
      <c r="M521" s="56" t="s">
        <v>1050</v>
      </c>
      <c r="N521" s="129">
        <v>46230</v>
      </c>
      <c r="O521" s="130">
        <v>0.59375</v>
      </c>
      <c r="P521" s="130">
        <v>0.59201388888888884</v>
      </c>
      <c r="Q521" s="56" t="s">
        <v>1050</v>
      </c>
      <c r="R521" s="56" t="s">
        <v>221</v>
      </c>
      <c r="S521" s="56">
        <v>31</v>
      </c>
      <c r="T521" s="131">
        <v>1.6666666666666607E-2</v>
      </c>
      <c r="U521" s="130">
        <v>-1.7361111111111605E-3</v>
      </c>
      <c r="V521" s="56" t="s">
        <v>1051</v>
      </c>
      <c r="W521" s="56" t="s">
        <v>1052</v>
      </c>
      <c r="X521" s="56" t="s">
        <v>1053</v>
      </c>
      <c r="Y521" s="56">
        <v>31</v>
      </c>
      <c r="Z521" s="56" t="s">
        <v>1054</v>
      </c>
      <c r="AA521" s="56" t="s">
        <v>1793</v>
      </c>
      <c r="AB521" s="56" t="s">
        <v>1160</v>
      </c>
      <c r="AC521" s="56" t="s">
        <v>1069</v>
      </c>
      <c r="AD521" s="56" t="s">
        <v>1794</v>
      </c>
      <c r="AE521" s="56" t="s">
        <v>1795</v>
      </c>
      <c r="AF521" s="56" t="s">
        <v>1237</v>
      </c>
      <c r="AG521" s="56" t="s">
        <v>2704</v>
      </c>
      <c r="AH521" s="56"/>
      <c r="AI521" s="56"/>
      <c r="AJ521" s="56"/>
      <c r="AK521" s="56"/>
      <c r="AL521" s="56"/>
      <c r="AM521" s="56"/>
      <c r="AN521" s="56"/>
      <c r="AO521" s="56"/>
      <c r="AP521" s="56"/>
      <c r="AQ521" s="131"/>
      <c r="AR521" s="130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</row>
    <row r="522" spans="1:56" x14ac:dyDescent="0.2">
      <c r="A522" s="56">
        <v>14123312</v>
      </c>
      <c r="B522" s="56">
        <v>175225129</v>
      </c>
      <c r="C522" s="56" t="s">
        <v>2050</v>
      </c>
      <c r="D522" s="56" t="s">
        <v>1534</v>
      </c>
      <c r="E522" s="56" t="s">
        <v>1047</v>
      </c>
      <c r="F522" s="56">
        <v>173</v>
      </c>
      <c r="G522" s="56">
        <v>6901</v>
      </c>
      <c r="H522" s="56" t="s">
        <v>1048</v>
      </c>
      <c r="I522" s="56" t="s">
        <v>1172</v>
      </c>
      <c r="J522" s="129">
        <v>46230</v>
      </c>
      <c r="K522" s="130">
        <v>0.55347222222222225</v>
      </c>
      <c r="L522" s="130">
        <v>0.55694444444444446</v>
      </c>
      <c r="M522" s="56" t="s">
        <v>1050</v>
      </c>
      <c r="N522" s="129">
        <v>46230</v>
      </c>
      <c r="O522" s="130">
        <v>0.61458333333333337</v>
      </c>
      <c r="P522" s="130">
        <v>0.60035879629629629</v>
      </c>
      <c r="Q522" s="56" t="s">
        <v>1050</v>
      </c>
      <c r="R522" s="56" t="s">
        <v>496</v>
      </c>
      <c r="S522" s="56">
        <v>31</v>
      </c>
      <c r="T522" s="131">
        <v>3.4722222222222099E-3</v>
      </c>
      <c r="U522" s="130">
        <v>-1.4224537037037077E-2</v>
      </c>
      <c r="V522" s="56" t="s">
        <v>1051</v>
      </c>
      <c r="W522" s="56" t="s">
        <v>1052</v>
      </c>
      <c r="X522" s="56" t="s">
        <v>1053</v>
      </c>
      <c r="Y522" s="56">
        <v>31</v>
      </c>
      <c r="Z522" s="56" t="s">
        <v>1054</v>
      </c>
      <c r="AA522" s="56" t="s">
        <v>1535</v>
      </c>
      <c r="AB522" s="56" t="s">
        <v>1174</v>
      </c>
      <c r="AC522" s="56" t="s">
        <v>1057</v>
      </c>
      <c r="AD522" s="56" t="s">
        <v>1536</v>
      </c>
      <c r="AE522" s="56" t="s">
        <v>1537</v>
      </c>
      <c r="AF522" s="56" t="s">
        <v>1237</v>
      </c>
      <c r="AG522" s="56" t="s">
        <v>2051</v>
      </c>
      <c r="AH522" s="56"/>
      <c r="AI522" s="56"/>
      <c r="AJ522" s="56"/>
      <c r="AK522" s="56"/>
      <c r="AL522" s="56"/>
      <c r="AM522" s="56"/>
      <c r="AN522" s="56"/>
      <c r="AO522" s="56"/>
      <c r="AP522" s="56"/>
      <c r="AQ522" s="131"/>
      <c r="AR522" s="130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</row>
    <row r="523" spans="1:56" x14ac:dyDescent="0.2">
      <c r="A523" s="56">
        <v>14123530</v>
      </c>
      <c r="B523" s="56">
        <v>175204286</v>
      </c>
      <c r="C523" s="56" t="s">
        <v>2705</v>
      </c>
      <c r="D523" s="56" t="s">
        <v>1490</v>
      </c>
      <c r="E523" s="56" t="s">
        <v>1047</v>
      </c>
      <c r="F523" s="56">
        <v>76</v>
      </c>
      <c r="G523" s="56">
        <v>13900</v>
      </c>
      <c r="H523" s="56" t="s">
        <v>1048</v>
      </c>
      <c r="I523" s="56" t="s">
        <v>1075</v>
      </c>
      <c r="J523" s="129">
        <v>46230</v>
      </c>
      <c r="K523" s="130">
        <v>0.55902777777777779</v>
      </c>
      <c r="L523" s="130">
        <v>0.56388888888888888</v>
      </c>
      <c r="M523" s="56" t="s">
        <v>1050</v>
      </c>
      <c r="N523" s="129">
        <v>46230</v>
      </c>
      <c r="O523" s="130">
        <v>0.60069444444444442</v>
      </c>
      <c r="P523" s="130">
        <v>0.59053240740740742</v>
      </c>
      <c r="Q523" s="56" t="s">
        <v>1050</v>
      </c>
      <c r="R523" s="56" t="s">
        <v>527</v>
      </c>
      <c r="S523" s="56">
        <v>31</v>
      </c>
      <c r="T523" s="131">
        <v>4.8611111111110938E-3</v>
      </c>
      <c r="U523" s="130">
        <v>-1.0162037037036997E-2</v>
      </c>
      <c r="V523" s="56" t="s">
        <v>1051</v>
      </c>
      <c r="W523" s="56" t="s">
        <v>1052</v>
      </c>
      <c r="X523" s="56" t="s">
        <v>1053</v>
      </c>
      <c r="Y523" s="56">
        <v>31</v>
      </c>
      <c r="Z523" s="56" t="s">
        <v>1054</v>
      </c>
      <c r="AA523" s="56" t="s">
        <v>2706</v>
      </c>
      <c r="AB523" s="56" t="s">
        <v>1077</v>
      </c>
      <c r="AC523" s="56" t="s">
        <v>1078</v>
      </c>
      <c r="AD523" s="56" t="s">
        <v>2707</v>
      </c>
      <c r="AE523" s="56" t="s">
        <v>2708</v>
      </c>
      <c r="AF523" s="56" t="s">
        <v>1237</v>
      </c>
      <c r="AG523" s="56" t="s">
        <v>2709</v>
      </c>
      <c r="AH523" s="56"/>
      <c r="AI523" s="56"/>
      <c r="AJ523" s="56"/>
      <c r="AK523" s="56"/>
      <c r="AL523" s="56"/>
      <c r="AM523" s="56"/>
      <c r="AN523" s="56"/>
      <c r="AO523" s="56"/>
      <c r="AP523" s="56"/>
      <c r="AQ523" s="131"/>
      <c r="AR523" s="130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</row>
    <row r="524" spans="1:56" x14ac:dyDescent="0.2">
      <c r="A524" s="56">
        <v>14110973</v>
      </c>
      <c r="B524" s="56">
        <v>175213432</v>
      </c>
      <c r="C524" s="56" t="s">
        <v>2710</v>
      </c>
      <c r="D524" s="56" t="s">
        <v>2711</v>
      </c>
      <c r="E524" s="56" t="s">
        <v>1047</v>
      </c>
      <c r="F524" s="56">
        <v>93</v>
      </c>
      <c r="G524" s="56">
        <v>13417</v>
      </c>
      <c r="H524" s="56" t="s">
        <v>1048</v>
      </c>
      <c r="I524" s="56" t="s">
        <v>1104</v>
      </c>
      <c r="J524" s="129">
        <v>46230</v>
      </c>
      <c r="K524" s="130">
        <v>0.56041666666666667</v>
      </c>
      <c r="L524" s="130">
        <v>0.56388888888888888</v>
      </c>
      <c r="M524" s="56" t="s">
        <v>1050</v>
      </c>
      <c r="N524" s="129">
        <v>46230</v>
      </c>
      <c r="O524" s="130">
        <v>0.60069444444444442</v>
      </c>
      <c r="P524" s="130">
        <v>0.58488425925925924</v>
      </c>
      <c r="Q524" s="56" t="s">
        <v>1050</v>
      </c>
      <c r="R524" s="56" t="s">
        <v>106</v>
      </c>
      <c r="S524" s="56">
        <v>31</v>
      </c>
      <c r="T524" s="131">
        <v>3.4722222222222099E-3</v>
      </c>
      <c r="U524" s="130">
        <v>-1.5810185185185177E-2</v>
      </c>
      <c r="V524" s="56" t="s">
        <v>1051</v>
      </c>
      <c r="W524" s="56" t="s">
        <v>1052</v>
      </c>
      <c r="X524" s="56" t="s">
        <v>1053</v>
      </c>
      <c r="Y524" s="56">
        <v>31</v>
      </c>
      <c r="Z524" s="56" t="s">
        <v>1054</v>
      </c>
      <c r="AA524" s="56" t="s">
        <v>2712</v>
      </c>
      <c r="AB524" s="56" t="s">
        <v>1106</v>
      </c>
      <c r="AC524" s="56" t="s">
        <v>1078</v>
      </c>
      <c r="AD524" s="56" t="s">
        <v>2713</v>
      </c>
      <c r="AE524" s="56" t="s">
        <v>2714</v>
      </c>
      <c r="AF524" s="56" t="s">
        <v>1237</v>
      </c>
      <c r="AG524" s="56" t="s">
        <v>2715</v>
      </c>
      <c r="AH524" s="56"/>
      <c r="AI524" s="56"/>
      <c r="AJ524" s="56"/>
      <c r="AK524" s="56"/>
      <c r="AL524" s="56"/>
      <c r="AM524" s="56"/>
      <c r="AN524" s="56"/>
      <c r="AO524" s="56"/>
      <c r="AP524" s="56"/>
      <c r="AQ524" s="131"/>
      <c r="AR524" s="130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</row>
    <row r="525" spans="1:56" x14ac:dyDescent="0.2">
      <c r="A525" s="56">
        <v>14123649</v>
      </c>
      <c r="B525" s="56">
        <v>175227008</v>
      </c>
      <c r="C525" s="56" t="s">
        <v>2716</v>
      </c>
      <c r="D525" s="56" t="s">
        <v>2420</v>
      </c>
      <c r="E525" s="56" t="s">
        <v>1047</v>
      </c>
      <c r="F525" s="56">
        <v>254</v>
      </c>
      <c r="G525" s="56">
        <v>13850</v>
      </c>
      <c r="H525" s="56" t="s">
        <v>1048</v>
      </c>
      <c r="I525" s="56" t="s">
        <v>1172</v>
      </c>
      <c r="J525" s="129">
        <v>46230</v>
      </c>
      <c r="K525" s="130">
        <v>0.56874999999999998</v>
      </c>
      <c r="L525" s="130">
        <v>0.57361111111111107</v>
      </c>
      <c r="M525" s="56" t="s">
        <v>1050</v>
      </c>
      <c r="N525" s="129">
        <v>46230</v>
      </c>
      <c r="O525" s="130">
        <v>0.61458333333333337</v>
      </c>
      <c r="P525" s="130">
        <v>0.61333333333333329</v>
      </c>
      <c r="Q525" s="56" t="s">
        <v>1050</v>
      </c>
      <c r="R525" s="56" t="s">
        <v>902</v>
      </c>
      <c r="S525" s="56">
        <v>31</v>
      </c>
      <c r="T525" s="131">
        <v>4.8611111111110938E-3</v>
      </c>
      <c r="U525" s="130">
        <v>-1.2500000000000844E-3</v>
      </c>
      <c r="V525" s="56" t="s">
        <v>1051</v>
      </c>
      <c r="W525" s="56" t="s">
        <v>1052</v>
      </c>
      <c r="X525" s="56" t="s">
        <v>1053</v>
      </c>
      <c r="Y525" s="56">
        <v>31</v>
      </c>
      <c r="Z525" s="56" t="s">
        <v>1054</v>
      </c>
      <c r="AA525" s="56" t="s">
        <v>2421</v>
      </c>
      <c r="AB525" s="56" t="s">
        <v>1210</v>
      </c>
      <c r="AC525" s="56" t="s">
        <v>1057</v>
      </c>
      <c r="AD525" s="56" t="s">
        <v>2422</v>
      </c>
      <c r="AE525" s="56" t="s">
        <v>2423</v>
      </c>
      <c r="AF525" s="56" t="s">
        <v>1237</v>
      </c>
      <c r="AG525" s="56" t="s">
        <v>2717</v>
      </c>
      <c r="AH525" s="56"/>
      <c r="AI525" s="56"/>
      <c r="AJ525" s="56"/>
      <c r="AK525" s="56"/>
      <c r="AL525" s="56"/>
      <c r="AM525" s="56"/>
      <c r="AN525" s="56"/>
      <c r="AO525" s="56"/>
      <c r="AP525" s="56"/>
      <c r="AQ525" s="131"/>
      <c r="AR525" s="130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</row>
    <row r="526" spans="1:56" x14ac:dyDescent="0.2">
      <c r="A526" s="56">
        <v>14119175</v>
      </c>
      <c r="B526" s="56">
        <v>175224160</v>
      </c>
      <c r="C526" s="56" t="s">
        <v>2718</v>
      </c>
      <c r="D526" s="56" t="s">
        <v>2719</v>
      </c>
      <c r="E526" s="56" t="s">
        <v>1047</v>
      </c>
      <c r="F526" s="56">
        <v>110</v>
      </c>
      <c r="G526" s="56">
        <v>15314</v>
      </c>
      <c r="H526" s="56" t="s">
        <v>1048</v>
      </c>
      <c r="I526" s="56" t="s">
        <v>1172</v>
      </c>
      <c r="J526" s="129">
        <v>46230</v>
      </c>
      <c r="K526" s="130">
        <v>0.56944444444444442</v>
      </c>
      <c r="L526" s="130">
        <v>0.57361111111111107</v>
      </c>
      <c r="M526" s="56" t="s">
        <v>1050</v>
      </c>
      <c r="N526" s="129">
        <v>46230</v>
      </c>
      <c r="O526" s="130">
        <v>0.61458333333333337</v>
      </c>
      <c r="P526" s="130">
        <v>0.60250000000000004</v>
      </c>
      <c r="Q526" s="56" t="s">
        <v>1050</v>
      </c>
      <c r="R526" s="56" t="s">
        <v>236</v>
      </c>
      <c r="S526" s="56">
        <v>31</v>
      </c>
      <c r="T526" s="131">
        <v>4.1666666666666519E-3</v>
      </c>
      <c r="U526" s="130">
        <v>-1.2083333333333335E-2</v>
      </c>
      <c r="V526" s="56" t="s">
        <v>1051</v>
      </c>
      <c r="W526" s="56" t="s">
        <v>1052</v>
      </c>
      <c r="X526" s="56" t="s">
        <v>1053</v>
      </c>
      <c r="Y526" s="56">
        <v>31</v>
      </c>
      <c r="Z526" s="56" t="s">
        <v>1054</v>
      </c>
      <c r="AA526" s="56" t="s">
        <v>2720</v>
      </c>
      <c r="AB526" s="56" t="s">
        <v>1210</v>
      </c>
      <c r="AC526" s="56" t="s">
        <v>1057</v>
      </c>
      <c r="AD526" s="56" t="s">
        <v>2721</v>
      </c>
      <c r="AE526" s="56" t="s">
        <v>2722</v>
      </c>
      <c r="AF526" s="56" t="s">
        <v>1237</v>
      </c>
      <c r="AG526" s="56" t="s">
        <v>2723</v>
      </c>
      <c r="AH526" s="56"/>
      <c r="AI526" s="56"/>
      <c r="AJ526" s="56"/>
      <c r="AK526" s="56"/>
      <c r="AL526" s="56"/>
      <c r="AM526" s="56"/>
      <c r="AN526" s="56"/>
      <c r="AO526" s="56"/>
      <c r="AP526" s="56"/>
      <c r="AQ526" s="131"/>
      <c r="AR526" s="130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</row>
    <row r="527" spans="1:56" x14ac:dyDescent="0.2">
      <c r="A527" s="56">
        <v>14123246</v>
      </c>
      <c r="B527" s="56">
        <v>175227019</v>
      </c>
      <c r="C527" s="56" t="s">
        <v>2724</v>
      </c>
      <c r="D527" s="56" t="s">
        <v>2113</v>
      </c>
      <c r="E527" s="56" t="s">
        <v>1047</v>
      </c>
      <c r="F527" s="56">
        <v>258</v>
      </c>
      <c r="G527" s="56">
        <v>13512</v>
      </c>
      <c r="H527" s="56" t="s">
        <v>1048</v>
      </c>
      <c r="I527" s="56" t="s">
        <v>1172</v>
      </c>
      <c r="J527" s="129">
        <v>46230</v>
      </c>
      <c r="K527" s="130">
        <v>0.5708333333333333</v>
      </c>
      <c r="L527" s="130">
        <v>0.57638888888888884</v>
      </c>
      <c r="M527" s="56" t="s">
        <v>1050</v>
      </c>
      <c r="N527" s="129">
        <v>46230</v>
      </c>
      <c r="O527" s="130">
        <v>0.61458333333333337</v>
      </c>
      <c r="P527" s="130">
        <v>0.60063657407407411</v>
      </c>
      <c r="Q527" s="56" t="s">
        <v>1050</v>
      </c>
      <c r="R527" s="56" t="s">
        <v>489</v>
      </c>
      <c r="S527" s="56">
        <v>31</v>
      </c>
      <c r="T527" s="131">
        <v>5.5555555555555358E-3</v>
      </c>
      <c r="U527" s="130">
        <v>-1.3946759259259256E-2</v>
      </c>
      <c r="V527" s="56" t="s">
        <v>1051</v>
      </c>
      <c r="W527" s="56" t="s">
        <v>1052</v>
      </c>
      <c r="X527" s="56" t="s">
        <v>1053</v>
      </c>
      <c r="Y527" s="56">
        <v>31</v>
      </c>
      <c r="Z527" s="56" t="s">
        <v>1054</v>
      </c>
      <c r="AA527" s="56" t="s">
        <v>2114</v>
      </c>
      <c r="AB527" s="56" t="s">
        <v>1210</v>
      </c>
      <c r="AC527" s="56" t="s">
        <v>1057</v>
      </c>
      <c r="AD527" s="56" t="s">
        <v>2115</v>
      </c>
      <c r="AE527" s="56" t="s">
        <v>2116</v>
      </c>
      <c r="AF527" s="56" t="s">
        <v>1237</v>
      </c>
      <c r="AG527" s="56" t="s">
        <v>2725</v>
      </c>
      <c r="AH527" s="56"/>
      <c r="AI527" s="56"/>
      <c r="AJ527" s="56"/>
      <c r="AK527" s="56"/>
      <c r="AL527" s="56"/>
      <c r="AM527" s="56"/>
      <c r="AN527" s="56"/>
      <c r="AO527" s="56"/>
      <c r="AP527" s="56"/>
      <c r="AQ527" s="131"/>
      <c r="AR527" s="130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</row>
    <row r="528" spans="1:56" x14ac:dyDescent="0.2">
      <c r="A528" s="56">
        <v>14121896</v>
      </c>
      <c r="B528" s="56">
        <v>175215784</v>
      </c>
      <c r="C528" s="56" t="s">
        <v>2726</v>
      </c>
      <c r="D528" s="56" t="s">
        <v>2727</v>
      </c>
      <c r="E528" s="56" t="s">
        <v>1047</v>
      </c>
      <c r="F528" s="56">
        <v>3</v>
      </c>
      <c r="G528" s="56">
        <v>6252</v>
      </c>
      <c r="H528" s="56" t="s">
        <v>1048</v>
      </c>
      <c r="I528" s="56" t="s">
        <v>1358</v>
      </c>
      <c r="J528" s="129">
        <v>46230</v>
      </c>
      <c r="K528" s="130">
        <v>0.63194444444444442</v>
      </c>
      <c r="L528" s="130">
        <v>0.68819444444444444</v>
      </c>
      <c r="M528" s="56" t="s">
        <v>1050</v>
      </c>
      <c r="N528" s="129">
        <v>46230</v>
      </c>
      <c r="O528" s="130">
        <v>0.65972222222222221</v>
      </c>
      <c r="P528" s="130">
        <v>0.71597222222222223</v>
      </c>
      <c r="Q528" s="56" t="s">
        <v>1359</v>
      </c>
      <c r="R528" s="56" t="s">
        <v>362</v>
      </c>
      <c r="S528" s="56">
        <v>31</v>
      </c>
      <c r="T528" s="131">
        <v>5.6250000000000022E-2</v>
      </c>
      <c r="U528" s="130">
        <v>5.6250000000000022E-2</v>
      </c>
      <c r="V528" s="56" t="s">
        <v>1051</v>
      </c>
      <c r="W528" s="56" t="s">
        <v>1065</v>
      </c>
      <c r="X528" s="56" t="s">
        <v>1066</v>
      </c>
      <c r="Y528" s="56">
        <v>31</v>
      </c>
      <c r="Z528" s="56" t="s">
        <v>1054</v>
      </c>
      <c r="AA528" s="56" t="s">
        <v>2728</v>
      </c>
      <c r="AB528" s="56" t="s">
        <v>1361</v>
      </c>
      <c r="AC528" s="56" t="s">
        <v>1069</v>
      </c>
      <c r="AD528" s="56" t="s">
        <v>2729</v>
      </c>
      <c r="AE528" s="56" t="s">
        <v>2730</v>
      </c>
      <c r="AF528" s="56" t="s">
        <v>1237</v>
      </c>
      <c r="AG528" s="56" t="s">
        <v>2731</v>
      </c>
      <c r="AH528" s="56"/>
      <c r="AI528" s="56"/>
      <c r="AJ528" s="56"/>
      <c r="AK528" s="56"/>
      <c r="AL528" s="56"/>
      <c r="AM528" s="56"/>
      <c r="AN528" s="56"/>
      <c r="AO528" s="56"/>
      <c r="AP528" s="56"/>
      <c r="AQ528" s="131"/>
      <c r="AR528" s="130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</row>
    <row r="529" spans="1:56" x14ac:dyDescent="0.2">
      <c r="A529" s="56">
        <v>14123473</v>
      </c>
      <c r="B529" s="56">
        <v>175223999</v>
      </c>
      <c r="C529" s="56" t="s">
        <v>1305</v>
      </c>
      <c r="D529" s="56" t="s">
        <v>1111</v>
      </c>
      <c r="E529" s="56" t="s">
        <v>1047</v>
      </c>
      <c r="F529" s="56">
        <v>19</v>
      </c>
      <c r="G529" s="56">
        <v>6906</v>
      </c>
      <c r="H529" s="56" t="s">
        <v>1048</v>
      </c>
      <c r="I529" s="56" t="s">
        <v>1090</v>
      </c>
      <c r="J529" s="129">
        <v>46230</v>
      </c>
      <c r="K529" s="130">
        <v>0.68402777777777779</v>
      </c>
      <c r="L529" s="130">
        <v>0.69305555555555554</v>
      </c>
      <c r="M529" s="56" t="s">
        <v>1050</v>
      </c>
      <c r="N529" s="129">
        <v>46230</v>
      </c>
      <c r="O529" s="130">
        <v>0.76736111111111116</v>
      </c>
      <c r="P529" s="130">
        <v>0.73918981481481483</v>
      </c>
      <c r="Q529" s="56" t="s">
        <v>1050</v>
      </c>
      <c r="R529" s="56" t="s">
        <v>514</v>
      </c>
      <c r="S529" s="56">
        <v>31</v>
      </c>
      <c r="T529" s="131">
        <v>9.0277777777777457E-3</v>
      </c>
      <c r="U529" s="130">
        <v>-2.8171296296296333E-2</v>
      </c>
      <c r="V529" s="56" t="s">
        <v>1051</v>
      </c>
      <c r="W529" s="56" t="s">
        <v>1052</v>
      </c>
      <c r="X529" s="56" t="s">
        <v>1053</v>
      </c>
      <c r="Y529" s="56">
        <v>31</v>
      </c>
      <c r="Z529" s="56" t="s">
        <v>1054</v>
      </c>
      <c r="AA529" s="56" t="s">
        <v>1112</v>
      </c>
      <c r="AB529" s="56" t="s">
        <v>1092</v>
      </c>
      <c r="AC529" s="56" t="s">
        <v>1078</v>
      </c>
      <c r="AD529" s="56" t="s">
        <v>1113</v>
      </c>
      <c r="AE529" s="56" t="s">
        <v>1114</v>
      </c>
      <c r="AF529" s="56" t="s">
        <v>1237</v>
      </c>
      <c r="AG529" s="56" t="s">
        <v>1306</v>
      </c>
      <c r="AH529" s="56"/>
      <c r="AI529" s="56"/>
      <c r="AJ529" s="56"/>
      <c r="AK529" s="56"/>
      <c r="AL529" s="56"/>
      <c r="AM529" s="56"/>
      <c r="AN529" s="56"/>
      <c r="AO529" s="56"/>
      <c r="AP529" s="56"/>
      <c r="AQ529" s="131"/>
      <c r="AR529" s="130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</row>
    <row r="530" spans="1:56" x14ac:dyDescent="0.2">
      <c r="A530" s="56">
        <v>14123460</v>
      </c>
      <c r="B530" s="56">
        <v>175224115</v>
      </c>
      <c r="C530" s="56" t="s">
        <v>2461</v>
      </c>
      <c r="D530" s="56" t="s">
        <v>2171</v>
      </c>
      <c r="E530" s="56" t="s">
        <v>1047</v>
      </c>
      <c r="F530" s="56">
        <v>77</v>
      </c>
      <c r="G530" s="56">
        <v>4446</v>
      </c>
      <c r="H530" s="56" t="s">
        <v>1048</v>
      </c>
      <c r="I530" s="56" t="s">
        <v>1090</v>
      </c>
      <c r="J530" s="129">
        <v>46230</v>
      </c>
      <c r="K530" s="130">
        <v>0.70138888888888884</v>
      </c>
      <c r="L530" s="130">
        <v>0.70972222222222225</v>
      </c>
      <c r="M530" s="56" t="s">
        <v>1050</v>
      </c>
      <c r="N530" s="129">
        <v>46230</v>
      </c>
      <c r="O530" s="130">
        <v>0.76736111111111116</v>
      </c>
      <c r="P530" s="130">
        <v>0.7596180555555555</v>
      </c>
      <c r="Q530" s="56" t="s">
        <v>1050</v>
      </c>
      <c r="R530" s="56" t="s">
        <v>510</v>
      </c>
      <c r="S530" s="56">
        <v>31</v>
      </c>
      <c r="T530" s="131">
        <v>8.3333333333334147E-3</v>
      </c>
      <c r="U530" s="130">
        <v>-7.7430555555556557E-3</v>
      </c>
      <c r="V530" s="56" t="s">
        <v>1051</v>
      </c>
      <c r="W530" s="56" t="s">
        <v>1052</v>
      </c>
      <c r="X530" s="56" t="s">
        <v>1053</v>
      </c>
      <c r="Y530" s="56">
        <v>31</v>
      </c>
      <c r="Z530" s="56" t="s">
        <v>1054</v>
      </c>
      <c r="AA530" s="56" t="s">
        <v>2172</v>
      </c>
      <c r="AB530" s="56" t="s">
        <v>1092</v>
      </c>
      <c r="AC530" s="56" t="s">
        <v>1078</v>
      </c>
      <c r="AD530" s="56" t="s">
        <v>2173</v>
      </c>
      <c r="AE530" s="56" t="s">
        <v>2174</v>
      </c>
      <c r="AF530" s="56" t="s">
        <v>1237</v>
      </c>
      <c r="AG530" s="56" t="s">
        <v>2462</v>
      </c>
      <c r="AH530" s="56"/>
      <c r="AI530" s="56"/>
      <c r="AJ530" s="56"/>
      <c r="AK530" s="56"/>
      <c r="AL530" s="56"/>
      <c r="AM530" s="56"/>
      <c r="AN530" s="56"/>
      <c r="AO530" s="56"/>
      <c r="AP530" s="56"/>
      <c r="AQ530" s="131"/>
      <c r="AR530" s="130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</row>
    <row r="531" spans="1:56" x14ac:dyDescent="0.2">
      <c r="A531" s="56">
        <v>14116262</v>
      </c>
      <c r="B531" s="56">
        <v>175218741</v>
      </c>
      <c r="C531" s="56" t="s">
        <v>2295</v>
      </c>
      <c r="D531" s="56" t="s">
        <v>2296</v>
      </c>
      <c r="E531" s="56" t="s">
        <v>1047</v>
      </c>
      <c r="F531" s="56">
        <v>18</v>
      </c>
      <c r="G531" s="56">
        <v>11943</v>
      </c>
      <c r="H531" s="56" t="s">
        <v>1048</v>
      </c>
      <c r="I531" s="56" t="s">
        <v>1049</v>
      </c>
      <c r="J531" s="129">
        <v>46230</v>
      </c>
      <c r="K531" s="130">
        <v>0.70486111111111116</v>
      </c>
      <c r="L531" s="130">
        <v>0.70833333333333337</v>
      </c>
      <c r="M531" s="56" t="s">
        <v>1050</v>
      </c>
      <c r="N531" s="129">
        <v>46230</v>
      </c>
      <c r="O531" s="130">
        <v>0.76041666666666663</v>
      </c>
      <c r="P531" s="130">
        <v>0.74951388888888892</v>
      </c>
      <c r="Q531" s="56" t="s">
        <v>1050</v>
      </c>
      <c r="R531" s="56" t="s">
        <v>157</v>
      </c>
      <c r="S531" s="56">
        <v>31</v>
      </c>
      <c r="T531" s="131">
        <v>3.4722222222222099E-3</v>
      </c>
      <c r="U531" s="130">
        <v>-1.0902777777777706E-2</v>
      </c>
      <c r="V531" s="56" t="s">
        <v>1051</v>
      </c>
      <c r="W531" s="56" t="s">
        <v>1052</v>
      </c>
      <c r="X531" s="56" t="s">
        <v>1053</v>
      </c>
      <c r="Y531" s="56">
        <v>31</v>
      </c>
      <c r="Z531" s="56" t="s">
        <v>1054</v>
      </c>
      <c r="AA531" s="56" t="s">
        <v>2297</v>
      </c>
      <c r="AB531" s="56" t="s">
        <v>1056</v>
      </c>
      <c r="AC531" s="56" t="s">
        <v>1057</v>
      </c>
      <c r="AD531" s="56" t="s">
        <v>2298</v>
      </c>
      <c r="AE531" s="56" t="s">
        <v>2299</v>
      </c>
      <c r="AF531" s="56" t="s">
        <v>1237</v>
      </c>
      <c r="AG531" s="56" t="s">
        <v>2300</v>
      </c>
      <c r="AH531" s="56"/>
      <c r="AI531" s="56"/>
      <c r="AJ531" s="56"/>
      <c r="AK531" s="56"/>
      <c r="AL531" s="56"/>
      <c r="AM531" s="56"/>
      <c r="AN531" s="56"/>
      <c r="AO531" s="56"/>
      <c r="AP531" s="56"/>
      <c r="AQ531" s="131"/>
      <c r="AR531" s="130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</row>
    <row r="532" spans="1:56" x14ac:dyDescent="0.2">
      <c r="A532" s="56">
        <v>14123004</v>
      </c>
      <c r="B532" s="56">
        <v>175224051</v>
      </c>
      <c r="C532" s="56" t="s">
        <v>1313</v>
      </c>
      <c r="D532" s="56" t="s">
        <v>1125</v>
      </c>
      <c r="E532" s="56" t="s">
        <v>1047</v>
      </c>
      <c r="F532" s="56">
        <v>45</v>
      </c>
      <c r="G532" s="56">
        <v>4875</v>
      </c>
      <c r="H532" s="56" t="s">
        <v>1048</v>
      </c>
      <c r="I532" s="56" t="s">
        <v>1090</v>
      </c>
      <c r="J532" s="129">
        <v>46230</v>
      </c>
      <c r="K532" s="130">
        <v>0.70833333333333337</v>
      </c>
      <c r="L532" s="130">
        <v>0.71180555555555558</v>
      </c>
      <c r="M532" s="56" t="s">
        <v>1050</v>
      </c>
      <c r="N532" s="129">
        <v>46230</v>
      </c>
      <c r="O532" s="130">
        <v>0.76736111111111116</v>
      </c>
      <c r="P532" s="130">
        <v>0.75062499999999999</v>
      </c>
      <c r="Q532" s="56" t="s">
        <v>1050</v>
      </c>
      <c r="R532" s="56" t="s">
        <v>468</v>
      </c>
      <c r="S532" s="56">
        <v>31</v>
      </c>
      <c r="T532" s="131">
        <v>3.4722222222222099E-3</v>
      </c>
      <c r="U532" s="130">
        <v>-1.6736111111111174E-2</v>
      </c>
      <c r="V532" s="56" t="s">
        <v>1051</v>
      </c>
      <c r="W532" s="56" t="s">
        <v>1052</v>
      </c>
      <c r="X532" s="56" t="s">
        <v>1053</v>
      </c>
      <c r="Y532" s="56">
        <v>31</v>
      </c>
      <c r="Z532" s="56" t="s">
        <v>1054</v>
      </c>
      <c r="AA532" s="56" t="s">
        <v>1126</v>
      </c>
      <c r="AB532" s="56" t="s">
        <v>1092</v>
      </c>
      <c r="AC532" s="56" t="s">
        <v>1078</v>
      </c>
      <c r="AD532" s="56" t="s">
        <v>1127</v>
      </c>
      <c r="AE532" s="56" t="s">
        <v>1128</v>
      </c>
      <c r="AF532" s="56" t="s">
        <v>1237</v>
      </c>
      <c r="AG532" s="56" t="s">
        <v>1314</v>
      </c>
      <c r="AH532" s="56"/>
      <c r="AI532" s="56"/>
      <c r="AJ532" s="56"/>
      <c r="AK532" s="56"/>
      <c r="AL532" s="56"/>
      <c r="AM532" s="56"/>
      <c r="AN532" s="56"/>
      <c r="AO532" s="56"/>
      <c r="AP532" s="56"/>
      <c r="AQ532" s="131"/>
      <c r="AR532" s="130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</row>
    <row r="533" spans="1:56" x14ac:dyDescent="0.2">
      <c r="A533" s="56">
        <v>14107217</v>
      </c>
      <c r="B533" s="56">
        <v>175224119</v>
      </c>
      <c r="C533" s="56" t="s">
        <v>1315</v>
      </c>
      <c r="D533" s="56" t="s">
        <v>1316</v>
      </c>
      <c r="E533" s="56" t="s">
        <v>1047</v>
      </c>
      <c r="F533" s="56">
        <v>79</v>
      </c>
      <c r="G533" s="56">
        <v>6885</v>
      </c>
      <c r="H533" s="56" t="s">
        <v>1048</v>
      </c>
      <c r="I533" s="56" t="s">
        <v>1090</v>
      </c>
      <c r="J533" s="129">
        <v>46230</v>
      </c>
      <c r="K533" s="130">
        <v>0.70833333333333337</v>
      </c>
      <c r="L533" s="130">
        <v>0.71180555555555558</v>
      </c>
      <c r="M533" s="56" t="s">
        <v>1050</v>
      </c>
      <c r="N533" s="129">
        <v>46230</v>
      </c>
      <c r="O533" s="130">
        <v>0.76736111111111116</v>
      </c>
      <c r="P533" s="130">
        <v>0.74567129629629625</v>
      </c>
      <c r="Q533" s="56" t="s">
        <v>1050</v>
      </c>
      <c r="R533" s="56" t="s">
        <v>59</v>
      </c>
      <c r="S533" s="56">
        <v>31</v>
      </c>
      <c r="T533" s="131">
        <v>3.4722222222222099E-3</v>
      </c>
      <c r="U533" s="130">
        <v>-2.1689814814814912E-2</v>
      </c>
      <c r="V533" s="56" t="s">
        <v>1051</v>
      </c>
      <c r="W533" s="56" t="s">
        <v>1052</v>
      </c>
      <c r="X533" s="56" t="s">
        <v>1053</v>
      </c>
      <c r="Y533" s="56">
        <v>31</v>
      </c>
      <c r="Z533" s="56" t="s">
        <v>1054</v>
      </c>
      <c r="AA533" s="56" t="s">
        <v>1317</v>
      </c>
      <c r="AB533" s="56" t="s">
        <v>1092</v>
      </c>
      <c r="AC533" s="56" t="s">
        <v>1078</v>
      </c>
      <c r="AD533" s="56" t="s">
        <v>1318</v>
      </c>
      <c r="AE533" s="56" t="s">
        <v>1319</v>
      </c>
      <c r="AF533" s="56" t="s">
        <v>1237</v>
      </c>
      <c r="AG533" s="56" t="s">
        <v>1320</v>
      </c>
      <c r="AH533" s="56"/>
      <c r="AI533" s="56"/>
      <c r="AJ533" s="56"/>
      <c r="AK533" s="56"/>
      <c r="AL533" s="56"/>
      <c r="AM533" s="56"/>
      <c r="AN533" s="56"/>
      <c r="AO533" s="56"/>
      <c r="AP533" s="56"/>
      <c r="AQ533" s="131"/>
      <c r="AR533" s="130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</row>
    <row r="534" spans="1:56" x14ac:dyDescent="0.2">
      <c r="A534" s="56">
        <v>14123845</v>
      </c>
      <c r="B534" s="56">
        <v>175224610</v>
      </c>
      <c r="C534" s="56" t="s">
        <v>2301</v>
      </c>
      <c r="D534" s="56" t="s">
        <v>2302</v>
      </c>
      <c r="E534" s="56" t="s">
        <v>1047</v>
      </c>
      <c r="F534" s="56">
        <v>87</v>
      </c>
      <c r="G534" s="56">
        <v>5160</v>
      </c>
      <c r="H534" s="56" t="s">
        <v>1048</v>
      </c>
      <c r="I534" s="56" t="s">
        <v>1090</v>
      </c>
      <c r="J534" s="129">
        <v>46230</v>
      </c>
      <c r="K534" s="130">
        <v>0.70833333333333337</v>
      </c>
      <c r="L534" s="130">
        <v>0.71666666666666667</v>
      </c>
      <c r="M534" s="56" t="s">
        <v>1050</v>
      </c>
      <c r="N534" s="129">
        <v>46230</v>
      </c>
      <c r="O534" s="130">
        <v>0.76736111111111116</v>
      </c>
      <c r="P534" s="130">
        <v>0.75706018518518514</v>
      </c>
      <c r="Q534" s="56" t="s">
        <v>1050</v>
      </c>
      <c r="R534" s="56" t="s">
        <v>2303</v>
      </c>
      <c r="S534" s="56">
        <v>31</v>
      </c>
      <c r="T534" s="131">
        <v>8.3333333333333037E-3</v>
      </c>
      <c r="U534" s="130">
        <v>-1.0300925925926019E-2</v>
      </c>
      <c r="V534" s="56" t="s">
        <v>1051</v>
      </c>
      <c r="W534" s="56" t="s">
        <v>1052</v>
      </c>
      <c r="X534" s="56" t="s">
        <v>1053</v>
      </c>
      <c r="Y534" s="56">
        <v>31</v>
      </c>
      <c r="Z534" s="56" t="s">
        <v>1054</v>
      </c>
      <c r="AA534" s="56" t="s">
        <v>2304</v>
      </c>
      <c r="AB534" s="56" t="s">
        <v>1092</v>
      </c>
      <c r="AC534" s="56" t="s">
        <v>1078</v>
      </c>
      <c r="AD534" s="56" t="s">
        <v>2305</v>
      </c>
      <c r="AE534" s="56" t="s">
        <v>2306</v>
      </c>
      <c r="AF534" s="56" t="s">
        <v>1237</v>
      </c>
      <c r="AG534" s="56" t="s">
        <v>2307</v>
      </c>
      <c r="AH534" s="56"/>
      <c r="AI534" s="56"/>
      <c r="AJ534" s="56"/>
      <c r="AK534" s="56"/>
      <c r="AL534" s="56"/>
      <c r="AM534" s="56"/>
      <c r="AN534" s="56"/>
      <c r="AO534" s="56"/>
      <c r="AP534" s="56"/>
      <c r="AQ534" s="131"/>
      <c r="AR534" s="130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</row>
    <row r="535" spans="1:56" x14ac:dyDescent="0.2">
      <c r="A535" s="56">
        <v>14123080</v>
      </c>
      <c r="B535" s="56">
        <v>175224656</v>
      </c>
      <c r="C535" s="56" t="s">
        <v>2081</v>
      </c>
      <c r="D535" s="56" t="s">
        <v>1445</v>
      </c>
      <c r="E535" s="56" t="s">
        <v>1047</v>
      </c>
      <c r="F535" s="56">
        <v>89</v>
      </c>
      <c r="G535" s="56">
        <v>4411</v>
      </c>
      <c r="H535" s="56" t="s">
        <v>1048</v>
      </c>
      <c r="I535" s="56" t="s">
        <v>1090</v>
      </c>
      <c r="J535" s="129">
        <v>46230</v>
      </c>
      <c r="K535" s="130">
        <v>0.70833333333333337</v>
      </c>
      <c r="L535" s="130">
        <v>0.71180555555555558</v>
      </c>
      <c r="M535" s="56" t="s">
        <v>1050</v>
      </c>
      <c r="N535" s="129">
        <v>46230</v>
      </c>
      <c r="O535" s="130">
        <v>0.76736111111111116</v>
      </c>
      <c r="P535" s="130">
        <v>0.75247685185185187</v>
      </c>
      <c r="Q535" s="56" t="s">
        <v>1050</v>
      </c>
      <c r="R535" s="56" t="s">
        <v>475</v>
      </c>
      <c r="S535" s="56">
        <v>31</v>
      </c>
      <c r="T535" s="131">
        <v>3.4722222222222099E-3</v>
      </c>
      <c r="U535" s="130">
        <v>-1.4884259259259291E-2</v>
      </c>
      <c r="V535" s="56" t="s">
        <v>1051</v>
      </c>
      <c r="W535" s="56" t="s">
        <v>1052</v>
      </c>
      <c r="X535" s="56" t="s">
        <v>1053</v>
      </c>
      <c r="Y535" s="56">
        <v>31</v>
      </c>
      <c r="Z535" s="56" t="s">
        <v>1054</v>
      </c>
      <c r="AA535" s="56" t="s">
        <v>1446</v>
      </c>
      <c r="AB535" s="56" t="s">
        <v>1092</v>
      </c>
      <c r="AC535" s="56" t="s">
        <v>1078</v>
      </c>
      <c r="AD535" s="56" t="s">
        <v>1447</v>
      </c>
      <c r="AE535" s="56" t="s">
        <v>1448</v>
      </c>
      <c r="AF535" s="56" t="s">
        <v>1237</v>
      </c>
      <c r="AG535" s="56" t="s">
        <v>2082</v>
      </c>
      <c r="AH535" s="56"/>
      <c r="AI535" s="56"/>
      <c r="AJ535" s="56"/>
      <c r="AK535" s="56"/>
      <c r="AL535" s="56"/>
      <c r="AM535" s="56"/>
      <c r="AN535" s="56"/>
      <c r="AO535" s="56"/>
      <c r="AP535" s="56"/>
      <c r="AQ535" s="131"/>
      <c r="AR535" s="130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</row>
    <row r="536" spans="1:56" x14ac:dyDescent="0.2">
      <c r="A536" s="56">
        <v>14122495</v>
      </c>
      <c r="B536" s="56">
        <v>175204793</v>
      </c>
      <c r="C536" s="56" t="s">
        <v>2732</v>
      </c>
      <c r="D536" s="56" t="s">
        <v>2733</v>
      </c>
      <c r="E536" s="56" t="s">
        <v>1047</v>
      </c>
      <c r="F536" s="56">
        <v>2</v>
      </c>
      <c r="G536" s="56">
        <v>14891</v>
      </c>
      <c r="H536" s="56" t="s">
        <v>1048</v>
      </c>
      <c r="I536" s="56" t="s">
        <v>1407</v>
      </c>
      <c r="J536" s="129">
        <v>46230</v>
      </c>
      <c r="K536" s="130">
        <v>0.81944444444444442</v>
      </c>
      <c r="L536" s="130">
        <v>0.82499999999999996</v>
      </c>
      <c r="M536" s="56" t="s">
        <v>1050</v>
      </c>
      <c r="N536" s="129">
        <v>46230</v>
      </c>
      <c r="O536" s="130">
        <v>0.88888888888888884</v>
      </c>
      <c r="P536" s="130">
        <v>0.88055555555555554</v>
      </c>
      <c r="Q536" s="56" t="s">
        <v>1050</v>
      </c>
      <c r="R536" s="56" t="s">
        <v>423</v>
      </c>
      <c r="S536" s="56">
        <v>31</v>
      </c>
      <c r="T536" s="131">
        <v>5.5555555555555358E-3</v>
      </c>
      <c r="U536" s="130">
        <v>-8.3333333333333037E-3</v>
      </c>
      <c r="V536" s="56" t="s">
        <v>1051</v>
      </c>
      <c r="W536" s="56" t="s">
        <v>1052</v>
      </c>
      <c r="X536" s="56" t="s">
        <v>1053</v>
      </c>
      <c r="Y536" s="56">
        <v>31</v>
      </c>
      <c r="Z536" s="56" t="s">
        <v>1054</v>
      </c>
      <c r="AA536" s="56" t="s">
        <v>2734</v>
      </c>
      <c r="AB536" s="56" t="s">
        <v>1257</v>
      </c>
      <c r="AC536" s="56" t="s">
        <v>1069</v>
      </c>
      <c r="AD536" s="56" t="s">
        <v>2735</v>
      </c>
      <c r="AE536" s="56" t="s">
        <v>2736</v>
      </c>
      <c r="AF536" s="56" t="s">
        <v>1060</v>
      </c>
      <c r="AG536" s="56" t="s">
        <v>2737</v>
      </c>
      <c r="AH536" s="56"/>
      <c r="AI536" s="56"/>
      <c r="AJ536" s="56"/>
      <c r="AK536" s="56"/>
      <c r="AL536" s="56"/>
      <c r="AM536" s="56"/>
      <c r="AN536" s="56"/>
      <c r="AO536" s="56"/>
      <c r="AP536" s="56"/>
      <c r="AQ536" s="131"/>
      <c r="AR536" s="130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</row>
    <row r="537" spans="1:56" x14ac:dyDescent="0.2">
      <c r="A537" s="56">
        <v>14123332</v>
      </c>
      <c r="B537" s="56">
        <v>175227130</v>
      </c>
      <c r="C537" s="56" t="s">
        <v>2738</v>
      </c>
      <c r="D537" s="56" t="s">
        <v>2739</v>
      </c>
      <c r="E537" s="56" t="s">
        <v>1047</v>
      </c>
      <c r="F537" s="56">
        <v>1</v>
      </c>
      <c r="G537" s="56">
        <v>7914</v>
      </c>
      <c r="H537" s="56" t="s">
        <v>1048</v>
      </c>
      <c r="I537" s="56" t="s">
        <v>2740</v>
      </c>
      <c r="J537" s="129">
        <v>46230</v>
      </c>
      <c r="K537" s="130">
        <v>0.82777777777777772</v>
      </c>
      <c r="L537" s="130">
        <v>0.83125000000000004</v>
      </c>
      <c r="M537" s="56" t="s">
        <v>1050</v>
      </c>
      <c r="N537" s="129">
        <v>46230</v>
      </c>
      <c r="O537" s="130">
        <v>0.88541666666666663</v>
      </c>
      <c r="P537" s="130">
        <v>0.88611111111111107</v>
      </c>
      <c r="Q537" s="56" t="s">
        <v>1050</v>
      </c>
      <c r="R537" s="56" t="s">
        <v>501</v>
      </c>
      <c r="S537" s="56">
        <v>31</v>
      </c>
      <c r="T537" s="131">
        <v>3.4722222222223209E-3</v>
      </c>
      <c r="U537" s="130">
        <v>6.9444444444444198E-4</v>
      </c>
      <c r="V537" s="56" t="s">
        <v>1051</v>
      </c>
      <c r="W537" s="56" t="s">
        <v>1052</v>
      </c>
      <c r="X537" s="56" t="s">
        <v>1053</v>
      </c>
      <c r="Y537" s="56">
        <v>31</v>
      </c>
      <c r="Z537" s="56" t="s">
        <v>1054</v>
      </c>
      <c r="AA537" s="56" t="s">
        <v>2741</v>
      </c>
      <c r="AB537" s="56" t="s">
        <v>1342</v>
      </c>
      <c r="AC537" s="56" t="s">
        <v>1069</v>
      </c>
      <c r="AD537" s="56" t="s">
        <v>2742</v>
      </c>
      <c r="AE537" s="56" t="s">
        <v>2743</v>
      </c>
      <c r="AF537" s="56" t="s">
        <v>1336</v>
      </c>
      <c r="AG537" s="56" t="s">
        <v>2744</v>
      </c>
      <c r="AH537" s="56"/>
      <c r="AI537" s="56"/>
      <c r="AJ537" s="56"/>
      <c r="AK537" s="56"/>
      <c r="AL537" s="56"/>
      <c r="AM537" s="56"/>
      <c r="AN537" s="56"/>
      <c r="AO537" s="56"/>
      <c r="AP537" s="56"/>
      <c r="AQ537" s="131"/>
      <c r="AR537" s="130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</row>
    <row r="538" spans="1:56" x14ac:dyDescent="0.2">
      <c r="A538" s="56">
        <v>14113349</v>
      </c>
      <c r="B538" s="56">
        <v>175220258</v>
      </c>
      <c r="C538" s="56" t="s">
        <v>2745</v>
      </c>
      <c r="D538" s="56" t="s">
        <v>1399</v>
      </c>
      <c r="E538" s="56" t="s">
        <v>1047</v>
      </c>
      <c r="F538" s="56">
        <v>55</v>
      </c>
      <c r="G538" s="56">
        <v>7040</v>
      </c>
      <c r="H538" s="56" t="s">
        <v>1048</v>
      </c>
      <c r="I538" s="56" t="s">
        <v>1158</v>
      </c>
      <c r="J538" s="129">
        <v>46230</v>
      </c>
      <c r="K538" s="130">
        <v>0.85416666666666663</v>
      </c>
      <c r="L538" s="130">
        <v>0.85833333333333328</v>
      </c>
      <c r="M538" s="56" t="s">
        <v>1050</v>
      </c>
      <c r="N538" s="129">
        <v>46230</v>
      </c>
      <c r="O538" s="130">
        <v>0.90625</v>
      </c>
      <c r="P538" s="130">
        <v>0.90208333333333335</v>
      </c>
      <c r="Q538" s="56" t="s">
        <v>1050</v>
      </c>
      <c r="R538" s="56" t="s">
        <v>128</v>
      </c>
      <c r="S538" s="56">
        <v>31</v>
      </c>
      <c r="T538" s="131">
        <v>4.1666666666666519E-3</v>
      </c>
      <c r="U538" s="130">
        <v>-4.1666666666666519E-3</v>
      </c>
      <c r="V538" s="56" t="s">
        <v>1051</v>
      </c>
      <c r="W538" s="56" t="s">
        <v>1052</v>
      </c>
      <c r="X538" s="56" t="s">
        <v>1053</v>
      </c>
      <c r="Y538" s="56">
        <v>31</v>
      </c>
      <c r="Z538" s="56" t="s">
        <v>1054</v>
      </c>
      <c r="AA538" s="56" t="s">
        <v>2746</v>
      </c>
      <c r="AB538" s="56" t="s">
        <v>1160</v>
      </c>
      <c r="AC538" s="56" t="s">
        <v>1069</v>
      </c>
      <c r="AD538" s="56" t="s">
        <v>2747</v>
      </c>
      <c r="AE538" s="56" t="s">
        <v>2748</v>
      </c>
      <c r="AF538" s="56" t="s">
        <v>1336</v>
      </c>
      <c r="AG538" s="56" t="s">
        <v>2749</v>
      </c>
      <c r="AH538" s="56"/>
      <c r="AI538" s="56"/>
      <c r="AJ538" s="56"/>
      <c r="AK538" s="56"/>
      <c r="AL538" s="56"/>
      <c r="AM538" s="56"/>
      <c r="AN538" s="56"/>
      <c r="AO538" s="56"/>
      <c r="AP538" s="56"/>
      <c r="AQ538" s="131"/>
      <c r="AR538" s="130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</row>
    <row r="539" spans="1:56" x14ac:dyDescent="0.2">
      <c r="A539" s="56">
        <v>14121687</v>
      </c>
      <c r="B539" s="56">
        <v>175221285</v>
      </c>
      <c r="C539" s="56" t="s">
        <v>2750</v>
      </c>
      <c r="D539" s="56" t="s">
        <v>2751</v>
      </c>
      <c r="E539" s="56" t="s">
        <v>1047</v>
      </c>
      <c r="F539" s="56">
        <v>5</v>
      </c>
      <c r="G539" s="56">
        <v>7657</v>
      </c>
      <c r="H539" s="56" t="s">
        <v>1048</v>
      </c>
      <c r="I539" s="56" t="s">
        <v>2752</v>
      </c>
      <c r="J539" s="129">
        <v>46230</v>
      </c>
      <c r="K539" s="130">
        <v>0.86458333333333337</v>
      </c>
      <c r="L539" s="130">
        <v>0.87638888888888888</v>
      </c>
      <c r="M539" s="56" t="s">
        <v>1050</v>
      </c>
      <c r="N539" s="129">
        <v>46230</v>
      </c>
      <c r="O539" s="130">
        <v>0.90625</v>
      </c>
      <c r="P539" s="130">
        <v>0.93194444444444446</v>
      </c>
      <c r="Q539" s="56" t="s">
        <v>1050</v>
      </c>
      <c r="R539" s="56" t="s">
        <v>344</v>
      </c>
      <c r="S539" s="56">
        <v>31</v>
      </c>
      <c r="T539" s="131">
        <v>1.1805555555555514E-2</v>
      </c>
      <c r="U539" s="130">
        <v>2.5694444444444464E-2</v>
      </c>
      <c r="V539" s="56" t="s">
        <v>1051</v>
      </c>
      <c r="W539" s="56" t="s">
        <v>1065</v>
      </c>
      <c r="X539" s="56" t="s">
        <v>1066</v>
      </c>
      <c r="Y539" s="56">
        <v>31</v>
      </c>
      <c r="Z539" s="56" t="s">
        <v>1054</v>
      </c>
      <c r="AA539" s="56" t="s">
        <v>2753</v>
      </c>
      <c r="AB539" s="56" t="s">
        <v>1160</v>
      </c>
      <c r="AC539" s="56" t="s">
        <v>1069</v>
      </c>
      <c r="AD539" s="56" t="s">
        <v>2754</v>
      </c>
      <c r="AE539" s="56" t="s">
        <v>2755</v>
      </c>
      <c r="AF539" s="56" t="s">
        <v>1336</v>
      </c>
      <c r="AG539" s="56" t="s">
        <v>2756</v>
      </c>
      <c r="AH539" s="56"/>
      <c r="AI539" s="56"/>
      <c r="AJ539" s="56"/>
      <c r="AK539" s="56"/>
      <c r="AL539" s="56"/>
      <c r="AM539" s="56"/>
      <c r="AN539" s="56"/>
      <c r="AO539" s="56"/>
      <c r="AP539" s="56"/>
      <c r="AQ539" s="131"/>
      <c r="AR539" s="130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</row>
    <row r="540" spans="1:56" x14ac:dyDescent="0.2">
      <c r="A540" s="56">
        <v>14122320</v>
      </c>
      <c r="B540" s="56">
        <v>175213345</v>
      </c>
      <c r="C540" s="56" t="s">
        <v>1346</v>
      </c>
      <c r="D540" s="56" t="s">
        <v>1347</v>
      </c>
      <c r="E540" s="56" t="s">
        <v>1047</v>
      </c>
      <c r="F540" s="56">
        <v>42</v>
      </c>
      <c r="G540" s="56">
        <v>6983</v>
      </c>
      <c r="H540" s="56" t="s">
        <v>1048</v>
      </c>
      <c r="I540" s="56" t="s">
        <v>1118</v>
      </c>
      <c r="J540" s="129">
        <v>46230</v>
      </c>
      <c r="K540" s="130">
        <v>0.86805555555555558</v>
      </c>
      <c r="L540" s="130">
        <v>0.99722222222222223</v>
      </c>
      <c r="M540" s="56" t="s">
        <v>1050</v>
      </c>
      <c r="N540" s="129">
        <v>46230</v>
      </c>
      <c r="O540" s="130">
        <v>0.93402777777777779</v>
      </c>
      <c r="P540" s="56"/>
      <c r="Q540" s="56" t="s">
        <v>1286</v>
      </c>
      <c r="R540" s="56" t="s">
        <v>405</v>
      </c>
      <c r="S540" s="56">
        <v>31</v>
      </c>
      <c r="T540" s="131">
        <v>0.12916666666666665</v>
      </c>
      <c r="U540" s="130">
        <v>-0.93402777777777779</v>
      </c>
      <c r="V540" s="56" t="s">
        <v>1051</v>
      </c>
      <c r="W540" s="56" t="s">
        <v>1052</v>
      </c>
      <c r="X540" s="56" t="s">
        <v>1053</v>
      </c>
      <c r="Y540" s="56">
        <v>31</v>
      </c>
      <c r="Z540" s="56" t="s">
        <v>1054</v>
      </c>
      <c r="AA540" s="56" t="s">
        <v>1348</v>
      </c>
      <c r="AB540" s="56" t="s">
        <v>1120</v>
      </c>
      <c r="AC540" s="56" t="s">
        <v>1078</v>
      </c>
      <c r="AD540" s="56" t="s">
        <v>1349</v>
      </c>
      <c r="AE540" s="56" t="s">
        <v>1350</v>
      </c>
      <c r="AF540" s="56" t="s">
        <v>1336</v>
      </c>
      <c r="AG540" s="56" t="s">
        <v>1351</v>
      </c>
      <c r="AH540" s="56"/>
      <c r="AI540" s="56"/>
      <c r="AJ540" s="56"/>
      <c r="AK540" s="56"/>
      <c r="AL540" s="56"/>
      <c r="AM540" s="56"/>
      <c r="AN540" s="56"/>
      <c r="AO540" s="56"/>
      <c r="AP540" s="56"/>
      <c r="AQ540" s="131"/>
      <c r="AR540" s="130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</row>
    <row r="541" spans="1:56" x14ac:dyDescent="0.2">
      <c r="A541" s="56">
        <v>14121153</v>
      </c>
      <c r="B541" s="56">
        <v>175220270</v>
      </c>
      <c r="C541" s="56" t="s">
        <v>2757</v>
      </c>
      <c r="D541" s="56" t="s">
        <v>1157</v>
      </c>
      <c r="E541" s="56" t="s">
        <v>1047</v>
      </c>
      <c r="F541" s="56">
        <v>59</v>
      </c>
      <c r="G541" s="56">
        <v>4236</v>
      </c>
      <c r="H541" s="56" t="s">
        <v>1048</v>
      </c>
      <c r="I541" s="56" t="s">
        <v>1158</v>
      </c>
      <c r="J541" s="129">
        <v>46230</v>
      </c>
      <c r="K541" s="130">
        <v>0.86805555555555558</v>
      </c>
      <c r="L541" s="130">
        <v>0.87222222222222223</v>
      </c>
      <c r="M541" s="56" t="s">
        <v>1050</v>
      </c>
      <c r="N541" s="129">
        <v>46230</v>
      </c>
      <c r="O541" s="130">
        <v>0.90625</v>
      </c>
      <c r="P541" s="130">
        <v>0.90208333333333335</v>
      </c>
      <c r="Q541" s="56" t="s">
        <v>1050</v>
      </c>
      <c r="R541" s="56" t="s">
        <v>316</v>
      </c>
      <c r="S541" s="56">
        <v>31</v>
      </c>
      <c r="T541" s="131">
        <v>4.1666666666666519E-3</v>
      </c>
      <c r="U541" s="130">
        <v>-4.1666666666666519E-3</v>
      </c>
      <c r="V541" s="56" t="s">
        <v>1051</v>
      </c>
      <c r="W541" s="56" t="s">
        <v>1052</v>
      </c>
      <c r="X541" s="56" t="s">
        <v>1053</v>
      </c>
      <c r="Y541" s="56">
        <v>31</v>
      </c>
      <c r="Z541" s="56" t="s">
        <v>1054</v>
      </c>
      <c r="AA541" s="56" t="s">
        <v>1159</v>
      </c>
      <c r="AB541" s="56" t="s">
        <v>1160</v>
      </c>
      <c r="AC541" s="56" t="s">
        <v>1069</v>
      </c>
      <c r="AD541" s="56" t="s">
        <v>1161</v>
      </c>
      <c r="AE541" s="56" t="s">
        <v>1162</v>
      </c>
      <c r="AF541" s="56" t="s">
        <v>1336</v>
      </c>
      <c r="AG541" s="56" t="s">
        <v>2758</v>
      </c>
      <c r="AH541" s="56"/>
      <c r="AI541" s="56"/>
      <c r="AJ541" s="56"/>
      <c r="AK541" s="56"/>
      <c r="AL541" s="56"/>
      <c r="AM541" s="56"/>
      <c r="AN541" s="56"/>
      <c r="AO541" s="56"/>
      <c r="AP541" s="56"/>
      <c r="AQ541" s="131"/>
      <c r="AR541" s="130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</row>
    <row r="542" spans="1:56" x14ac:dyDescent="0.2">
      <c r="A542" s="56">
        <v>14120885</v>
      </c>
      <c r="B542" s="56">
        <v>175213217</v>
      </c>
      <c r="C542" s="56" t="s">
        <v>1352</v>
      </c>
      <c r="D542" s="56" t="s">
        <v>1117</v>
      </c>
      <c r="E542" s="56" t="s">
        <v>1047</v>
      </c>
      <c r="F542" s="56">
        <v>28</v>
      </c>
      <c r="G542" s="56">
        <v>16733</v>
      </c>
      <c r="H542" s="56" t="s">
        <v>1048</v>
      </c>
      <c r="I542" s="56" t="s">
        <v>1118</v>
      </c>
      <c r="J542" s="129">
        <v>46230</v>
      </c>
      <c r="K542" s="130">
        <v>0.87152777777777779</v>
      </c>
      <c r="L542" s="130">
        <v>0.875</v>
      </c>
      <c r="M542" s="56" t="s">
        <v>1050</v>
      </c>
      <c r="N542" s="129">
        <v>46230</v>
      </c>
      <c r="O542" s="130">
        <v>0.93402777777777779</v>
      </c>
      <c r="P542" s="130">
        <v>0.9243055555555556</v>
      </c>
      <c r="Q542" s="56" t="s">
        <v>1050</v>
      </c>
      <c r="R542" s="56" t="s">
        <v>302</v>
      </c>
      <c r="S542" s="56">
        <v>31</v>
      </c>
      <c r="T542" s="131">
        <v>3.4722222222222099E-3</v>
      </c>
      <c r="U542" s="130">
        <v>-9.7222222222221877E-3</v>
      </c>
      <c r="V542" s="56" t="s">
        <v>1051</v>
      </c>
      <c r="W542" s="56" t="s">
        <v>1052</v>
      </c>
      <c r="X542" s="56" t="s">
        <v>1053</v>
      </c>
      <c r="Y542" s="56">
        <v>31</v>
      </c>
      <c r="Z542" s="56" t="s">
        <v>1054</v>
      </c>
      <c r="AA542" s="56" t="s">
        <v>1119</v>
      </c>
      <c r="AB542" s="56" t="s">
        <v>1120</v>
      </c>
      <c r="AC542" s="56" t="s">
        <v>1078</v>
      </c>
      <c r="AD542" s="56" t="s">
        <v>1121</v>
      </c>
      <c r="AE542" s="56" t="s">
        <v>1122</v>
      </c>
      <c r="AF542" s="56" t="s">
        <v>1336</v>
      </c>
      <c r="AG542" s="56" t="s">
        <v>1353</v>
      </c>
      <c r="AH542" s="56"/>
      <c r="AI542" s="56"/>
      <c r="AJ542" s="56"/>
      <c r="AK542" s="56"/>
      <c r="AL542" s="56"/>
      <c r="AM542" s="56"/>
      <c r="AN542" s="56"/>
      <c r="AO542" s="56"/>
      <c r="AP542" s="56"/>
      <c r="AQ542" s="131"/>
      <c r="AR542" s="130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</row>
    <row r="543" spans="1:56" x14ac:dyDescent="0.2">
      <c r="A543" s="56">
        <v>14122417</v>
      </c>
      <c r="B543" s="56">
        <v>175226131</v>
      </c>
      <c r="C543" s="56" t="s">
        <v>2759</v>
      </c>
      <c r="D543" s="56" t="s">
        <v>2760</v>
      </c>
      <c r="E543" s="56" t="s">
        <v>1047</v>
      </c>
      <c r="F543" s="56">
        <v>236</v>
      </c>
      <c r="G543" s="56">
        <v>13139</v>
      </c>
      <c r="H543" s="56" t="s">
        <v>1048</v>
      </c>
      <c r="I543" s="56" t="s">
        <v>1172</v>
      </c>
      <c r="J543" s="129">
        <v>46230</v>
      </c>
      <c r="K543" s="130">
        <v>0.87152777777777779</v>
      </c>
      <c r="L543" s="130">
        <v>0.87569444444444444</v>
      </c>
      <c r="M543" s="56" t="s">
        <v>1050</v>
      </c>
      <c r="N543" s="129">
        <v>46230</v>
      </c>
      <c r="O543" s="130">
        <v>0.92708333333333337</v>
      </c>
      <c r="P543" s="130">
        <v>0.91666666666666663</v>
      </c>
      <c r="Q543" s="56" t="s">
        <v>1050</v>
      </c>
      <c r="R543" s="56" t="s">
        <v>415</v>
      </c>
      <c r="S543" s="56">
        <v>31</v>
      </c>
      <c r="T543" s="131">
        <v>4.1666666666666519E-3</v>
      </c>
      <c r="U543" s="130">
        <v>-1.0416666666666741E-2</v>
      </c>
      <c r="V543" s="56" t="s">
        <v>1051</v>
      </c>
      <c r="W543" s="56" t="s">
        <v>1052</v>
      </c>
      <c r="X543" s="56" t="s">
        <v>1053</v>
      </c>
      <c r="Y543" s="56">
        <v>31</v>
      </c>
      <c r="Z543" s="56" t="s">
        <v>1054</v>
      </c>
      <c r="AA543" s="56" t="s">
        <v>2761</v>
      </c>
      <c r="AB543" s="56" t="s">
        <v>1565</v>
      </c>
      <c r="AC543" s="56" t="s">
        <v>1057</v>
      </c>
      <c r="AD543" s="56" t="s">
        <v>2762</v>
      </c>
      <c r="AE543" s="56" t="s">
        <v>2763</v>
      </c>
      <c r="AF543" s="56" t="s">
        <v>1336</v>
      </c>
      <c r="AG543" s="56" t="s">
        <v>2764</v>
      </c>
      <c r="AH543" s="56"/>
      <c r="AI543" s="56"/>
      <c r="AJ543" s="56"/>
      <c r="AK543" s="56"/>
      <c r="AL543" s="56"/>
      <c r="AM543" s="56"/>
      <c r="AN543" s="56"/>
      <c r="AO543" s="56"/>
      <c r="AP543" s="56"/>
      <c r="AQ543" s="131"/>
      <c r="AR543" s="130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</row>
    <row r="544" spans="1:56" x14ac:dyDescent="0.2">
      <c r="A544" s="56">
        <v>14119598</v>
      </c>
      <c r="B544" s="56">
        <v>175214788</v>
      </c>
      <c r="C544" s="56" t="s">
        <v>2765</v>
      </c>
      <c r="D544" s="56" t="s">
        <v>2165</v>
      </c>
      <c r="E544" s="56" t="s">
        <v>1047</v>
      </c>
      <c r="F544" s="56">
        <v>14</v>
      </c>
      <c r="G544" s="56">
        <v>15333</v>
      </c>
      <c r="H544" s="56" t="s">
        <v>1048</v>
      </c>
      <c r="I544" s="56" t="s">
        <v>1484</v>
      </c>
      <c r="J544" s="129">
        <v>46230</v>
      </c>
      <c r="K544" s="130">
        <v>0.875</v>
      </c>
      <c r="L544" s="130">
        <v>0.87916666666666665</v>
      </c>
      <c r="M544" s="56" t="s">
        <v>1050</v>
      </c>
      <c r="N544" s="129">
        <v>46230</v>
      </c>
      <c r="O544" s="130">
        <v>0.92708333333333337</v>
      </c>
      <c r="P544" s="130">
        <v>0.92569444444444449</v>
      </c>
      <c r="Q544" s="56" t="s">
        <v>1050</v>
      </c>
      <c r="R544" s="56" t="s">
        <v>254</v>
      </c>
      <c r="S544" s="56">
        <v>31</v>
      </c>
      <c r="T544" s="131">
        <v>4.1666666666666519E-3</v>
      </c>
      <c r="U544" s="130">
        <v>-1.388888888888884E-3</v>
      </c>
      <c r="V544" s="56" t="s">
        <v>1051</v>
      </c>
      <c r="W544" s="56" t="s">
        <v>1052</v>
      </c>
      <c r="X544" s="56" t="s">
        <v>1053</v>
      </c>
      <c r="Y544" s="56">
        <v>31</v>
      </c>
      <c r="Z544" s="56" t="s">
        <v>1054</v>
      </c>
      <c r="AA544" s="56" t="s">
        <v>2166</v>
      </c>
      <c r="AB544" s="56" t="s">
        <v>1068</v>
      </c>
      <c r="AC544" s="56" t="s">
        <v>1069</v>
      </c>
      <c r="AD544" s="56" t="s">
        <v>2167</v>
      </c>
      <c r="AE544" s="56" t="s">
        <v>2168</v>
      </c>
      <c r="AF544" s="56" t="s">
        <v>1336</v>
      </c>
      <c r="AG544" s="56" t="s">
        <v>2766</v>
      </c>
      <c r="AH544" s="56"/>
      <c r="AI544" s="56"/>
      <c r="AJ544" s="56"/>
      <c r="AK544" s="56"/>
      <c r="AL544" s="56"/>
      <c r="AM544" s="56"/>
      <c r="AN544" s="56"/>
      <c r="AO544" s="56"/>
      <c r="AP544" s="56"/>
      <c r="AQ544" s="131"/>
      <c r="AR544" s="130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</row>
    <row r="545" spans="1:56" x14ac:dyDescent="0.2">
      <c r="A545" s="56">
        <v>14121791</v>
      </c>
      <c r="B545" s="56">
        <v>175217662</v>
      </c>
      <c r="C545" s="56" t="s">
        <v>2767</v>
      </c>
      <c r="D545" s="56" t="s">
        <v>1521</v>
      </c>
      <c r="E545" s="56" t="s">
        <v>1047</v>
      </c>
      <c r="F545" s="56">
        <v>22</v>
      </c>
      <c r="G545" s="56">
        <v>14687</v>
      </c>
      <c r="H545" s="56" t="s">
        <v>1048</v>
      </c>
      <c r="I545" s="56" t="s">
        <v>1172</v>
      </c>
      <c r="J545" s="129">
        <v>46230</v>
      </c>
      <c r="K545" s="130">
        <v>0.875</v>
      </c>
      <c r="L545" s="130">
        <v>0.88611111111111107</v>
      </c>
      <c r="M545" s="56" t="s">
        <v>1050</v>
      </c>
      <c r="N545" s="129">
        <v>46230</v>
      </c>
      <c r="O545" s="130">
        <v>0.92708333333333337</v>
      </c>
      <c r="P545" s="130">
        <v>0.94652777777777775</v>
      </c>
      <c r="Q545" s="56" t="s">
        <v>1050</v>
      </c>
      <c r="R545" s="56" t="s">
        <v>354</v>
      </c>
      <c r="S545" s="56">
        <v>31</v>
      </c>
      <c r="T545" s="131">
        <v>1.1111111111111072E-2</v>
      </c>
      <c r="U545" s="130">
        <v>1.9444444444444375E-2</v>
      </c>
      <c r="V545" s="56" t="s">
        <v>1051</v>
      </c>
      <c r="W545" s="56" t="s">
        <v>1065</v>
      </c>
      <c r="X545" s="56" t="s">
        <v>1066</v>
      </c>
      <c r="Y545" s="56">
        <v>31</v>
      </c>
      <c r="Z545" s="56" t="s">
        <v>1054</v>
      </c>
      <c r="AA545" s="56" t="s">
        <v>1522</v>
      </c>
      <c r="AB545" s="56" t="s">
        <v>1174</v>
      </c>
      <c r="AC545" s="56" t="s">
        <v>1057</v>
      </c>
      <c r="AD545" s="56" t="s">
        <v>1523</v>
      </c>
      <c r="AE545" s="56" t="s">
        <v>1524</v>
      </c>
      <c r="AF545" s="56" t="s">
        <v>1336</v>
      </c>
      <c r="AG545" s="56" t="s">
        <v>2768</v>
      </c>
      <c r="AH545" s="56"/>
      <c r="AI545" s="56"/>
      <c r="AJ545" s="56"/>
      <c r="AK545" s="56"/>
      <c r="AL545" s="56"/>
      <c r="AM545" s="56"/>
      <c r="AN545" s="56"/>
      <c r="AO545" s="56"/>
      <c r="AP545" s="56"/>
      <c r="AQ545" s="131"/>
      <c r="AR545" s="130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</row>
    <row r="546" spans="1:56" x14ac:dyDescent="0.2">
      <c r="A546" s="56">
        <v>14123312</v>
      </c>
      <c r="B546" s="56">
        <v>175225130</v>
      </c>
      <c r="C546" s="56" t="s">
        <v>2769</v>
      </c>
      <c r="D546" s="56" t="s">
        <v>1534</v>
      </c>
      <c r="E546" s="56" t="s">
        <v>1047</v>
      </c>
      <c r="F546" s="56">
        <v>173</v>
      </c>
      <c r="G546" s="56">
        <v>6901</v>
      </c>
      <c r="H546" s="56" t="s">
        <v>1048</v>
      </c>
      <c r="I546" s="56" t="s">
        <v>1172</v>
      </c>
      <c r="J546" s="129">
        <v>46230</v>
      </c>
      <c r="K546" s="130">
        <v>0.87638888888888888</v>
      </c>
      <c r="L546" s="130">
        <v>0.88194444444444442</v>
      </c>
      <c r="M546" s="56" t="s">
        <v>1050</v>
      </c>
      <c r="N546" s="129">
        <v>46230</v>
      </c>
      <c r="O546" s="130">
        <v>0.92708333333333337</v>
      </c>
      <c r="P546" s="130">
        <v>0.92361111111111116</v>
      </c>
      <c r="Q546" s="56" t="s">
        <v>1050</v>
      </c>
      <c r="R546" s="56" t="s">
        <v>496</v>
      </c>
      <c r="S546" s="56">
        <v>31</v>
      </c>
      <c r="T546" s="131">
        <v>5.5555555555555358E-3</v>
      </c>
      <c r="U546" s="130">
        <v>-3.4722222222222099E-3</v>
      </c>
      <c r="V546" s="56" t="s">
        <v>1051</v>
      </c>
      <c r="W546" s="56" t="s">
        <v>1052</v>
      </c>
      <c r="X546" s="56" t="s">
        <v>1053</v>
      </c>
      <c r="Y546" s="56">
        <v>31</v>
      </c>
      <c r="Z546" s="56" t="s">
        <v>1054</v>
      </c>
      <c r="AA546" s="56" t="s">
        <v>1535</v>
      </c>
      <c r="AB546" s="56" t="s">
        <v>1174</v>
      </c>
      <c r="AC546" s="56" t="s">
        <v>1057</v>
      </c>
      <c r="AD546" s="56" t="s">
        <v>1536</v>
      </c>
      <c r="AE546" s="56" t="s">
        <v>1537</v>
      </c>
      <c r="AF546" s="56" t="s">
        <v>1336</v>
      </c>
      <c r="AG546" s="56" t="s">
        <v>2770</v>
      </c>
      <c r="AH546" s="56"/>
      <c r="AI546" s="56"/>
      <c r="AJ546" s="56"/>
      <c r="AK546" s="56"/>
      <c r="AL546" s="56"/>
      <c r="AM546" s="56"/>
      <c r="AN546" s="56"/>
      <c r="AO546" s="56"/>
      <c r="AP546" s="56"/>
      <c r="AQ546" s="131"/>
      <c r="AR546" s="130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</row>
    <row r="547" spans="1:56" x14ac:dyDescent="0.2">
      <c r="A547" s="56">
        <v>14112174</v>
      </c>
      <c r="B547" s="56">
        <v>175219199</v>
      </c>
      <c r="C547" s="56" t="s">
        <v>2771</v>
      </c>
      <c r="D547" s="56" t="s">
        <v>2255</v>
      </c>
      <c r="E547" s="56" t="s">
        <v>1047</v>
      </c>
      <c r="F547" s="56">
        <v>67</v>
      </c>
      <c r="G547" s="56">
        <v>13410</v>
      </c>
      <c r="H547" s="56" t="s">
        <v>1048</v>
      </c>
      <c r="I547" s="56" t="s">
        <v>1172</v>
      </c>
      <c r="J547" s="129">
        <v>46230</v>
      </c>
      <c r="K547" s="130">
        <v>0.87777777777777777</v>
      </c>
      <c r="L547" s="130">
        <v>0.88124999999999998</v>
      </c>
      <c r="M547" s="56" t="s">
        <v>1050</v>
      </c>
      <c r="N547" s="129">
        <v>46230</v>
      </c>
      <c r="O547" s="130">
        <v>0.92708333333333337</v>
      </c>
      <c r="P547" s="130">
        <v>0.92569444444444449</v>
      </c>
      <c r="Q547" s="56" t="s">
        <v>1050</v>
      </c>
      <c r="R547" s="56" t="s">
        <v>114</v>
      </c>
      <c r="S547" s="56">
        <v>31</v>
      </c>
      <c r="T547" s="131">
        <v>3.4722222222222099E-3</v>
      </c>
      <c r="U547" s="130">
        <v>-1.388888888888884E-3</v>
      </c>
      <c r="V547" s="56" t="s">
        <v>1051</v>
      </c>
      <c r="W547" s="56" t="s">
        <v>1052</v>
      </c>
      <c r="X547" s="56" t="s">
        <v>1053</v>
      </c>
      <c r="Y547" s="56">
        <v>31</v>
      </c>
      <c r="Z547" s="56" t="s">
        <v>1054</v>
      </c>
      <c r="AA547" s="56" t="s">
        <v>2256</v>
      </c>
      <c r="AB547" s="56" t="s">
        <v>1210</v>
      </c>
      <c r="AC547" s="56" t="s">
        <v>1057</v>
      </c>
      <c r="AD547" s="56" t="s">
        <v>2257</v>
      </c>
      <c r="AE547" s="56" t="s">
        <v>2258</v>
      </c>
      <c r="AF547" s="56" t="s">
        <v>1336</v>
      </c>
      <c r="AG547" s="56" t="s">
        <v>2772</v>
      </c>
      <c r="AH547" s="56"/>
      <c r="AI547" s="56"/>
      <c r="AJ547" s="56"/>
      <c r="AK547" s="56"/>
      <c r="AL547" s="56"/>
      <c r="AM547" s="56"/>
      <c r="AN547" s="56"/>
      <c r="AO547" s="56"/>
      <c r="AP547" s="56"/>
      <c r="AQ547" s="131"/>
      <c r="AR547" s="130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</row>
    <row r="548" spans="1:56" x14ac:dyDescent="0.2">
      <c r="A548" s="56">
        <v>14104932</v>
      </c>
      <c r="B548" s="56">
        <v>175213553</v>
      </c>
      <c r="C548" s="56" t="s">
        <v>2773</v>
      </c>
      <c r="D548" s="56" t="s">
        <v>2774</v>
      </c>
      <c r="E548" s="56" t="s">
        <v>1047</v>
      </c>
      <c r="F548" s="56">
        <v>109</v>
      </c>
      <c r="G548" s="56">
        <v>6473</v>
      </c>
      <c r="H548" s="56" t="s">
        <v>1048</v>
      </c>
      <c r="I548" s="56" t="s">
        <v>1676</v>
      </c>
      <c r="J548" s="129">
        <v>46230</v>
      </c>
      <c r="K548" s="130">
        <v>0.87847222222222221</v>
      </c>
      <c r="L548" s="130">
        <v>0.88194444444444442</v>
      </c>
      <c r="M548" s="56" t="s">
        <v>1050</v>
      </c>
      <c r="N548" s="129">
        <v>46230</v>
      </c>
      <c r="O548" s="130">
        <v>0.93402777777777779</v>
      </c>
      <c r="P548" s="130">
        <v>0.92777777777777781</v>
      </c>
      <c r="Q548" s="56" t="s">
        <v>1050</v>
      </c>
      <c r="R548" s="56" t="s">
        <v>2775</v>
      </c>
      <c r="S548" s="56">
        <v>31</v>
      </c>
      <c r="T548" s="131">
        <v>3.4722222222222099E-3</v>
      </c>
      <c r="U548" s="130">
        <v>-6.2499999999999778E-3</v>
      </c>
      <c r="V548" s="56" t="s">
        <v>1051</v>
      </c>
      <c r="W548" s="56" t="s">
        <v>1052</v>
      </c>
      <c r="X548" s="56" t="s">
        <v>1053</v>
      </c>
      <c r="Y548" s="56">
        <v>31</v>
      </c>
      <c r="Z548" s="56" t="s">
        <v>1054</v>
      </c>
      <c r="AA548" s="56" t="s">
        <v>2776</v>
      </c>
      <c r="AB548" s="56" t="s">
        <v>1678</v>
      </c>
      <c r="AC548" s="56" t="s">
        <v>1078</v>
      </c>
      <c r="AD548" s="56" t="s">
        <v>2777</v>
      </c>
      <c r="AE548" s="56" t="s">
        <v>2778</v>
      </c>
      <c r="AF548" s="56" t="s">
        <v>1336</v>
      </c>
      <c r="AG548" s="56" t="s">
        <v>2779</v>
      </c>
      <c r="AH548" s="56"/>
      <c r="AI548" s="56"/>
      <c r="AJ548" s="56"/>
      <c r="AK548" s="56"/>
      <c r="AL548" s="56"/>
      <c r="AM548" s="56"/>
      <c r="AN548" s="56"/>
      <c r="AO548" s="56"/>
      <c r="AP548" s="56"/>
      <c r="AQ548" s="131"/>
      <c r="AR548" s="130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</row>
    <row r="549" spans="1:56" x14ac:dyDescent="0.2">
      <c r="A549" s="56">
        <v>14113056</v>
      </c>
      <c r="B549" s="56">
        <v>175220240</v>
      </c>
      <c r="C549" s="56" t="s">
        <v>2322</v>
      </c>
      <c r="D549" s="56" t="s">
        <v>2323</v>
      </c>
      <c r="E549" s="56" t="s">
        <v>1047</v>
      </c>
      <c r="F549" s="56">
        <v>49</v>
      </c>
      <c r="G549" s="56">
        <v>5424</v>
      </c>
      <c r="H549" s="56" t="s">
        <v>1048</v>
      </c>
      <c r="I549" s="56" t="s">
        <v>1158</v>
      </c>
      <c r="J549" s="129">
        <v>46230</v>
      </c>
      <c r="K549" s="130">
        <v>0.87847222222222221</v>
      </c>
      <c r="L549" s="130">
        <v>0.93888888888888888</v>
      </c>
      <c r="M549" s="56" t="s">
        <v>1050</v>
      </c>
      <c r="N549" s="129">
        <v>46230</v>
      </c>
      <c r="O549" s="130">
        <v>0.90625</v>
      </c>
      <c r="P549" s="130">
        <v>0.96597222222222223</v>
      </c>
      <c r="Q549" s="56" t="s">
        <v>1359</v>
      </c>
      <c r="R549" s="56" t="s">
        <v>234</v>
      </c>
      <c r="S549" s="56">
        <v>31</v>
      </c>
      <c r="T549" s="131">
        <v>6.0416666666666674E-2</v>
      </c>
      <c r="U549" s="130">
        <v>5.9722222222222232E-2</v>
      </c>
      <c r="V549" s="56" t="s">
        <v>1051</v>
      </c>
      <c r="W549" s="56" t="s">
        <v>1065</v>
      </c>
      <c r="X549" s="56" t="s">
        <v>1066</v>
      </c>
      <c r="Y549" s="56">
        <v>31</v>
      </c>
      <c r="Z549" s="56" t="s">
        <v>1054</v>
      </c>
      <c r="AA549" s="56" t="s">
        <v>2324</v>
      </c>
      <c r="AB549" s="56" t="s">
        <v>1160</v>
      </c>
      <c r="AC549" s="56" t="s">
        <v>1069</v>
      </c>
      <c r="AD549" s="56" t="s">
        <v>2325</v>
      </c>
      <c r="AE549" s="56" t="s">
        <v>2326</v>
      </c>
      <c r="AF549" s="56" t="s">
        <v>1336</v>
      </c>
      <c r="AG549" s="56" t="s">
        <v>2327</v>
      </c>
      <c r="AH549" s="56"/>
      <c r="AI549" s="56"/>
      <c r="AJ549" s="56"/>
      <c r="AK549" s="56"/>
      <c r="AL549" s="56"/>
      <c r="AM549" s="56"/>
      <c r="AN549" s="56"/>
      <c r="AO549" s="56"/>
      <c r="AP549" s="56"/>
      <c r="AQ549" s="131"/>
      <c r="AR549" s="130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</row>
    <row r="550" spans="1:56" x14ac:dyDescent="0.2">
      <c r="A550" s="56">
        <v>14104316</v>
      </c>
      <c r="B550" s="56">
        <v>175222740</v>
      </c>
      <c r="C550" s="56" t="s">
        <v>1803</v>
      </c>
      <c r="D550" s="56" t="s">
        <v>1804</v>
      </c>
      <c r="E550" s="56" t="s">
        <v>1047</v>
      </c>
      <c r="F550" s="56">
        <v>74</v>
      </c>
      <c r="G550" s="56">
        <v>17354</v>
      </c>
      <c r="H550" s="56" t="s">
        <v>1048</v>
      </c>
      <c r="I550" s="56" t="s">
        <v>1118</v>
      </c>
      <c r="J550" s="129">
        <v>46230</v>
      </c>
      <c r="K550" s="130">
        <v>0.87847222222222221</v>
      </c>
      <c r="L550" s="130">
        <v>0.88263888888888886</v>
      </c>
      <c r="M550" s="56" t="s">
        <v>1050</v>
      </c>
      <c r="N550" s="129">
        <v>46230</v>
      </c>
      <c r="O550" s="130">
        <v>0.93402777777777779</v>
      </c>
      <c r="P550" s="130">
        <v>0.9243055555555556</v>
      </c>
      <c r="Q550" s="56" t="s">
        <v>1050</v>
      </c>
      <c r="R550" s="56" t="s">
        <v>39</v>
      </c>
      <c r="S550" s="56">
        <v>31</v>
      </c>
      <c r="T550" s="131">
        <v>4.1666666666666519E-3</v>
      </c>
      <c r="U550" s="130">
        <v>-9.7222222222221877E-3</v>
      </c>
      <c r="V550" s="56" t="s">
        <v>1051</v>
      </c>
      <c r="W550" s="56" t="s">
        <v>1052</v>
      </c>
      <c r="X550" s="56" t="s">
        <v>1053</v>
      </c>
      <c r="Y550" s="56">
        <v>31</v>
      </c>
      <c r="Z550" s="56" t="s">
        <v>1054</v>
      </c>
      <c r="AA550" s="56" t="s">
        <v>1805</v>
      </c>
      <c r="AB550" s="56" t="s">
        <v>1120</v>
      </c>
      <c r="AC550" s="56" t="s">
        <v>1078</v>
      </c>
      <c r="AD550" s="56" t="s">
        <v>1806</v>
      </c>
      <c r="AE550" s="56" t="s">
        <v>1807</v>
      </c>
      <c r="AF550" s="56" t="s">
        <v>1336</v>
      </c>
      <c r="AG550" s="56" t="s">
        <v>1808</v>
      </c>
      <c r="AH550" s="56"/>
      <c r="AI550" s="56"/>
      <c r="AJ550" s="56"/>
      <c r="AK550" s="56"/>
      <c r="AL550" s="56"/>
      <c r="AM550" s="56"/>
      <c r="AN550" s="56"/>
      <c r="AO550" s="56"/>
      <c r="AP550" s="56"/>
      <c r="AQ550" s="131"/>
      <c r="AR550" s="130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</row>
    <row r="551" spans="1:56" x14ac:dyDescent="0.2">
      <c r="A551" s="56">
        <v>14122809</v>
      </c>
      <c r="B551" s="56">
        <v>175226244</v>
      </c>
      <c r="C551" s="56" t="s">
        <v>2780</v>
      </c>
      <c r="D551" s="56" t="s">
        <v>2781</v>
      </c>
      <c r="E551" s="56" t="s">
        <v>1047</v>
      </c>
      <c r="F551" s="56">
        <v>50</v>
      </c>
      <c r="G551" s="56">
        <v>12897</v>
      </c>
      <c r="H551" s="56" t="s">
        <v>1048</v>
      </c>
      <c r="I551" s="56" t="s">
        <v>1200</v>
      </c>
      <c r="J551" s="129">
        <v>46230</v>
      </c>
      <c r="K551" s="130">
        <v>0.87847222222222221</v>
      </c>
      <c r="L551" s="130">
        <v>0.8881944444444444</v>
      </c>
      <c r="M551" s="56" t="s">
        <v>1050</v>
      </c>
      <c r="N551" s="129">
        <v>46230</v>
      </c>
      <c r="O551" s="130">
        <v>0.95833333333333337</v>
      </c>
      <c r="P551" s="130">
        <v>0.96944444444444444</v>
      </c>
      <c r="Q551" s="56" t="s">
        <v>1050</v>
      </c>
      <c r="R551" s="56" t="s">
        <v>446</v>
      </c>
      <c r="S551" s="56">
        <v>31</v>
      </c>
      <c r="T551" s="131">
        <v>9.7222222222221877E-3</v>
      </c>
      <c r="U551" s="130">
        <v>1.1111111111111072E-2</v>
      </c>
      <c r="V551" s="56" t="s">
        <v>1051</v>
      </c>
      <c r="W551" s="56" t="s">
        <v>1065</v>
      </c>
      <c r="X551" s="56" t="s">
        <v>1066</v>
      </c>
      <c r="Y551" s="56">
        <v>31</v>
      </c>
      <c r="Z551" s="56" t="s">
        <v>1054</v>
      </c>
      <c r="AA551" s="56" t="s">
        <v>2782</v>
      </c>
      <c r="AB551" s="56" t="s">
        <v>1203</v>
      </c>
      <c r="AC551" s="56" t="s">
        <v>1057</v>
      </c>
      <c r="AD551" s="56" t="s">
        <v>2783</v>
      </c>
      <c r="AE551" s="56" t="s">
        <v>2784</v>
      </c>
      <c r="AF551" s="56" t="s">
        <v>1336</v>
      </c>
      <c r="AG551" s="56" t="s">
        <v>2785</v>
      </c>
      <c r="AH551" s="56"/>
      <c r="AI551" s="56"/>
      <c r="AJ551" s="56"/>
      <c r="AK551" s="56"/>
      <c r="AL551" s="56"/>
      <c r="AM551" s="56"/>
      <c r="AN551" s="56"/>
      <c r="AO551" s="56"/>
      <c r="AP551" s="56"/>
      <c r="AQ551" s="131"/>
      <c r="AR551" s="130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</row>
    <row r="552" spans="1:56" x14ac:dyDescent="0.2">
      <c r="A552" s="56">
        <v>14123649</v>
      </c>
      <c r="B552" s="56">
        <v>175227009</v>
      </c>
      <c r="C552" s="56" t="s">
        <v>2786</v>
      </c>
      <c r="D552" s="56" t="s">
        <v>2420</v>
      </c>
      <c r="E552" s="56" t="s">
        <v>1047</v>
      </c>
      <c r="F552" s="56">
        <v>254</v>
      </c>
      <c r="G552" s="56">
        <v>13850</v>
      </c>
      <c r="H552" s="56" t="s">
        <v>1048</v>
      </c>
      <c r="I552" s="56" t="s">
        <v>1172</v>
      </c>
      <c r="J552" s="129">
        <v>46230</v>
      </c>
      <c r="K552" s="130">
        <v>0.88124999999999998</v>
      </c>
      <c r="L552" s="130">
        <v>0.88472222222222219</v>
      </c>
      <c r="M552" s="56" t="s">
        <v>1050</v>
      </c>
      <c r="N552" s="129">
        <v>46230</v>
      </c>
      <c r="O552" s="130">
        <v>0.92708333333333337</v>
      </c>
      <c r="P552" s="130">
        <v>0.91736111111111107</v>
      </c>
      <c r="Q552" s="56" t="s">
        <v>1050</v>
      </c>
      <c r="R552" s="56" t="s">
        <v>902</v>
      </c>
      <c r="S552" s="56">
        <v>31</v>
      </c>
      <c r="T552" s="131">
        <v>3.4722222222222099E-3</v>
      </c>
      <c r="U552" s="130">
        <v>-9.7222222222222987E-3</v>
      </c>
      <c r="V552" s="56" t="s">
        <v>1051</v>
      </c>
      <c r="W552" s="56" t="s">
        <v>1052</v>
      </c>
      <c r="X552" s="56" t="s">
        <v>1053</v>
      </c>
      <c r="Y552" s="56">
        <v>31</v>
      </c>
      <c r="Z552" s="56" t="s">
        <v>1054</v>
      </c>
      <c r="AA552" s="56" t="s">
        <v>2421</v>
      </c>
      <c r="AB552" s="56" t="s">
        <v>1210</v>
      </c>
      <c r="AC552" s="56" t="s">
        <v>1057</v>
      </c>
      <c r="AD552" s="56" t="s">
        <v>2422</v>
      </c>
      <c r="AE552" s="56" t="s">
        <v>2423</v>
      </c>
      <c r="AF552" s="56" t="s">
        <v>1336</v>
      </c>
      <c r="AG552" s="56" t="s">
        <v>2787</v>
      </c>
      <c r="AH552" s="56"/>
      <c r="AI552" s="56"/>
      <c r="AJ552" s="56"/>
      <c r="AK552" s="56"/>
      <c r="AL552" s="56"/>
      <c r="AM552" s="56"/>
      <c r="AN552" s="56"/>
      <c r="AO552" s="56"/>
      <c r="AP552" s="56"/>
      <c r="AQ552" s="131"/>
      <c r="AR552" s="130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</row>
    <row r="553" spans="1:56" x14ac:dyDescent="0.2">
      <c r="A553" s="56">
        <v>14104599</v>
      </c>
      <c r="B553" s="56">
        <v>175221043</v>
      </c>
      <c r="C553" s="56" t="s">
        <v>2788</v>
      </c>
      <c r="D553" s="56" t="s">
        <v>2789</v>
      </c>
      <c r="E553" s="56" t="s">
        <v>1047</v>
      </c>
      <c r="F553" s="56">
        <v>73</v>
      </c>
      <c r="G553" s="56">
        <v>13847</v>
      </c>
      <c r="H553" s="56" t="s">
        <v>1048</v>
      </c>
      <c r="I553" s="56" t="s">
        <v>1172</v>
      </c>
      <c r="J553" s="129">
        <v>46230</v>
      </c>
      <c r="K553" s="130">
        <v>0.88194444444444442</v>
      </c>
      <c r="L553" s="130">
        <v>0.88541666666666663</v>
      </c>
      <c r="M553" s="56" t="s">
        <v>1050</v>
      </c>
      <c r="N553" s="129">
        <v>46230</v>
      </c>
      <c r="O553" s="130">
        <v>0.92708333333333337</v>
      </c>
      <c r="P553" s="130">
        <v>0.9243055555555556</v>
      </c>
      <c r="Q553" s="56" t="s">
        <v>1050</v>
      </c>
      <c r="R553" s="56" t="s">
        <v>40</v>
      </c>
      <c r="S553" s="56">
        <v>31</v>
      </c>
      <c r="T553" s="131">
        <v>3.4722222222222099E-3</v>
      </c>
      <c r="U553" s="130">
        <v>-2.7777777777777679E-3</v>
      </c>
      <c r="V553" s="56" t="s">
        <v>1051</v>
      </c>
      <c r="W553" s="56" t="s">
        <v>1052</v>
      </c>
      <c r="X553" s="56" t="s">
        <v>1053</v>
      </c>
      <c r="Y553" s="56">
        <v>31</v>
      </c>
      <c r="Z553" s="56" t="s">
        <v>1054</v>
      </c>
      <c r="AA553" s="56" t="s">
        <v>2790</v>
      </c>
      <c r="AB553" s="56" t="s">
        <v>1565</v>
      </c>
      <c r="AC553" s="56" t="s">
        <v>1057</v>
      </c>
      <c r="AD553" s="56" t="s">
        <v>2791</v>
      </c>
      <c r="AE553" s="56" t="s">
        <v>2792</v>
      </c>
      <c r="AF553" s="56" t="s">
        <v>1336</v>
      </c>
      <c r="AG553" s="56" t="s">
        <v>2793</v>
      </c>
      <c r="AH553" s="56"/>
      <c r="AI553" s="56"/>
      <c r="AJ553" s="56"/>
      <c r="AK553" s="56"/>
      <c r="AL553" s="56"/>
      <c r="AM553" s="56"/>
      <c r="AN553" s="56"/>
      <c r="AO553" s="56"/>
      <c r="AP553" s="56"/>
      <c r="AQ553" s="131"/>
      <c r="AR553" s="130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</row>
    <row r="554" spans="1:56" x14ac:dyDescent="0.2">
      <c r="A554" s="56"/>
      <c r="B554" s="56">
        <v>175224161</v>
      </c>
      <c r="C554" s="56" t="s">
        <v>2794</v>
      </c>
      <c r="D554" s="56" t="s">
        <v>2719</v>
      </c>
      <c r="E554" s="56" t="s">
        <v>1047</v>
      </c>
      <c r="F554" s="56">
        <v>110</v>
      </c>
      <c r="G554" s="56">
        <v>15314</v>
      </c>
      <c r="H554" s="56" t="s">
        <v>1048</v>
      </c>
      <c r="I554" s="56" t="s">
        <v>1172</v>
      </c>
      <c r="J554" s="129">
        <v>46230</v>
      </c>
      <c r="K554" s="130">
        <v>0.88194444444444442</v>
      </c>
      <c r="L554" s="130">
        <v>0.89652777777777781</v>
      </c>
      <c r="M554" s="56" t="s">
        <v>1050</v>
      </c>
      <c r="N554" s="129">
        <v>46230</v>
      </c>
      <c r="O554" s="130">
        <v>0.92708333333333337</v>
      </c>
      <c r="P554" s="130">
        <v>0.92361111111111116</v>
      </c>
      <c r="Q554" s="56" t="s">
        <v>1050</v>
      </c>
      <c r="R554" s="56"/>
      <c r="S554" s="56">
        <v>31</v>
      </c>
      <c r="T554" s="131">
        <v>1.4583333333333393E-2</v>
      </c>
      <c r="U554" s="130">
        <v>-3.4722222222222099E-3</v>
      </c>
      <c r="V554" s="56" t="s">
        <v>1051</v>
      </c>
      <c r="W554" s="56" t="s">
        <v>1052</v>
      </c>
      <c r="X554" s="56" t="s">
        <v>1053</v>
      </c>
      <c r="Y554" s="56">
        <v>31</v>
      </c>
      <c r="Z554" s="56" t="s">
        <v>1054</v>
      </c>
      <c r="AA554" s="56" t="s">
        <v>2720</v>
      </c>
      <c r="AB554" s="56" t="s">
        <v>1210</v>
      </c>
      <c r="AC554" s="56" t="s">
        <v>1057</v>
      </c>
      <c r="AD554" s="56" t="s">
        <v>2721</v>
      </c>
      <c r="AE554" s="56" t="s">
        <v>2722</v>
      </c>
      <c r="AF554" s="56" t="s">
        <v>1336</v>
      </c>
      <c r="AG554" s="56" t="s">
        <v>2795</v>
      </c>
      <c r="AH554" s="56"/>
      <c r="AI554" s="56"/>
      <c r="AJ554" s="56"/>
      <c r="AK554" s="56"/>
      <c r="AL554" s="56"/>
      <c r="AM554" s="56"/>
      <c r="AN554" s="56"/>
      <c r="AO554" s="56"/>
      <c r="AP554" s="56"/>
      <c r="AQ554" s="131"/>
      <c r="AR554" s="130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</row>
    <row r="555" spans="1:56" x14ac:dyDescent="0.2">
      <c r="A555" s="56">
        <v>14107206</v>
      </c>
      <c r="B555" s="56">
        <v>175224781</v>
      </c>
      <c r="C555" s="56" t="s">
        <v>2494</v>
      </c>
      <c r="D555" s="56" t="s">
        <v>2219</v>
      </c>
      <c r="E555" s="56" t="s">
        <v>1047</v>
      </c>
      <c r="F555" s="56">
        <v>151</v>
      </c>
      <c r="G555" s="56">
        <v>17183</v>
      </c>
      <c r="H555" s="56" t="s">
        <v>1048</v>
      </c>
      <c r="I555" s="56" t="s">
        <v>1172</v>
      </c>
      <c r="J555" s="129">
        <v>46230</v>
      </c>
      <c r="K555" s="130">
        <v>0.8833333333333333</v>
      </c>
      <c r="L555" s="130">
        <v>0.88888888888888884</v>
      </c>
      <c r="M555" s="56" t="s">
        <v>1050</v>
      </c>
      <c r="N555" s="129">
        <v>46230</v>
      </c>
      <c r="O555" s="130">
        <v>0.92708333333333337</v>
      </c>
      <c r="P555" s="130">
        <v>0.92222222222222228</v>
      </c>
      <c r="Q555" s="56" t="s">
        <v>1050</v>
      </c>
      <c r="R555" s="56" t="s">
        <v>58</v>
      </c>
      <c r="S555" s="56">
        <v>31</v>
      </c>
      <c r="T555" s="131">
        <v>5.5555555555555358E-3</v>
      </c>
      <c r="U555" s="130">
        <v>-4.8611111111110938E-3</v>
      </c>
      <c r="V555" s="56" t="s">
        <v>1051</v>
      </c>
      <c r="W555" s="56" t="s">
        <v>1052</v>
      </c>
      <c r="X555" s="56" t="s">
        <v>1053</v>
      </c>
      <c r="Y555" s="56">
        <v>31</v>
      </c>
      <c r="Z555" s="56" t="s">
        <v>1054</v>
      </c>
      <c r="AA555" s="56" t="s">
        <v>2220</v>
      </c>
      <c r="AB555" s="56" t="s">
        <v>1210</v>
      </c>
      <c r="AC555" s="56" t="s">
        <v>1057</v>
      </c>
      <c r="AD555" s="56" t="s">
        <v>2221</v>
      </c>
      <c r="AE555" s="56" t="s">
        <v>2222</v>
      </c>
      <c r="AF555" s="56" t="s">
        <v>1336</v>
      </c>
      <c r="AG555" s="56" t="s">
        <v>2495</v>
      </c>
      <c r="AH555" s="56"/>
      <c r="AI555" s="56"/>
      <c r="AJ555" s="56"/>
      <c r="AK555" s="56"/>
      <c r="AL555" s="56"/>
      <c r="AM555" s="56"/>
      <c r="AN555" s="56"/>
      <c r="AO555" s="56"/>
      <c r="AP555" s="56"/>
      <c r="AQ555" s="131"/>
      <c r="AR555" s="130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</row>
    <row r="556" spans="1:56" x14ac:dyDescent="0.2">
      <c r="A556" s="56">
        <v>14122709</v>
      </c>
      <c r="B556" s="56">
        <v>175215692</v>
      </c>
      <c r="C556" s="56" t="s">
        <v>2334</v>
      </c>
      <c r="D556" s="56" t="s">
        <v>2335</v>
      </c>
      <c r="E556" s="56" t="s">
        <v>1047</v>
      </c>
      <c r="F556" s="56">
        <v>424</v>
      </c>
      <c r="G556" s="56">
        <v>16003</v>
      </c>
      <c r="H556" s="56" t="s">
        <v>1048</v>
      </c>
      <c r="I556" s="56" t="s">
        <v>1075</v>
      </c>
      <c r="J556" s="129">
        <v>46230</v>
      </c>
      <c r="K556" s="130">
        <v>0.88541666666666663</v>
      </c>
      <c r="L556" s="130">
        <v>0.89027777777777772</v>
      </c>
      <c r="M556" s="56" t="s">
        <v>1050</v>
      </c>
      <c r="N556" s="129">
        <v>46230</v>
      </c>
      <c r="O556" s="130">
        <v>0.93402777777777779</v>
      </c>
      <c r="P556" s="130">
        <v>0.94930555555555551</v>
      </c>
      <c r="Q556" s="56" t="s">
        <v>1050</v>
      </c>
      <c r="R556" s="56" t="s">
        <v>441</v>
      </c>
      <c r="S556" s="56">
        <v>31</v>
      </c>
      <c r="T556" s="131">
        <v>4.8611111111110938E-3</v>
      </c>
      <c r="U556" s="130">
        <v>1.5277777777777724E-2</v>
      </c>
      <c r="V556" s="56" t="s">
        <v>1051</v>
      </c>
      <c r="W556" s="56" t="s">
        <v>1065</v>
      </c>
      <c r="X556" s="56" t="s">
        <v>1066</v>
      </c>
      <c r="Y556" s="56">
        <v>31</v>
      </c>
      <c r="Z556" s="56" t="s">
        <v>1054</v>
      </c>
      <c r="AA556" s="56" t="s">
        <v>2336</v>
      </c>
      <c r="AB556" s="56" t="s">
        <v>1077</v>
      </c>
      <c r="AC556" s="56" t="s">
        <v>1078</v>
      </c>
      <c r="AD556" s="56" t="s">
        <v>2337</v>
      </c>
      <c r="AE556" s="56" t="s">
        <v>2338</v>
      </c>
      <c r="AF556" s="56" t="s">
        <v>1336</v>
      </c>
      <c r="AG556" s="56" t="s">
        <v>2339</v>
      </c>
      <c r="AH556" s="56"/>
      <c r="AI556" s="56"/>
      <c r="AJ556" s="56"/>
      <c r="AK556" s="56"/>
      <c r="AL556" s="56"/>
      <c r="AM556" s="56"/>
      <c r="AN556" s="56"/>
      <c r="AO556" s="56"/>
      <c r="AP556" s="56"/>
      <c r="AQ556" s="131"/>
      <c r="AR556" s="130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</row>
    <row r="557" spans="1:56" x14ac:dyDescent="0.2">
      <c r="A557" s="56">
        <v>14112026</v>
      </c>
      <c r="B557" s="56">
        <v>175224751</v>
      </c>
      <c r="C557" s="56" t="s">
        <v>2340</v>
      </c>
      <c r="D557" s="56" t="s">
        <v>1540</v>
      </c>
      <c r="E557" s="56" t="s">
        <v>1047</v>
      </c>
      <c r="F557" s="56">
        <v>139</v>
      </c>
      <c r="G557" s="56">
        <v>10359</v>
      </c>
      <c r="H557" s="56" t="s">
        <v>1048</v>
      </c>
      <c r="I557" s="56" t="s">
        <v>1172</v>
      </c>
      <c r="J557" s="129">
        <v>46230</v>
      </c>
      <c r="K557" s="130">
        <v>0.88611111111111107</v>
      </c>
      <c r="L557" s="130">
        <v>0.89444444444444449</v>
      </c>
      <c r="M557" s="56" t="s">
        <v>1050</v>
      </c>
      <c r="N557" s="129">
        <v>46230</v>
      </c>
      <c r="O557" s="130">
        <v>0.92708333333333337</v>
      </c>
      <c r="P557" s="130">
        <v>0.91874999999999996</v>
      </c>
      <c r="Q557" s="56" t="s">
        <v>1050</v>
      </c>
      <c r="R557" s="56" t="s">
        <v>1541</v>
      </c>
      <c r="S557" s="56">
        <v>31</v>
      </c>
      <c r="T557" s="131">
        <v>8.3333333333334147E-3</v>
      </c>
      <c r="U557" s="130">
        <v>-8.3333333333334147E-3</v>
      </c>
      <c r="V557" s="56" t="s">
        <v>1051</v>
      </c>
      <c r="W557" s="56" t="s">
        <v>1052</v>
      </c>
      <c r="X557" s="56" t="s">
        <v>1053</v>
      </c>
      <c r="Y557" s="56">
        <v>31</v>
      </c>
      <c r="Z557" s="56" t="s">
        <v>1054</v>
      </c>
      <c r="AA557" s="56" t="s">
        <v>1542</v>
      </c>
      <c r="AB557" s="56" t="s">
        <v>1210</v>
      </c>
      <c r="AC557" s="56" t="s">
        <v>1057</v>
      </c>
      <c r="AD557" s="56" t="s">
        <v>1543</v>
      </c>
      <c r="AE557" s="56" t="s">
        <v>1544</v>
      </c>
      <c r="AF557" s="56" t="s">
        <v>1336</v>
      </c>
      <c r="AG557" s="56" t="s">
        <v>2341</v>
      </c>
      <c r="AH557" s="56"/>
      <c r="AI557" s="56"/>
      <c r="AJ557" s="56"/>
      <c r="AK557" s="56"/>
      <c r="AL557" s="56"/>
      <c r="AM557" s="56"/>
      <c r="AN557" s="56"/>
      <c r="AO557" s="56"/>
      <c r="AP557" s="56"/>
      <c r="AQ557" s="131"/>
      <c r="AR557" s="130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</row>
    <row r="558" spans="1:56" x14ac:dyDescent="0.2">
      <c r="A558" s="56">
        <v>14100740</v>
      </c>
      <c r="B558" s="56">
        <v>175213425</v>
      </c>
      <c r="C558" s="56" t="s">
        <v>2796</v>
      </c>
      <c r="D558" s="56" t="s">
        <v>2393</v>
      </c>
      <c r="E558" s="56" t="s">
        <v>1047</v>
      </c>
      <c r="F558" s="56">
        <v>90</v>
      </c>
      <c r="G558" s="56">
        <v>16736</v>
      </c>
      <c r="H558" s="56" t="s">
        <v>1048</v>
      </c>
      <c r="I558" s="56" t="s">
        <v>1104</v>
      </c>
      <c r="J558" s="129">
        <v>46230</v>
      </c>
      <c r="K558" s="130">
        <v>0.88888888888888884</v>
      </c>
      <c r="L558" s="130">
        <v>0.89444444444444449</v>
      </c>
      <c r="M558" s="56" t="s">
        <v>1050</v>
      </c>
      <c r="N558" s="129">
        <v>46230</v>
      </c>
      <c r="O558" s="130">
        <v>0.93402777777777779</v>
      </c>
      <c r="P558" s="130">
        <v>0.96666666666666667</v>
      </c>
      <c r="Q558" s="56" t="s">
        <v>1050</v>
      </c>
      <c r="R558" s="56" t="s">
        <v>18</v>
      </c>
      <c r="S558" s="56">
        <v>31</v>
      </c>
      <c r="T558" s="131">
        <v>5.5555555555556468E-3</v>
      </c>
      <c r="U558" s="130">
        <v>3.2638888888888884E-2</v>
      </c>
      <c r="V558" s="56" t="s">
        <v>1051</v>
      </c>
      <c r="W558" s="56" t="s">
        <v>1065</v>
      </c>
      <c r="X558" s="56" t="s">
        <v>1066</v>
      </c>
      <c r="Y558" s="56">
        <v>31</v>
      </c>
      <c r="Z558" s="56" t="s">
        <v>1054</v>
      </c>
      <c r="AA558" s="56" t="s">
        <v>2394</v>
      </c>
      <c r="AB558" s="56" t="s">
        <v>1106</v>
      </c>
      <c r="AC558" s="56" t="s">
        <v>1078</v>
      </c>
      <c r="AD558" s="56" t="s">
        <v>2395</v>
      </c>
      <c r="AE558" s="56" t="s">
        <v>2396</v>
      </c>
      <c r="AF558" s="56" t="s">
        <v>1336</v>
      </c>
      <c r="AG558" s="56" t="s">
        <v>2797</v>
      </c>
      <c r="AH558" s="56"/>
      <c r="AI558" s="56"/>
      <c r="AJ558" s="56"/>
      <c r="AK558" s="56"/>
      <c r="AL558" s="56"/>
      <c r="AM558" s="56"/>
      <c r="AN558" s="56"/>
      <c r="AO558" s="56"/>
      <c r="AP558" s="56"/>
      <c r="AQ558" s="131"/>
      <c r="AR558" s="130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</row>
    <row r="559" spans="1:56" x14ac:dyDescent="0.2">
      <c r="A559" s="56">
        <v>14118889</v>
      </c>
      <c r="B559" s="56">
        <v>175224776</v>
      </c>
      <c r="C559" s="56" t="s">
        <v>2344</v>
      </c>
      <c r="D559" s="56" t="s">
        <v>2345</v>
      </c>
      <c r="E559" s="56" t="s">
        <v>1047</v>
      </c>
      <c r="F559" s="56">
        <v>149</v>
      </c>
      <c r="G559" s="56">
        <v>13754</v>
      </c>
      <c r="H559" s="56" t="s">
        <v>1048</v>
      </c>
      <c r="I559" s="56" t="s">
        <v>1172</v>
      </c>
      <c r="J559" s="129">
        <v>46230</v>
      </c>
      <c r="K559" s="130">
        <v>0.89166666666666672</v>
      </c>
      <c r="L559" s="130">
        <v>0.89930555555555558</v>
      </c>
      <c r="M559" s="56" t="s">
        <v>1050</v>
      </c>
      <c r="N559" s="129">
        <v>46230</v>
      </c>
      <c r="O559" s="130">
        <v>0.92708333333333337</v>
      </c>
      <c r="P559" s="130">
        <v>0.92638888888888893</v>
      </c>
      <c r="Q559" s="56" t="s">
        <v>1050</v>
      </c>
      <c r="R559" s="56" t="s">
        <v>218</v>
      </c>
      <c r="S559" s="56">
        <v>31</v>
      </c>
      <c r="T559" s="131">
        <v>7.6388888888888618E-3</v>
      </c>
      <c r="U559" s="130">
        <v>-6.9444444444444198E-4</v>
      </c>
      <c r="V559" s="56" t="s">
        <v>1051</v>
      </c>
      <c r="W559" s="56" t="s">
        <v>1052</v>
      </c>
      <c r="X559" s="56" t="s">
        <v>1053</v>
      </c>
      <c r="Y559" s="56">
        <v>31</v>
      </c>
      <c r="Z559" s="56" t="s">
        <v>1054</v>
      </c>
      <c r="AA559" s="56" t="s">
        <v>2346</v>
      </c>
      <c r="AB559" s="56" t="s">
        <v>1210</v>
      </c>
      <c r="AC559" s="56" t="s">
        <v>1057</v>
      </c>
      <c r="AD559" s="56" t="s">
        <v>2347</v>
      </c>
      <c r="AE559" s="56" t="s">
        <v>2348</v>
      </c>
      <c r="AF559" s="56" t="s">
        <v>1336</v>
      </c>
      <c r="AG559" s="56" t="s">
        <v>2349</v>
      </c>
      <c r="AH559" s="56"/>
      <c r="AI559" s="56"/>
      <c r="AJ559" s="56"/>
      <c r="AK559" s="56"/>
      <c r="AL559" s="56"/>
      <c r="AM559" s="56"/>
      <c r="AN559" s="56"/>
      <c r="AO559" s="56"/>
      <c r="AP559" s="56"/>
      <c r="AQ559" s="131"/>
      <c r="AR559" s="130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</row>
    <row r="560" spans="1:56" x14ac:dyDescent="0.2">
      <c r="A560" s="56">
        <v>14112630</v>
      </c>
      <c r="B560" s="56">
        <v>175215799</v>
      </c>
      <c r="C560" s="56" t="s">
        <v>2350</v>
      </c>
      <c r="D560" s="56" t="s">
        <v>2066</v>
      </c>
      <c r="E560" s="56" t="s">
        <v>1047</v>
      </c>
      <c r="F560" s="56">
        <v>9</v>
      </c>
      <c r="G560" s="56">
        <v>6982</v>
      </c>
      <c r="H560" s="56" t="s">
        <v>1048</v>
      </c>
      <c r="I560" s="56" t="s">
        <v>1358</v>
      </c>
      <c r="J560" s="129">
        <v>46230</v>
      </c>
      <c r="K560" s="130">
        <v>0.89236111111111116</v>
      </c>
      <c r="L560" s="130">
        <v>0.89652777777777781</v>
      </c>
      <c r="M560" s="56" t="s">
        <v>1050</v>
      </c>
      <c r="N560" s="129">
        <v>46230</v>
      </c>
      <c r="O560" s="130">
        <v>0.93055555555555558</v>
      </c>
      <c r="P560" s="130">
        <v>0.9291666666666667</v>
      </c>
      <c r="Q560" s="56" t="s">
        <v>1050</v>
      </c>
      <c r="R560" s="56" t="s">
        <v>121</v>
      </c>
      <c r="S560" s="56">
        <v>31</v>
      </c>
      <c r="T560" s="131">
        <v>4.1666666666666519E-3</v>
      </c>
      <c r="U560" s="130">
        <v>-1.388888888888884E-3</v>
      </c>
      <c r="V560" s="56" t="s">
        <v>1051</v>
      </c>
      <c r="W560" s="56" t="s">
        <v>1052</v>
      </c>
      <c r="X560" s="56" t="s">
        <v>1053</v>
      </c>
      <c r="Y560" s="56">
        <v>31</v>
      </c>
      <c r="Z560" s="56" t="s">
        <v>1054</v>
      </c>
      <c r="AA560" s="56" t="s">
        <v>2067</v>
      </c>
      <c r="AB560" s="56" t="s">
        <v>1361</v>
      </c>
      <c r="AC560" s="56" t="s">
        <v>1069</v>
      </c>
      <c r="AD560" s="56" t="s">
        <v>2068</v>
      </c>
      <c r="AE560" s="56" t="s">
        <v>2069</v>
      </c>
      <c r="AF560" s="56" t="s">
        <v>1336</v>
      </c>
      <c r="AG560" s="56" t="s">
        <v>2351</v>
      </c>
      <c r="AH560" s="56"/>
      <c r="AI560" s="56"/>
      <c r="AJ560" s="56"/>
      <c r="AK560" s="56"/>
      <c r="AL560" s="56"/>
      <c r="AM560" s="56"/>
      <c r="AN560" s="56"/>
      <c r="AO560" s="56"/>
      <c r="AP560" s="56"/>
      <c r="AQ560" s="131"/>
      <c r="AR560" s="130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</row>
    <row r="561" spans="1:56" x14ac:dyDescent="0.2">
      <c r="A561" s="56">
        <v>14123471</v>
      </c>
      <c r="B561" s="56">
        <v>175224364</v>
      </c>
      <c r="C561" s="56" t="s">
        <v>2798</v>
      </c>
      <c r="D561" s="56" t="s">
        <v>1215</v>
      </c>
      <c r="E561" s="56" t="s">
        <v>1047</v>
      </c>
      <c r="F561" s="56">
        <v>129</v>
      </c>
      <c r="G561" s="56">
        <v>5674</v>
      </c>
      <c r="H561" s="56" t="s">
        <v>1048</v>
      </c>
      <c r="I561" s="56" t="s">
        <v>1172</v>
      </c>
      <c r="J561" s="129">
        <v>46230</v>
      </c>
      <c r="K561" s="130">
        <v>0.8930555555555556</v>
      </c>
      <c r="L561" s="130">
        <v>0.89722222222222225</v>
      </c>
      <c r="M561" s="56" t="s">
        <v>1050</v>
      </c>
      <c r="N561" s="129">
        <v>46230</v>
      </c>
      <c r="O561" s="130">
        <v>0.92708333333333337</v>
      </c>
      <c r="P561" s="130">
        <v>0.9194444444444444</v>
      </c>
      <c r="Q561" s="56" t="s">
        <v>1050</v>
      </c>
      <c r="R561" s="56" t="s">
        <v>513</v>
      </c>
      <c r="S561" s="56">
        <v>31</v>
      </c>
      <c r="T561" s="131">
        <v>4.1666666666666519E-3</v>
      </c>
      <c r="U561" s="130">
        <v>-7.6388888888889728E-3</v>
      </c>
      <c r="V561" s="56" t="s">
        <v>1051</v>
      </c>
      <c r="W561" s="56" t="s">
        <v>1052</v>
      </c>
      <c r="X561" s="56" t="s">
        <v>1053</v>
      </c>
      <c r="Y561" s="56">
        <v>31</v>
      </c>
      <c r="Z561" s="56" t="s">
        <v>1054</v>
      </c>
      <c r="AA561" s="56" t="s">
        <v>1216</v>
      </c>
      <c r="AB561" s="56" t="s">
        <v>1174</v>
      </c>
      <c r="AC561" s="56" t="s">
        <v>1057</v>
      </c>
      <c r="AD561" s="56" t="s">
        <v>1217</v>
      </c>
      <c r="AE561" s="56" t="s">
        <v>1218</v>
      </c>
      <c r="AF561" s="56" t="s">
        <v>1336</v>
      </c>
      <c r="AG561" s="56" t="s">
        <v>2799</v>
      </c>
      <c r="AH561" s="56"/>
      <c r="AI561" s="56"/>
      <c r="AJ561" s="56"/>
      <c r="AK561" s="56"/>
      <c r="AL561" s="56"/>
      <c r="AM561" s="56"/>
      <c r="AN561" s="56"/>
      <c r="AO561" s="56"/>
      <c r="AP561" s="56"/>
      <c r="AQ561" s="131"/>
      <c r="AR561" s="130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</row>
    <row r="562" spans="1:56" x14ac:dyDescent="0.2">
      <c r="A562" s="56">
        <v>14122855</v>
      </c>
      <c r="B562" s="56">
        <v>175213446</v>
      </c>
      <c r="C562" s="56" t="s">
        <v>2800</v>
      </c>
      <c r="D562" s="56" t="s">
        <v>1089</v>
      </c>
      <c r="E562" s="56" t="s">
        <v>1047</v>
      </c>
      <c r="F562" s="56">
        <v>99</v>
      </c>
      <c r="G562" s="56">
        <v>6251</v>
      </c>
      <c r="H562" s="56" t="s">
        <v>1048</v>
      </c>
      <c r="I562" s="56" t="s">
        <v>1104</v>
      </c>
      <c r="J562" s="129">
        <v>46230</v>
      </c>
      <c r="K562" s="130">
        <v>0.89652777777777781</v>
      </c>
      <c r="L562" s="130">
        <v>0.90138888888888891</v>
      </c>
      <c r="M562" s="56" t="s">
        <v>1050</v>
      </c>
      <c r="N562" s="129">
        <v>46230</v>
      </c>
      <c r="O562" s="130">
        <v>0.93402777777777779</v>
      </c>
      <c r="P562" s="130">
        <v>0.93472222222222223</v>
      </c>
      <c r="Q562" s="56" t="s">
        <v>1050</v>
      </c>
      <c r="R562" s="56" t="s">
        <v>451</v>
      </c>
      <c r="S562" s="56">
        <v>31</v>
      </c>
      <c r="T562" s="131">
        <v>4.8611111111110938E-3</v>
      </c>
      <c r="U562" s="130">
        <v>6.9444444444444198E-4</v>
      </c>
      <c r="V562" s="56" t="s">
        <v>1051</v>
      </c>
      <c r="W562" s="56" t="s">
        <v>1052</v>
      </c>
      <c r="X562" s="56" t="s">
        <v>1053</v>
      </c>
      <c r="Y562" s="56">
        <v>31</v>
      </c>
      <c r="Z562" s="56" t="s">
        <v>1054</v>
      </c>
      <c r="AA562" s="56" t="s">
        <v>1723</v>
      </c>
      <c r="AB562" s="56" t="s">
        <v>1106</v>
      </c>
      <c r="AC562" s="56" t="s">
        <v>1078</v>
      </c>
      <c r="AD562" s="56" t="s">
        <v>1724</v>
      </c>
      <c r="AE562" s="56" t="s">
        <v>1725</v>
      </c>
      <c r="AF562" s="56" t="s">
        <v>1336</v>
      </c>
      <c r="AG562" s="56" t="s">
        <v>2801</v>
      </c>
      <c r="AH562" s="56"/>
      <c r="AI562" s="56"/>
      <c r="AJ562" s="56"/>
      <c r="AK562" s="56"/>
      <c r="AL562" s="56"/>
      <c r="AM562" s="56"/>
      <c r="AN562" s="56"/>
      <c r="AO562" s="56"/>
      <c r="AP562" s="56"/>
      <c r="AQ562" s="131"/>
      <c r="AR562" s="130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</row>
    <row r="563" spans="1:56" x14ac:dyDescent="0.2">
      <c r="A563" s="56">
        <v>14112605</v>
      </c>
      <c r="B563" s="56">
        <v>175214436</v>
      </c>
      <c r="C563" s="56" t="s">
        <v>2802</v>
      </c>
      <c r="D563" s="56" t="s">
        <v>2803</v>
      </c>
      <c r="E563" s="56" t="s">
        <v>1047</v>
      </c>
      <c r="F563" s="56">
        <v>42</v>
      </c>
      <c r="G563" s="56">
        <v>11126</v>
      </c>
      <c r="H563" s="56" t="s">
        <v>1048</v>
      </c>
      <c r="I563" s="56" t="s">
        <v>1503</v>
      </c>
      <c r="J563" s="129">
        <v>46230</v>
      </c>
      <c r="K563" s="130">
        <v>0.90277777777777779</v>
      </c>
      <c r="L563" s="130">
        <v>0.90625</v>
      </c>
      <c r="M563" s="56" t="s">
        <v>1050</v>
      </c>
      <c r="N563" s="129">
        <v>46230</v>
      </c>
      <c r="O563" s="130">
        <v>0.93055555555555558</v>
      </c>
      <c r="P563" s="130">
        <v>0.92777777777777781</v>
      </c>
      <c r="Q563" s="56" t="s">
        <v>1050</v>
      </c>
      <c r="R563" s="56" t="s">
        <v>120</v>
      </c>
      <c r="S563" s="56">
        <v>31</v>
      </c>
      <c r="T563" s="131">
        <v>3.4722222222222099E-3</v>
      </c>
      <c r="U563" s="130">
        <v>-2.7777777777777679E-3</v>
      </c>
      <c r="V563" s="56" t="s">
        <v>1051</v>
      </c>
      <c r="W563" s="56" t="s">
        <v>1052</v>
      </c>
      <c r="X563" s="56" t="s">
        <v>1053</v>
      </c>
      <c r="Y563" s="56">
        <v>31</v>
      </c>
      <c r="Z563" s="56" t="s">
        <v>1054</v>
      </c>
      <c r="AA563" s="56" t="s">
        <v>2804</v>
      </c>
      <c r="AB563" s="56" t="s">
        <v>1361</v>
      </c>
      <c r="AC563" s="56" t="s">
        <v>1069</v>
      </c>
      <c r="AD563" s="56" t="s">
        <v>2805</v>
      </c>
      <c r="AE563" s="56" t="s">
        <v>2806</v>
      </c>
      <c r="AF563" s="56" t="s">
        <v>1336</v>
      </c>
      <c r="AG563" s="56" t="s">
        <v>2807</v>
      </c>
      <c r="AH563" s="56"/>
      <c r="AI563" s="56"/>
      <c r="AJ563" s="56"/>
      <c r="AK563" s="56"/>
      <c r="AL563" s="56"/>
      <c r="AM563" s="56"/>
      <c r="AN563" s="56"/>
      <c r="AO563" s="56"/>
      <c r="AP563" s="56"/>
      <c r="AQ563" s="131"/>
      <c r="AR563" s="130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</row>
    <row r="564" spans="1:56" x14ac:dyDescent="0.2">
      <c r="A564" s="130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129"/>
      <c r="N564" s="130"/>
      <c r="O564" s="130"/>
      <c r="P564" s="56"/>
      <c r="Q564" s="129"/>
      <c r="R564" s="130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131"/>
      <c r="AR564" s="130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</row>
    <row r="565" spans="1:56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129"/>
      <c r="N565" s="130"/>
      <c r="O565" s="130"/>
      <c r="P565" s="56"/>
      <c r="Q565" s="129"/>
      <c r="R565" s="130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131"/>
      <c r="AR565" s="130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</row>
    <row r="566" spans="1:56" x14ac:dyDescent="0.2">
      <c r="A566" s="130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129"/>
      <c r="N566" s="130"/>
      <c r="O566" s="130"/>
      <c r="P566" s="56"/>
      <c r="Q566" s="129"/>
      <c r="R566" s="130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131"/>
      <c r="AR566" s="130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</row>
    <row r="567" spans="1:56" x14ac:dyDescent="0.2">
      <c r="A567" s="130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129"/>
      <c r="N567" s="130"/>
      <c r="O567" s="130"/>
      <c r="P567" s="56"/>
      <c r="Q567" s="129"/>
      <c r="R567" s="130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131"/>
      <c r="AR567" s="130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</row>
    <row r="568" spans="1:56" x14ac:dyDescent="0.2">
      <c r="A568" s="130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129"/>
      <c r="N568" s="130"/>
      <c r="O568" s="130"/>
      <c r="P568" s="56"/>
      <c r="Q568" s="129"/>
      <c r="R568" s="130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131"/>
      <c r="AR568" s="130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</row>
    <row r="569" spans="1:56" x14ac:dyDescent="0.2">
      <c r="A569" s="130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129"/>
      <c r="N569" s="130"/>
      <c r="O569" s="130"/>
      <c r="P569" s="56"/>
      <c r="Q569" s="129"/>
      <c r="R569" s="130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131"/>
      <c r="AR569" s="130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</row>
    <row r="570" spans="1:56" x14ac:dyDescent="0.2">
      <c r="A570" s="130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129"/>
      <c r="N570" s="130"/>
      <c r="O570" s="130"/>
      <c r="P570" s="56"/>
      <c r="Q570" s="129"/>
      <c r="R570" s="130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131"/>
      <c r="AR570" s="130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</row>
    <row r="571" spans="1:56" x14ac:dyDescent="0.2">
      <c r="A571" s="130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129"/>
      <c r="N571" s="130"/>
      <c r="O571" s="130"/>
      <c r="P571" s="56"/>
      <c r="Q571" s="129"/>
      <c r="R571" s="130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131"/>
      <c r="AR571" s="130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</row>
    <row r="572" spans="1:56" x14ac:dyDescent="0.2">
      <c r="A572" s="130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129"/>
      <c r="N572" s="130"/>
      <c r="O572" s="130"/>
      <c r="P572" s="56"/>
      <c r="Q572" s="129"/>
      <c r="R572" s="130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131"/>
      <c r="AR572" s="130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</row>
    <row r="573" spans="1:56" x14ac:dyDescent="0.2">
      <c r="A573" s="130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129"/>
      <c r="N573" s="130"/>
      <c r="O573" s="130"/>
      <c r="P573" s="56"/>
      <c r="Q573" s="129"/>
      <c r="R573" s="130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131"/>
      <c r="AR573" s="130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</row>
    <row r="574" spans="1:56" x14ac:dyDescent="0.2">
      <c r="A574" s="130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129"/>
      <c r="N574" s="130"/>
      <c r="O574" s="130"/>
      <c r="P574" s="56"/>
      <c r="Q574" s="129"/>
      <c r="R574" s="130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131"/>
      <c r="AR574" s="130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</row>
    <row r="575" spans="1:56" x14ac:dyDescent="0.2">
      <c r="A575" s="130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129"/>
      <c r="N575" s="130"/>
      <c r="O575" s="130"/>
      <c r="P575" s="56"/>
      <c r="Q575" s="129"/>
      <c r="R575" s="130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131"/>
      <c r="AR575" s="130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</row>
    <row r="576" spans="1:56" x14ac:dyDescent="0.2">
      <c r="A576" s="130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129"/>
      <c r="N576" s="130"/>
      <c r="O576" s="130"/>
      <c r="P576" s="56"/>
      <c r="Q576" s="129"/>
      <c r="R576" s="130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131"/>
      <c r="AR576" s="130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</row>
    <row r="577" spans="1:56" x14ac:dyDescent="0.2">
      <c r="A577" s="130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129"/>
      <c r="N577" s="130"/>
      <c r="O577" s="130"/>
      <c r="P577" s="56"/>
      <c r="Q577" s="129"/>
      <c r="R577" s="130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131"/>
      <c r="AR577" s="130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</row>
    <row r="578" spans="1:56" x14ac:dyDescent="0.2">
      <c r="A578" s="130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129"/>
      <c r="N578" s="130"/>
      <c r="O578" s="130"/>
      <c r="P578" s="56"/>
      <c r="Q578" s="129"/>
      <c r="R578" s="130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131"/>
      <c r="AR578" s="130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</row>
    <row r="579" spans="1:56" x14ac:dyDescent="0.2">
      <c r="A579" s="130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129"/>
      <c r="N579" s="130"/>
      <c r="O579" s="130"/>
      <c r="P579" s="56"/>
      <c r="Q579" s="129"/>
      <c r="R579" s="130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131"/>
      <c r="AR579" s="130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</row>
    <row r="580" spans="1:56" x14ac:dyDescent="0.2">
      <c r="A580" s="130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129"/>
      <c r="N580" s="130"/>
      <c r="O580" s="130"/>
      <c r="P580" s="56"/>
      <c r="Q580" s="129"/>
      <c r="R580" s="130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131"/>
      <c r="AR580" s="130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</row>
    <row r="581" spans="1:56" x14ac:dyDescent="0.2">
      <c r="A581" s="130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129"/>
      <c r="N581" s="130"/>
      <c r="O581" s="130"/>
      <c r="P581" s="56"/>
      <c r="Q581" s="129"/>
      <c r="R581" s="130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131"/>
      <c r="AR581" s="130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</row>
    <row r="582" spans="1:56" x14ac:dyDescent="0.2">
      <c r="A582" s="130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129"/>
      <c r="N582" s="130"/>
      <c r="O582" s="130"/>
      <c r="P582" s="56"/>
      <c r="Q582" s="129"/>
      <c r="R582" s="130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131"/>
      <c r="AR582" s="130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</row>
    <row r="583" spans="1:56" x14ac:dyDescent="0.2">
      <c r="A583" s="130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129"/>
      <c r="N583" s="130"/>
      <c r="O583" s="130"/>
      <c r="P583" s="56"/>
      <c r="Q583" s="129"/>
      <c r="R583" s="130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131"/>
      <c r="AR583" s="130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</row>
    <row r="584" spans="1:56" x14ac:dyDescent="0.2">
      <c r="A584" s="130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129"/>
      <c r="N584" s="130"/>
      <c r="O584" s="130"/>
      <c r="P584" s="56"/>
      <c r="Q584" s="129"/>
      <c r="R584" s="130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131"/>
      <c r="AR584" s="130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</row>
    <row r="585" spans="1:56" x14ac:dyDescent="0.2">
      <c r="A585" s="130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129"/>
      <c r="N585" s="130"/>
      <c r="O585" s="130"/>
      <c r="P585" s="56"/>
      <c r="Q585" s="129"/>
      <c r="R585" s="130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131"/>
      <c r="AR585" s="130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</row>
    <row r="586" spans="1:56" x14ac:dyDescent="0.2">
      <c r="A586" s="130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129"/>
      <c r="N586" s="130"/>
      <c r="O586" s="130"/>
      <c r="P586" s="56"/>
      <c r="Q586" s="129"/>
      <c r="R586" s="130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131"/>
      <c r="AR586" s="130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</row>
    <row r="587" spans="1:56" x14ac:dyDescent="0.2">
      <c r="A587" s="130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129"/>
      <c r="N587" s="130"/>
      <c r="O587" s="130"/>
      <c r="P587" s="56"/>
      <c r="Q587" s="129"/>
      <c r="R587" s="130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131"/>
      <c r="AR587" s="130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</row>
    <row r="588" spans="1:56" x14ac:dyDescent="0.2">
      <c r="A588" s="130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129"/>
      <c r="N588" s="130"/>
      <c r="O588" s="130"/>
      <c r="P588" s="56"/>
      <c r="Q588" s="129"/>
      <c r="R588" s="130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131"/>
      <c r="AR588" s="130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</row>
    <row r="589" spans="1:56" x14ac:dyDescent="0.2">
      <c r="A589" s="130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129"/>
      <c r="N589" s="130"/>
      <c r="O589" s="130"/>
      <c r="P589" s="56"/>
      <c r="Q589" s="129"/>
      <c r="R589" s="130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131"/>
      <c r="AR589" s="130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</row>
    <row r="590" spans="1:56" x14ac:dyDescent="0.2">
      <c r="A590" s="130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129"/>
      <c r="N590" s="130"/>
      <c r="O590" s="130"/>
      <c r="P590" s="56"/>
      <c r="Q590" s="129"/>
      <c r="R590" s="130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131"/>
      <c r="AR590" s="130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</row>
    <row r="591" spans="1:56" x14ac:dyDescent="0.2">
      <c r="A591" s="130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129"/>
      <c r="N591" s="130"/>
      <c r="O591" s="130"/>
      <c r="P591" s="56"/>
      <c r="Q591" s="129"/>
      <c r="R591" s="130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131"/>
      <c r="AR591" s="130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</row>
    <row r="592" spans="1:56" x14ac:dyDescent="0.2">
      <c r="A592" s="130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129"/>
      <c r="N592" s="130"/>
      <c r="O592" s="130"/>
      <c r="P592" s="56"/>
      <c r="Q592" s="129"/>
      <c r="R592" s="130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131"/>
      <c r="AR592" s="130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</row>
    <row r="593" spans="1:56" x14ac:dyDescent="0.2">
      <c r="A593" s="130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129"/>
      <c r="N593" s="130"/>
      <c r="O593" s="130"/>
      <c r="P593" s="56"/>
      <c r="Q593" s="129"/>
      <c r="R593" s="130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131"/>
      <c r="AR593" s="130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</row>
    <row r="594" spans="1:56" x14ac:dyDescent="0.2">
      <c r="A594" s="130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129"/>
      <c r="N594" s="130"/>
      <c r="O594" s="130"/>
      <c r="P594" s="56"/>
      <c r="Q594" s="129"/>
      <c r="R594" s="130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131"/>
      <c r="AR594" s="130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</row>
    <row r="595" spans="1:56" x14ac:dyDescent="0.2">
      <c r="A595" s="130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129"/>
      <c r="N595" s="130"/>
      <c r="O595" s="130"/>
      <c r="P595" s="56"/>
      <c r="Q595" s="129"/>
      <c r="R595" s="130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131"/>
      <c r="AR595" s="130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</row>
    <row r="596" spans="1:56" x14ac:dyDescent="0.2">
      <c r="A596" s="130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129"/>
      <c r="N596" s="130"/>
      <c r="O596" s="130"/>
      <c r="P596" s="56"/>
      <c r="Q596" s="129"/>
      <c r="R596" s="130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131"/>
      <c r="AR596" s="130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</row>
    <row r="597" spans="1:56" x14ac:dyDescent="0.2">
      <c r="A597" s="130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129"/>
      <c r="N597" s="130"/>
      <c r="O597" s="130"/>
      <c r="P597" s="56"/>
      <c r="Q597" s="129"/>
      <c r="R597" s="130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131"/>
      <c r="AR597" s="130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</row>
    <row r="598" spans="1:56" x14ac:dyDescent="0.2">
      <c r="A598" s="130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129"/>
      <c r="N598" s="130"/>
      <c r="O598" s="130"/>
      <c r="P598" s="56"/>
      <c r="Q598" s="129"/>
      <c r="R598" s="130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131"/>
      <c r="AR598" s="130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</row>
    <row r="599" spans="1:56" x14ac:dyDescent="0.2">
      <c r="A599" s="130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129"/>
      <c r="N599" s="130"/>
      <c r="O599" s="130"/>
      <c r="P599" s="56"/>
      <c r="Q599" s="129"/>
      <c r="R599" s="130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131"/>
      <c r="AR599" s="130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</row>
    <row r="600" spans="1:56" x14ac:dyDescent="0.2">
      <c r="A600" s="130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129"/>
      <c r="N600" s="130"/>
      <c r="O600" s="130"/>
      <c r="P600" s="56"/>
      <c r="Q600" s="129"/>
      <c r="R600" s="130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132"/>
      <c r="AG600" s="56"/>
      <c r="AH600" s="56"/>
      <c r="AI600" s="56"/>
      <c r="AJ600" s="56"/>
      <c r="AK600" s="56"/>
      <c r="AL600" s="56"/>
      <c r="AM600" s="56"/>
      <c r="AN600" s="56"/>
      <c r="AO600" s="132"/>
      <c r="AP600" s="56"/>
      <c r="AQ600" s="131"/>
      <c r="AR600" s="130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</row>
    <row r="601" spans="1:56" x14ac:dyDescent="0.2">
      <c r="A601" s="130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129"/>
      <c r="N601" s="130"/>
      <c r="O601" s="130"/>
      <c r="P601" s="56"/>
      <c r="Q601" s="129"/>
      <c r="R601" s="130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131"/>
      <c r="AR601" s="130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</row>
    <row r="602" spans="1:56" x14ac:dyDescent="0.2">
      <c r="A602" s="130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129"/>
      <c r="N602" s="130"/>
      <c r="O602" s="130"/>
      <c r="P602" s="56"/>
      <c r="Q602" s="129"/>
      <c r="R602" s="130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132"/>
      <c r="AG602" s="56"/>
      <c r="AH602" s="56"/>
      <c r="AI602" s="56"/>
      <c r="AJ602" s="56"/>
      <c r="AK602" s="56"/>
      <c r="AL602" s="56"/>
      <c r="AM602" s="56"/>
      <c r="AN602" s="56"/>
      <c r="AO602" s="132"/>
      <c r="AP602" s="56"/>
      <c r="AQ602" s="131"/>
      <c r="AR602" s="130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</row>
    <row r="603" spans="1:56" x14ac:dyDescent="0.2">
      <c r="A603" s="130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129"/>
      <c r="N603" s="130"/>
      <c r="O603" s="130"/>
      <c r="P603" s="56"/>
      <c r="Q603" s="129"/>
      <c r="R603" s="130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131"/>
      <c r="AR603" s="130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</row>
    <row r="604" spans="1:56" x14ac:dyDescent="0.2">
      <c r="A604" s="130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129"/>
      <c r="N604" s="130"/>
      <c r="O604" s="130"/>
      <c r="P604" s="56"/>
      <c r="Q604" s="129"/>
      <c r="R604" s="130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131"/>
      <c r="AR604" s="130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</row>
    <row r="605" spans="1:56" x14ac:dyDescent="0.2">
      <c r="A605" s="130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129"/>
      <c r="N605" s="130"/>
      <c r="O605" s="130"/>
      <c r="P605" s="56"/>
      <c r="Q605" s="129"/>
      <c r="R605" s="130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131"/>
      <c r="AR605" s="130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</row>
    <row r="606" spans="1:56" x14ac:dyDescent="0.2">
      <c r="A606" s="130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129"/>
      <c r="N606" s="130"/>
      <c r="O606" s="130"/>
      <c r="P606" s="56"/>
      <c r="Q606" s="129"/>
      <c r="R606" s="130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132"/>
      <c r="AG606" s="56"/>
      <c r="AH606" s="56"/>
      <c r="AI606" s="56"/>
      <c r="AJ606" s="56"/>
      <c r="AK606" s="56"/>
      <c r="AL606" s="56"/>
      <c r="AM606" s="56"/>
      <c r="AN606" s="56"/>
      <c r="AO606" s="132"/>
      <c r="AP606" s="56"/>
      <c r="AQ606" s="131"/>
      <c r="AR606" s="130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</row>
    <row r="607" spans="1:56" x14ac:dyDescent="0.2">
      <c r="A607" s="130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129"/>
      <c r="N607" s="130"/>
      <c r="O607" s="130"/>
      <c r="P607" s="56"/>
      <c r="Q607" s="129"/>
      <c r="R607" s="130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131"/>
      <c r="AR607" s="130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</row>
    <row r="608" spans="1:56" x14ac:dyDescent="0.2">
      <c r="A608" s="130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129"/>
      <c r="N608" s="130"/>
      <c r="O608" s="130"/>
      <c r="P608" s="56"/>
      <c r="Q608" s="129"/>
      <c r="R608" s="130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132"/>
      <c r="AG608" s="56"/>
      <c r="AH608" s="56"/>
      <c r="AI608" s="56"/>
      <c r="AJ608" s="56"/>
      <c r="AK608" s="56"/>
      <c r="AL608" s="56"/>
      <c r="AM608" s="56"/>
      <c r="AN608" s="56"/>
      <c r="AO608" s="132"/>
      <c r="AP608" s="56"/>
      <c r="AQ608" s="131"/>
      <c r="AR608" s="130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</row>
    <row r="609" spans="1:56" x14ac:dyDescent="0.2">
      <c r="A609" s="130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129"/>
      <c r="N609" s="130"/>
      <c r="O609" s="130"/>
      <c r="P609" s="56"/>
      <c r="Q609" s="129"/>
      <c r="R609" s="130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131"/>
      <c r="AR609" s="130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</row>
    <row r="610" spans="1:56" x14ac:dyDescent="0.2">
      <c r="A610" s="130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129"/>
      <c r="N610" s="130"/>
      <c r="O610" s="130"/>
      <c r="P610" s="56"/>
      <c r="Q610" s="129"/>
      <c r="R610" s="130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131"/>
      <c r="AR610" s="130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</row>
    <row r="611" spans="1:56" x14ac:dyDescent="0.2">
      <c r="A611" s="130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129"/>
      <c r="N611" s="130"/>
      <c r="O611" s="130"/>
      <c r="P611" s="56"/>
      <c r="Q611" s="129"/>
      <c r="R611" s="130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131"/>
      <c r="AR611" s="130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</row>
    <row r="612" spans="1:56" x14ac:dyDescent="0.2">
      <c r="A612" s="130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129"/>
      <c r="N612" s="130"/>
      <c r="O612" s="130"/>
      <c r="P612" s="56"/>
      <c r="Q612" s="129"/>
      <c r="R612" s="130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131"/>
      <c r="AR612" s="130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</row>
    <row r="613" spans="1:56" x14ac:dyDescent="0.2">
      <c r="A613" s="130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129"/>
      <c r="N613" s="130"/>
      <c r="O613" s="130"/>
      <c r="P613" s="56"/>
      <c r="Q613" s="129"/>
      <c r="R613" s="130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131"/>
      <c r="AR613" s="130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</row>
    <row r="614" spans="1:56" x14ac:dyDescent="0.2">
      <c r="A614" s="130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129"/>
      <c r="N614" s="130"/>
      <c r="O614" s="130"/>
      <c r="P614" s="56"/>
      <c r="Q614" s="129"/>
      <c r="R614" s="130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131"/>
      <c r="AR614" s="130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</row>
    <row r="615" spans="1:56" x14ac:dyDescent="0.2">
      <c r="A615" s="130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129"/>
      <c r="N615" s="130"/>
      <c r="O615" s="130"/>
      <c r="P615" s="56"/>
      <c r="Q615" s="129"/>
      <c r="R615" s="130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131"/>
      <c r="AR615" s="130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</row>
    <row r="616" spans="1:56" x14ac:dyDescent="0.2">
      <c r="A616" s="130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129"/>
      <c r="N616" s="130"/>
      <c r="O616" s="130"/>
      <c r="P616" s="56"/>
      <c r="Q616" s="129"/>
      <c r="R616" s="130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131"/>
      <c r="AR616" s="130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</row>
    <row r="617" spans="1:56" x14ac:dyDescent="0.2">
      <c r="A617" s="130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129"/>
      <c r="N617" s="130"/>
      <c r="O617" s="130"/>
      <c r="P617" s="56"/>
      <c r="Q617" s="129"/>
      <c r="R617" s="130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131"/>
      <c r="AR617" s="130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</row>
    <row r="618" spans="1:56" x14ac:dyDescent="0.2">
      <c r="A618" s="130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129"/>
      <c r="N618" s="130"/>
      <c r="O618" s="130"/>
      <c r="P618" s="56"/>
      <c r="Q618" s="129"/>
      <c r="R618" s="130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132"/>
      <c r="AG618" s="56"/>
      <c r="AH618" s="56"/>
      <c r="AI618" s="56"/>
      <c r="AJ618" s="56"/>
      <c r="AK618" s="56"/>
      <c r="AL618" s="56"/>
      <c r="AM618" s="56"/>
      <c r="AN618" s="56"/>
      <c r="AO618" s="132"/>
      <c r="AP618" s="56"/>
      <c r="AQ618" s="131"/>
      <c r="AR618" s="130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</row>
    <row r="619" spans="1:56" x14ac:dyDescent="0.2">
      <c r="A619" s="130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129"/>
      <c r="N619" s="130"/>
      <c r="O619" s="130"/>
      <c r="P619" s="56"/>
      <c r="Q619" s="129"/>
      <c r="R619" s="130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131"/>
      <c r="AR619" s="130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</row>
    <row r="620" spans="1:56" x14ac:dyDescent="0.2">
      <c r="A620" s="130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129"/>
      <c r="N620" s="130"/>
      <c r="O620" s="130"/>
      <c r="P620" s="56"/>
      <c r="Q620" s="129"/>
      <c r="R620" s="130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131"/>
      <c r="AR620" s="130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</row>
    <row r="621" spans="1:56" x14ac:dyDescent="0.2">
      <c r="A621" s="130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129"/>
      <c r="N621" s="130"/>
      <c r="O621" s="130"/>
      <c r="P621" s="56"/>
      <c r="Q621" s="129"/>
      <c r="R621" s="130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131"/>
      <c r="AR621" s="130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</row>
    <row r="622" spans="1:56" x14ac:dyDescent="0.2">
      <c r="A622" s="130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129"/>
      <c r="N622" s="130"/>
      <c r="O622" s="130"/>
      <c r="P622" s="56"/>
      <c r="Q622" s="129"/>
      <c r="R622" s="130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131"/>
      <c r="AR622" s="130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</row>
    <row r="623" spans="1:56" x14ac:dyDescent="0.2">
      <c r="A623" s="130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129"/>
      <c r="N623" s="130"/>
      <c r="O623" s="130"/>
      <c r="P623" s="56"/>
      <c r="Q623" s="129"/>
      <c r="R623" s="130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131"/>
      <c r="AR623" s="130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</row>
    <row r="624" spans="1:56" x14ac:dyDescent="0.2">
      <c r="A624" s="130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129"/>
      <c r="N624" s="130"/>
      <c r="O624" s="130"/>
      <c r="P624" s="56"/>
      <c r="Q624" s="129"/>
      <c r="R624" s="130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131"/>
      <c r="AR624" s="130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</row>
    <row r="625" spans="1:56" x14ac:dyDescent="0.2">
      <c r="A625" s="130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129"/>
      <c r="N625" s="130"/>
      <c r="O625" s="130"/>
      <c r="P625" s="56"/>
      <c r="Q625" s="129"/>
      <c r="R625" s="130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131"/>
      <c r="AR625" s="130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</row>
    <row r="626" spans="1:56" x14ac:dyDescent="0.2">
      <c r="A626" s="130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129"/>
      <c r="N626" s="130"/>
      <c r="O626" s="130"/>
      <c r="P626" s="56"/>
      <c r="Q626" s="129"/>
      <c r="R626" s="130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131"/>
      <c r="AR626" s="130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</row>
    <row r="627" spans="1:56" x14ac:dyDescent="0.2">
      <c r="A627" s="130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129"/>
      <c r="N627" s="130"/>
      <c r="O627" s="130"/>
      <c r="P627" s="56"/>
      <c r="Q627" s="129"/>
      <c r="R627" s="130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131"/>
      <c r="AR627" s="130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</row>
    <row r="628" spans="1:56" x14ac:dyDescent="0.2">
      <c r="A628" s="130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129"/>
      <c r="N628" s="130"/>
      <c r="O628" s="130"/>
      <c r="P628" s="56"/>
      <c r="Q628" s="129"/>
      <c r="R628" s="130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131"/>
      <c r="AR628" s="130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</row>
    <row r="629" spans="1:56" x14ac:dyDescent="0.2">
      <c r="A629" s="130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129"/>
      <c r="N629" s="130"/>
      <c r="O629" s="130"/>
      <c r="P629" s="56"/>
      <c r="Q629" s="129"/>
      <c r="R629" s="130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131"/>
      <c r="AR629" s="130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</row>
    <row r="630" spans="1:56" x14ac:dyDescent="0.2">
      <c r="A630" s="130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129"/>
      <c r="N630" s="130"/>
      <c r="O630" s="130"/>
      <c r="P630" s="56"/>
      <c r="Q630" s="129"/>
      <c r="R630" s="130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131"/>
      <c r="AR630" s="130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</row>
    <row r="631" spans="1:56" x14ac:dyDescent="0.2">
      <c r="A631" s="130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129"/>
      <c r="N631" s="130"/>
      <c r="O631" s="130"/>
      <c r="P631" s="56"/>
      <c r="Q631" s="129"/>
      <c r="R631" s="130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131"/>
      <c r="AR631" s="130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</row>
    <row r="632" spans="1:56" x14ac:dyDescent="0.2">
      <c r="A632" s="130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129"/>
      <c r="N632" s="130"/>
      <c r="O632" s="130"/>
      <c r="P632" s="56"/>
      <c r="Q632" s="129"/>
      <c r="R632" s="130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131"/>
      <c r="AR632" s="130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</row>
    <row r="633" spans="1:56" x14ac:dyDescent="0.2">
      <c r="A633" s="130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129"/>
      <c r="N633" s="130"/>
      <c r="O633" s="130"/>
      <c r="P633" s="56"/>
      <c r="Q633" s="129"/>
      <c r="R633" s="130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131"/>
      <c r="AR633" s="130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</row>
    <row r="634" spans="1:56" x14ac:dyDescent="0.2">
      <c r="A634" s="130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129"/>
      <c r="N634" s="130"/>
      <c r="O634" s="130"/>
      <c r="P634" s="56"/>
      <c r="Q634" s="129"/>
      <c r="R634" s="130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131"/>
      <c r="AR634" s="130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</row>
    <row r="635" spans="1:56" x14ac:dyDescent="0.2">
      <c r="A635" s="130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129"/>
      <c r="N635" s="130"/>
      <c r="O635" s="130"/>
      <c r="P635" s="56"/>
      <c r="Q635" s="129"/>
      <c r="R635" s="130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131"/>
      <c r="AR635" s="130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</row>
    <row r="636" spans="1:56" x14ac:dyDescent="0.2">
      <c r="A636" s="130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129"/>
      <c r="N636" s="130"/>
      <c r="O636" s="130"/>
      <c r="P636" s="56"/>
      <c r="Q636" s="129"/>
      <c r="R636" s="130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131"/>
      <c r="AR636" s="130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</row>
    <row r="637" spans="1:56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129"/>
      <c r="N637" s="130"/>
      <c r="O637" s="130"/>
      <c r="P637" s="56"/>
      <c r="Q637" s="129"/>
      <c r="R637" s="130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131"/>
      <c r="AR637" s="130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</row>
    <row r="638" spans="1:56" x14ac:dyDescent="0.2">
      <c r="A638" s="130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129"/>
      <c r="N638" s="130"/>
      <c r="O638" s="130"/>
      <c r="P638" s="56"/>
      <c r="Q638" s="129"/>
      <c r="R638" s="130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131"/>
      <c r="AR638" s="130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</row>
    <row r="639" spans="1:56" x14ac:dyDescent="0.2">
      <c r="A639" s="130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129"/>
      <c r="N639" s="130"/>
      <c r="O639" s="130"/>
      <c r="P639" s="56"/>
      <c r="Q639" s="129"/>
      <c r="R639" s="130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131"/>
      <c r="AR639" s="130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</row>
    <row r="640" spans="1:56" x14ac:dyDescent="0.2">
      <c r="A640" s="130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129"/>
      <c r="N640" s="130"/>
      <c r="O640" s="130"/>
      <c r="P640" s="56"/>
      <c r="Q640" s="129"/>
      <c r="R640" s="130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131"/>
      <c r="AR640" s="130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</row>
    <row r="641" spans="1:56" x14ac:dyDescent="0.2">
      <c r="A641" s="130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129"/>
      <c r="N641" s="130"/>
      <c r="O641" s="130"/>
      <c r="P641" s="56"/>
      <c r="Q641" s="129"/>
      <c r="R641" s="130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131"/>
      <c r="AR641" s="130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</row>
    <row r="642" spans="1:56" x14ac:dyDescent="0.2">
      <c r="A642" s="130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129"/>
      <c r="N642" s="130"/>
      <c r="O642" s="130"/>
      <c r="P642" s="56"/>
      <c r="Q642" s="129"/>
      <c r="R642" s="130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131"/>
      <c r="AR642" s="130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</row>
    <row r="643" spans="1:56" x14ac:dyDescent="0.2">
      <c r="A643" s="130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129"/>
      <c r="N643" s="130"/>
      <c r="O643" s="130"/>
      <c r="P643" s="56"/>
      <c r="Q643" s="129"/>
      <c r="R643" s="130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131"/>
      <c r="AR643" s="130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</row>
    <row r="644" spans="1:56" x14ac:dyDescent="0.2">
      <c r="A644" s="130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129"/>
      <c r="N644" s="130"/>
      <c r="O644" s="130"/>
      <c r="P644" s="56"/>
      <c r="Q644" s="129"/>
      <c r="R644" s="130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131"/>
      <c r="AR644" s="130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</row>
    <row r="645" spans="1:56" x14ac:dyDescent="0.2">
      <c r="A645" s="130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129"/>
      <c r="N645" s="130"/>
      <c r="O645" s="130"/>
      <c r="P645" s="56"/>
      <c r="Q645" s="129"/>
      <c r="R645" s="130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131"/>
      <c r="AR645" s="130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</row>
    <row r="646" spans="1:56" x14ac:dyDescent="0.2">
      <c r="A646" s="130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129"/>
      <c r="N646" s="130"/>
      <c r="O646" s="130"/>
      <c r="P646" s="56"/>
      <c r="Q646" s="129"/>
      <c r="R646" s="130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131"/>
      <c r="AR646" s="130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</row>
    <row r="647" spans="1:56" x14ac:dyDescent="0.2">
      <c r="A647" s="130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129"/>
      <c r="N647" s="130"/>
      <c r="O647" s="130"/>
      <c r="P647" s="56"/>
      <c r="Q647" s="129"/>
      <c r="R647" s="130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131"/>
      <c r="AR647" s="130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</row>
    <row r="648" spans="1:56" x14ac:dyDescent="0.2">
      <c r="A648" s="130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129"/>
      <c r="N648" s="130"/>
      <c r="O648" s="130"/>
      <c r="P648" s="56"/>
      <c r="Q648" s="129"/>
      <c r="R648" s="130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131"/>
      <c r="AR648" s="130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</row>
    <row r="649" spans="1:56" x14ac:dyDescent="0.2">
      <c r="A649" s="130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129"/>
      <c r="N649" s="130"/>
      <c r="O649" s="130"/>
      <c r="P649" s="56"/>
      <c r="Q649" s="129"/>
      <c r="R649" s="130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131"/>
      <c r="AR649" s="130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</row>
    <row r="650" spans="1:56" x14ac:dyDescent="0.2">
      <c r="A650" s="130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129"/>
      <c r="N650" s="130"/>
      <c r="O650" s="130"/>
      <c r="P650" s="56"/>
      <c r="Q650" s="129"/>
      <c r="R650" s="130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131"/>
      <c r="AR650" s="130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</row>
    <row r="651" spans="1:56" x14ac:dyDescent="0.2">
      <c r="A651" s="130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129"/>
      <c r="N651" s="130"/>
      <c r="O651" s="130"/>
      <c r="P651" s="56"/>
      <c r="Q651" s="129"/>
      <c r="R651" s="130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131"/>
      <c r="AR651" s="130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</row>
    <row r="652" spans="1:56" x14ac:dyDescent="0.2">
      <c r="A652" s="130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129"/>
      <c r="N652" s="130"/>
      <c r="O652" s="130"/>
      <c r="P652" s="56"/>
      <c r="Q652" s="129"/>
      <c r="R652" s="130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131"/>
      <c r="AR652" s="130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</row>
    <row r="653" spans="1:56" x14ac:dyDescent="0.2">
      <c r="A653" s="130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129"/>
      <c r="N653" s="130"/>
      <c r="O653" s="130"/>
      <c r="P653" s="56"/>
      <c r="Q653" s="129"/>
      <c r="R653" s="130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131"/>
      <c r="AR653" s="130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</row>
    <row r="654" spans="1:56" x14ac:dyDescent="0.2">
      <c r="A654" s="130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129"/>
      <c r="N654" s="130"/>
      <c r="O654" s="130"/>
      <c r="P654" s="56"/>
      <c r="Q654" s="129"/>
      <c r="R654" s="130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131"/>
      <c r="AR654" s="130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</row>
    <row r="655" spans="1:56" x14ac:dyDescent="0.2">
      <c r="A655" s="130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129"/>
      <c r="N655" s="130"/>
      <c r="O655" s="130"/>
      <c r="P655" s="56"/>
      <c r="Q655" s="129"/>
      <c r="R655" s="130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131"/>
      <c r="AR655" s="130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</row>
    <row r="656" spans="1:56" x14ac:dyDescent="0.2">
      <c r="A656" s="130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129"/>
      <c r="N656" s="130"/>
      <c r="O656" s="130"/>
      <c r="P656" s="56"/>
      <c r="Q656" s="129"/>
      <c r="R656" s="130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131"/>
      <c r="AR656" s="130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</row>
    <row r="657" spans="1:56" x14ac:dyDescent="0.2">
      <c r="A657" s="130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129"/>
      <c r="N657" s="130"/>
      <c r="O657" s="130"/>
      <c r="P657" s="56"/>
      <c r="Q657" s="129"/>
      <c r="R657" s="130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131"/>
      <c r="AR657" s="130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</row>
    <row r="658" spans="1:56" x14ac:dyDescent="0.2">
      <c r="A658" s="130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129"/>
      <c r="N658" s="130"/>
      <c r="O658" s="130"/>
      <c r="P658" s="56"/>
      <c r="Q658" s="129"/>
      <c r="R658" s="130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131"/>
      <c r="AR658" s="130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</row>
    <row r="659" spans="1:56" x14ac:dyDescent="0.2">
      <c r="A659" s="130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129"/>
      <c r="N659" s="130"/>
      <c r="O659" s="130"/>
      <c r="P659" s="56"/>
      <c r="Q659" s="129"/>
      <c r="R659" s="130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131"/>
      <c r="AR659" s="130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</row>
    <row r="660" spans="1:56" x14ac:dyDescent="0.2">
      <c r="A660" s="130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129"/>
      <c r="N660" s="130"/>
      <c r="O660" s="130"/>
      <c r="P660" s="56"/>
      <c r="Q660" s="129"/>
      <c r="R660" s="130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131"/>
      <c r="AR660" s="130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</row>
    <row r="661" spans="1:56" x14ac:dyDescent="0.2">
      <c r="A661" s="130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129"/>
      <c r="N661" s="130"/>
      <c r="O661" s="130"/>
      <c r="P661" s="56"/>
      <c r="Q661" s="129"/>
      <c r="R661" s="130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131"/>
      <c r="AR661" s="130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</row>
    <row r="662" spans="1:56" x14ac:dyDescent="0.2">
      <c r="A662" s="130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129"/>
      <c r="N662" s="130"/>
      <c r="O662" s="130"/>
      <c r="P662" s="56"/>
      <c r="Q662" s="129"/>
      <c r="R662" s="130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131"/>
      <c r="AR662" s="130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</row>
    <row r="663" spans="1:56" x14ac:dyDescent="0.2">
      <c r="A663" s="130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129"/>
      <c r="N663" s="130"/>
      <c r="O663" s="130"/>
      <c r="P663" s="56"/>
      <c r="Q663" s="129"/>
      <c r="R663" s="130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131"/>
      <c r="AR663" s="130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</row>
    <row r="664" spans="1:56" x14ac:dyDescent="0.2">
      <c r="A664" s="130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129"/>
      <c r="N664" s="130"/>
      <c r="O664" s="130"/>
      <c r="P664" s="56"/>
      <c r="Q664" s="129"/>
      <c r="R664" s="130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131"/>
      <c r="AR664" s="130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</row>
    <row r="665" spans="1:56" x14ac:dyDescent="0.2">
      <c r="A665" s="130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129"/>
      <c r="N665" s="130"/>
      <c r="O665" s="130"/>
      <c r="P665" s="56"/>
      <c r="Q665" s="129"/>
      <c r="R665" s="130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131"/>
      <c r="AR665" s="130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</row>
    <row r="666" spans="1:56" x14ac:dyDescent="0.2">
      <c r="A666" s="130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129"/>
      <c r="N666" s="130"/>
      <c r="O666" s="130"/>
      <c r="P666" s="56"/>
      <c r="Q666" s="129"/>
      <c r="R666" s="130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131"/>
      <c r="AR666" s="130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</row>
    <row r="667" spans="1:56" x14ac:dyDescent="0.2">
      <c r="A667" s="130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129"/>
      <c r="N667" s="130"/>
      <c r="O667" s="130"/>
      <c r="P667" s="56"/>
      <c r="Q667" s="129"/>
      <c r="R667" s="130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131"/>
      <c r="AR667" s="130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</row>
    <row r="668" spans="1:56" x14ac:dyDescent="0.2">
      <c r="A668" s="130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129"/>
      <c r="N668" s="130"/>
      <c r="O668" s="130"/>
      <c r="P668" s="56"/>
      <c r="Q668" s="129"/>
      <c r="R668" s="130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132"/>
      <c r="AG668" s="56"/>
      <c r="AH668" s="56"/>
      <c r="AI668" s="56"/>
      <c r="AJ668" s="56"/>
      <c r="AK668" s="56"/>
      <c r="AL668" s="56"/>
      <c r="AM668" s="56"/>
      <c r="AN668" s="56"/>
      <c r="AO668" s="132"/>
      <c r="AP668" s="56"/>
      <c r="AQ668" s="131"/>
      <c r="AR668" s="130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</row>
    <row r="669" spans="1:56" x14ac:dyDescent="0.2">
      <c r="A669" s="130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129"/>
      <c r="N669" s="130"/>
      <c r="O669" s="130"/>
      <c r="P669" s="56"/>
      <c r="Q669" s="129"/>
      <c r="R669" s="130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131"/>
      <c r="AR669" s="130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</row>
    <row r="670" spans="1:56" x14ac:dyDescent="0.2">
      <c r="A670" s="130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129"/>
      <c r="N670" s="130"/>
      <c r="O670" s="130"/>
      <c r="P670" s="56"/>
      <c r="Q670" s="129"/>
      <c r="R670" s="130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131"/>
      <c r="AR670" s="130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</row>
    <row r="671" spans="1:56" x14ac:dyDescent="0.2">
      <c r="A671" s="130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129"/>
      <c r="N671" s="130"/>
      <c r="O671" s="130"/>
      <c r="P671" s="56"/>
      <c r="Q671" s="129"/>
      <c r="R671" s="130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131"/>
      <c r="AR671" s="130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</row>
  </sheetData>
  <autoFilter ref="A1:BE1" xr:uid="{6F7BFDE9-722C-46E8-8D00-BCBE248054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A09B-7944-4480-A943-AD7CD937255D}">
  <dimension ref="A1:F3713"/>
  <sheetViews>
    <sheetView tabSelected="1" workbookViewId="0">
      <selection activeCell="B15" sqref="B15"/>
    </sheetView>
  </sheetViews>
  <sheetFormatPr baseColWidth="10" defaultRowHeight="12.75" x14ac:dyDescent="0.2"/>
  <cols>
    <col min="1" max="1" width="14" bestFit="1" customWidth="1"/>
    <col min="2" max="2" width="18.7109375" bestFit="1" customWidth="1"/>
    <col min="4" max="4" width="42.85546875" bestFit="1" customWidth="1"/>
    <col min="5" max="5" width="8.140625" bestFit="1" customWidth="1"/>
    <col min="6" max="6" width="7.85546875" bestFit="1" customWidth="1"/>
  </cols>
  <sheetData>
    <row r="1" spans="1:6" x14ac:dyDescent="0.2">
      <c r="A1" s="133" t="s">
        <v>2808</v>
      </c>
      <c r="B1" s="133" t="s">
        <v>2809</v>
      </c>
      <c r="C1" s="133" t="s">
        <v>2810</v>
      </c>
      <c r="D1" s="133" t="s">
        <v>2811</v>
      </c>
      <c r="E1" s="133" t="s">
        <v>2812</v>
      </c>
      <c r="F1" t="s">
        <v>2813</v>
      </c>
    </row>
    <row r="2" spans="1:6" x14ac:dyDescent="0.2">
      <c r="A2" t="s">
        <v>2814</v>
      </c>
      <c r="B2" t="s">
        <v>2815</v>
      </c>
      <c r="C2">
        <v>14100716</v>
      </c>
      <c r="D2" t="s">
        <v>7</v>
      </c>
      <c r="E2" s="134">
        <v>355.8</v>
      </c>
      <c r="F2" t="s">
        <v>2816</v>
      </c>
    </row>
    <row r="3" spans="1:6" x14ac:dyDescent="0.2">
      <c r="A3" t="s">
        <v>2814</v>
      </c>
      <c r="B3" t="s">
        <v>2815</v>
      </c>
      <c r="C3">
        <v>14106035</v>
      </c>
      <c r="D3" t="s">
        <v>48</v>
      </c>
      <c r="E3" s="134">
        <v>355.58</v>
      </c>
      <c r="F3" t="s">
        <v>2816</v>
      </c>
    </row>
    <row r="4" spans="1:6" x14ac:dyDescent="0.2">
      <c r="A4" t="s">
        <v>2814</v>
      </c>
      <c r="B4" t="s">
        <v>2815</v>
      </c>
      <c r="C4">
        <v>14118625</v>
      </c>
      <c r="D4" t="s">
        <v>422</v>
      </c>
      <c r="E4" s="134">
        <v>355.58</v>
      </c>
      <c r="F4" t="s">
        <v>2816</v>
      </c>
    </row>
    <row r="5" spans="1:6" x14ac:dyDescent="0.2">
      <c r="A5" t="s">
        <v>2814</v>
      </c>
      <c r="B5" t="s">
        <v>2815</v>
      </c>
      <c r="C5">
        <v>14122681</v>
      </c>
      <c r="D5" t="s">
        <v>433</v>
      </c>
      <c r="E5" s="134">
        <v>355.58</v>
      </c>
      <c r="F5" t="s">
        <v>2816</v>
      </c>
    </row>
    <row r="6" spans="1:6" x14ac:dyDescent="0.2">
      <c r="A6" t="s">
        <v>2814</v>
      </c>
      <c r="B6" t="s">
        <v>2815</v>
      </c>
      <c r="C6">
        <v>14122682</v>
      </c>
      <c r="D6" t="s">
        <v>434</v>
      </c>
      <c r="E6" s="134">
        <v>355.58</v>
      </c>
      <c r="F6" t="s">
        <v>2816</v>
      </c>
    </row>
    <row r="7" spans="1:6" x14ac:dyDescent="0.2">
      <c r="A7" t="s">
        <v>2814</v>
      </c>
      <c r="B7" t="s">
        <v>2815</v>
      </c>
      <c r="C7">
        <v>14122994</v>
      </c>
      <c r="D7" t="s">
        <v>467</v>
      </c>
      <c r="E7" s="134">
        <v>355.58</v>
      </c>
      <c r="F7" t="s">
        <v>2816</v>
      </c>
    </row>
    <row r="8" spans="1:6" x14ac:dyDescent="0.2">
      <c r="A8" t="s">
        <v>2814</v>
      </c>
      <c r="B8" t="s">
        <v>2815</v>
      </c>
      <c r="C8">
        <v>14123082</v>
      </c>
      <c r="D8" t="s">
        <v>477</v>
      </c>
      <c r="E8" s="134">
        <v>355.58</v>
      </c>
      <c r="F8" t="s">
        <v>2816</v>
      </c>
    </row>
    <row r="9" spans="1:6" x14ac:dyDescent="0.2">
      <c r="A9" t="s">
        <v>2814</v>
      </c>
      <c r="B9" t="s">
        <v>2815</v>
      </c>
      <c r="C9">
        <v>14123145</v>
      </c>
      <c r="D9" t="s">
        <v>482</v>
      </c>
      <c r="E9" s="134">
        <v>355.58</v>
      </c>
      <c r="F9" t="s">
        <v>2816</v>
      </c>
    </row>
    <row r="10" spans="1:6" x14ac:dyDescent="0.2">
      <c r="A10" t="s">
        <v>2814</v>
      </c>
      <c r="B10" t="s">
        <v>2815</v>
      </c>
      <c r="C10">
        <v>14123332</v>
      </c>
      <c r="D10" t="s">
        <v>501</v>
      </c>
      <c r="E10" s="134">
        <v>1422.32</v>
      </c>
      <c r="F10" t="s">
        <v>2816</v>
      </c>
    </row>
    <row r="11" spans="1:6" x14ac:dyDescent="0.2">
      <c r="A11" t="s">
        <v>2814</v>
      </c>
      <c r="B11" t="s">
        <v>2815</v>
      </c>
      <c r="C11">
        <v>14103470</v>
      </c>
      <c r="D11" t="s">
        <v>518</v>
      </c>
      <c r="E11" s="134">
        <v>355.58</v>
      </c>
      <c r="F11" t="s">
        <v>2816</v>
      </c>
    </row>
    <row r="12" spans="1:6" x14ac:dyDescent="0.2">
      <c r="A12" t="s">
        <v>2814</v>
      </c>
      <c r="B12" t="s">
        <v>2815</v>
      </c>
      <c r="C12">
        <v>14110506</v>
      </c>
      <c r="D12" t="s">
        <v>421</v>
      </c>
      <c r="E12" s="134">
        <v>355.58</v>
      </c>
      <c r="F12" t="s">
        <v>2816</v>
      </c>
    </row>
    <row r="13" spans="1:6" x14ac:dyDescent="0.2">
      <c r="A13" t="s">
        <v>2814</v>
      </c>
      <c r="B13" t="s">
        <v>2815</v>
      </c>
      <c r="C13">
        <v>14110604</v>
      </c>
      <c r="D13" t="s">
        <v>330</v>
      </c>
      <c r="E13" s="134">
        <v>355.58</v>
      </c>
      <c r="F13" t="s">
        <v>2816</v>
      </c>
    </row>
    <row r="14" spans="1:6" x14ac:dyDescent="0.2">
      <c r="A14" t="s">
        <v>2814</v>
      </c>
      <c r="B14" t="s">
        <v>2815</v>
      </c>
      <c r="C14">
        <v>14112588</v>
      </c>
      <c r="D14" t="s">
        <v>931</v>
      </c>
      <c r="E14" s="134">
        <v>355.58</v>
      </c>
      <c r="F14" t="s">
        <v>2816</v>
      </c>
    </row>
    <row r="15" spans="1:6" x14ac:dyDescent="0.2">
      <c r="A15" t="s">
        <v>2814</v>
      </c>
      <c r="B15" t="s">
        <v>2815</v>
      </c>
      <c r="C15">
        <v>14112962</v>
      </c>
      <c r="D15" t="s">
        <v>483</v>
      </c>
      <c r="E15" s="134">
        <v>355.58</v>
      </c>
      <c r="F15" t="s">
        <v>2816</v>
      </c>
    </row>
    <row r="16" spans="1:6" x14ac:dyDescent="0.2">
      <c r="A16" t="s">
        <v>2814</v>
      </c>
      <c r="B16" t="s">
        <v>2815</v>
      </c>
      <c r="C16">
        <v>14116250</v>
      </c>
      <c r="D16" t="s">
        <v>425</v>
      </c>
      <c r="E16" s="134">
        <v>355.58</v>
      </c>
      <c r="F16" t="s">
        <v>2816</v>
      </c>
    </row>
    <row r="17" spans="1:6" x14ac:dyDescent="0.2">
      <c r="A17" t="s">
        <v>2814</v>
      </c>
      <c r="B17" t="s">
        <v>2815</v>
      </c>
      <c r="C17">
        <v>14116565</v>
      </c>
      <c r="D17" t="s">
        <v>456</v>
      </c>
      <c r="E17" s="134">
        <v>355.58</v>
      </c>
      <c r="F17" t="s">
        <v>2816</v>
      </c>
    </row>
    <row r="18" spans="1:6" x14ac:dyDescent="0.2">
      <c r="A18" t="s">
        <v>2814</v>
      </c>
      <c r="B18" t="s">
        <v>2815</v>
      </c>
      <c r="C18">
        <v>14117969</v>
      </c>
      <c r="D18" t="s">
        <v>399</v>
      </c>
      <c r="E18" s="134">
        <v>355.58</v>
      </c>
      <c r="F18" t="s">
        <v>2816</v>
      </c>
    </row>
    <row r="19" spans="1:6" x14ac:dyDescent="0.2">
      <c r="A19" t="s">
        <v>2814</v>
      </c>
      <c r="B19" t="s">
        <v>2815</v>
      </c>
      <c r="C19">
        <v>14118212</v>
      </c>
      <c r="D19" t="s">
        <v>426</v>
      </c>
      <c r="E19" s="134">
        <v>355.58</v>
      </c>
      <c r="F19" t="s">
        <v>2816</v>
      </c>
    </row>
    <row r="20" spans="1:6" x14ac:dyDescent="0.2">
      <c r="A20" t="s">
        <v>2814</v>
      </c>
      <c r="B20" t="s">
        <v>2815</v>
      </c>
      <c r="C20">
        <v>14118579</v>
      </c>
      <c r="D20" t="s">
        <v>464</v>
      </c>
      <c r="E20" s="134">
        <v>355.58</v>
      </c>
      <c r="F20" t="s">
        <v>2816</v>
      </c>
    </row>
    <row r="21" spans="1:6" x14ac:dyDescent="0.2">
      <c r="A21" t="s">
        <v>2814</v>
      </c>
      <c r="B21" t="s">
        <v>2815</v>
      </c>
      <c r="C21">
        <v>14120199</v>
      </c>
      <c r="D21" t="s">
        <v>400</v>
      </c>
      <c r="E21" s="134">
        <v>355.58</v>
      </c>
      <c r="F21" t="s">
        <v>2816</v>
      </c>
    </row>
    <row r="22" spans="1:6" x14ac:dyDescent="0.2">
      <c r="A22" t="s">
        <v>2814</v>
      </c>
      <c r="B22" t="s">
        <v>2815</v>
      </c>
      <c r="C22">
        <v>14120455</v>
      </c>
      <c r="D22" t="s">
        <v>287</v>
      </c>
      <c r="E22" s="134">
        <v>355.58</v>
      </c>
      <c r="F22" t="s">
        <v>2816</v>
      </c>
    </row>
    <row r="23" spans="1:6" x14ac:dyDescent="0.2">
      <c r="A23" t="s">
        <v>2814</v>
      </c>
      <c r="B23" t="s">
        <v>2815</v>
      </c>
      <c r="C23">
        <v>14120715</v>
      </c>
      <c r="D23" t="s">
        <v>295</v>
      </c>
      <c r="E23" s="134">
        <v>355.58</v>
      </c>
      <c r="F23" t="s">
        <v>2816</v>
      </c>
    </row>
    <row r="24" spans="1:6" x14ac:dyDescent="0.2">
      <c r="A24" t="s">
        <v>2814</v>
      </c>
      <c r="B24" t="s">
        <v>2815</v>
      </c>
      <c r="C24">
        <v>14122191</v>
      </c>
      <c r="D24" t="s">
        <v>394</v>
      </c>
      <c r="E24" s="134">
        <v>355.58</v>
      </c>
      <c r="F24" t="s">
        <v>2816</v>
      </c>
    </row>
    <row r="25" spans="1:6" x14ac:dyDescent="0.2">
      <c r="A25" t="s">
        <v>2814</v>
      </c>
      <c r="B25" t="s">
        <v>2815</v>
      </c>
      <c r="C25">
        <v>14122194</v>
      </c>
      <c r="D25" t="s">
        <v>395</v>
      </c>
      <c r="E25" s="134">
        <v>355.58</v>
      </c>
      <c r="F25" t="s">
        <v>2816</v>
      </c>
    </row>
    <row r="26" spans="1:6" x14ac:dyDescent="0.2">
      <c r="A26" t="s">
        <v>2814</v>
      </c>
      <c r="B26" t="s">
        <v>2815</v>
      </c>
      <c r="C26">
        <v>14122221</v>
      </c>
      <c r="D26" t="s">
        <v>396</v>
      </c>
      <c r="E26" s="134">
        <v>355.58</v>
      </c>
      <c r="F26" t="s">
        <v>2816</v>
      </c>
    </row>
    <row r="27" spans="1:6" x14ac:dyDescent="0.2">
      <c r="A27" t="s">
        <v>2814</v>
      </c>
      <c r="B27" t="s">
        <v>2815</v>
      </c>
      <c r="C27">
        <v>14122230</v>
      </c>
      <c r="D27" t="s">
        <v>397</v>
      </c>
      <c r="E27" s="134">
        <v>355.58</v>
      </c>
      <c r="F27" t="s">
        <v>2816</v>
      </c>
    </row>
    <row r="28" spans="1:6" x14ac:dyDescent="0.2">
      <c r="A28" t="s">
        <v>2814</v>
      </c>
      <c r="B28" t="s">
        <v>2815</v>
      </c>
      <c r="C28">
        <v>14122263</v>
      </c>
      <c r="D28" t="s">
        <v>401</v>
      </c>
      <c r="E28" s="134">
        <v>355.58</v>
      </c>
      <c r="F28" t="s">
        <v>2816</v>
      </c>
    </row>
    <row r="29" spans="1:6" x14ac:dyDescent="0.2">
      <c r="A29" t="s">
        <v>2814</v>
      </c>
      <c r="B29" t="s">
        <v>2815</v>
      </c>
      <c r="C29">
        <v>14122291</v>
      </c>
      <c r="D29" t="s">
        <v>402</v>
      </c>
      <c r="E29" s="134">
        <v>355.58</v>
      </c>
      <c r="F29" t="s">
        <v>2816</v>
      </c>
    </row>
    <row r="30" spans="1:6" x14ac:dyDescent="0.2">
      <c r="A30" t="s">
        <v>2814</v>
      </c>
      <c r="B30" t="s">
        <v>2815</v>
      </c>
      <c r="C30">
        <v>14122293</v>
      </c>
      <c r="D30" t="s">
        <v>403</v>
      </c>
      <c r="E30" s="134">
        <v>355.58</v>
      </c>
      <c r="F30" t="s">
        <v>2816</v>
      </c>
    </row>
    <row r="31" spans="1:6" x14ac:dyDescent="0.2">
      <c r="A31" t="s">
        <v>2814</v>
      </c>
      <c r="B31" t="s">
        <v>2815</v>
      </c>
      <c r="C31">
        <v>14122320</v>
      </c>
      <c r="D31" t="s">
        <v>405</v>
      </c>
      <c r="E31" s="134">
        <v>355.58</v>
      </c>
      <c r="F31" t="s">
        <v>2816</v>
      </c>
    </row>
    <row r="32" spans="1:6" x14ac:dyDescent="0.2">
      <c r="A32" t="s">
        <v>2814</v>
      </c>
      <c r="B32" t="s">
        <v>2815</v>
      </c>
      <c r="C32">
        <v>14122329</v>
      </c>
      <c r="D32" t="s">
        <v>406</v>
      </c>
      <c r="E32" s="134">
        <v>355.58</v>
      </c>
      <c r="F32" t="s">
        <v>2816</v>
      </c>
    </row>
    <row r="33" spans="1:6" x14ac:dyDescent="0.2">
      <c r="A33" t="s">
        <v>2814</v>
      </c>
      <c r="B33" t="s">
        <v>2815</v>
      </c>
      <c r="C33">
        <v>14122330</v>
      </c>
      <c r="D33" t="s">
        <v>407</v>
      </c>
      <c r="E33" s="134">
        <v>355.58</v>
      </c>
      <c r="F33" t="s">
        <v>2816</v>
      </c>
    </row>
    <row r="34" spans="1:6" x14ac:dyDescent="0.2">
      <c r="A34" t="s">
        <v>2814</v>
      </c>
      <c r="B34" t="s">
        <v>2815</v>
      </c>
      <c r="C34">
        <v>14122331</v>
      </c>
      <c r="D34" t="s">
        <v>408</v>
      </c>
      <c r="E34" s="134">
        <v>355.58</v>
      </c>
      <c r="F34" t="s">
        <v>2816</v>
      </c>
    </row>
    <row r="35" spans="1:6" x14ac:dyDescent="0.2">
      <c r="A35" t="s">
        <v>2814</v>
      </c>
      <c r="B35" t="s">
        <v>2815</v>
      </c>
      <c r="C35">
        <v>14122353</v>
      </c>
      <c r="D35" t="s">
        <v>409</v>
      </c>
      <c r="E35" s="134">
        <v>355.58</v>
      </c>
      <c r="F35" t="s">
        <v>2816</v>
      </c>
    </row>
    <row r="36" spans="1:6" x14ac:dyDescent="0.2">
      <c r="A36" t="s">
        <v>2814</v>
      </c>
      <c r="B36" t="s">
        <v>2815</v>
      </c>
      <c r="C36">
        <v>14122377</v>
      </c>
      <c r="D36" t="s">
        <v>412</v>
      </c>
      <c r="E36" s="134">
        <v>355.58</v>
      </c>
      <c r="F36" t="s">
        <v>2816</v>
      </c>
    </row>
    <row r="37" spans="1:6" x14ac:dyDescent="0.2">
      <c r="A37" t="s">
        <v>2814</v>
      </c>
      <c r="B37" t="s">
        <v>2815</v>
      </c>
      <c r="C37">
        <v>14122416</v>
      </c>
      <c r="D37" t="s">
        <v>414</v>
      </c>
      <c r="E37" s="134">
        <v>355.58</v>
      </c>
      <c r="F37" t="s">
        <v>2816</v>
      </c>
    </row>
    <row r="38" spans="1:6" x14ac:dyDescent="0.2">
      <c r="A38" t="s">
        <v>2814</v>
      </c>
      <c r="B38" t="s">
        <v>2815</v>
      </c>
      <c r="C38">
        <v>14122417</v>
      </c>
      <c r="D38" t="s">
        <v>415</v>
      </c>
      <c r="E38" s="134">
        <v>355.58</v>
      </c>
      <c r="F38" t="s">
        <v>2816</v>
      </c>
    </row>
    <row r="39" spans="1:6" x14ac:dyDescent="0.2">
      <c r="A39" t="s">
        <v>2814</v>
      </c>
      <c r="B39" t="s">
        <v>2815</v>
      </c>
      <c r="C39">
        <v>14122419</v>
      </c>
      <c r="D39" t="s">
        <v>416</v>
      </c>
      <c r="E39" s="134">
        <v>355.58</v>
      </c>
      <c r="F39" t="s">
        <v>2816</v>
      </c>
    </row>
    <row r="40" spans="1:6" x14ac:dyDescent="0.2">
      <c r="A40" t="s">
        <v>2814</v>
      </c>
      <c r="B40" t="s">
        <v>2815</v>
      </c>
      <c r="C40">
        <v>14122428</v>
      </c>
      <c r="D40" t="s">
        <v>417</v>
      </c>
      <c r="E40" s="134">
        <v>355.58</v>
      </c>
      <c r="F40" t="s">
        <v>2816</v>
      </c>
    </row>
    <row r="41" spans="1:6" x14ac:dyDescent="0.2">
      <c r="A41" t="s">
        <v>2814</v>
      </c>
      <c r="B41" t="s">
        <v>2815</v>
      </c>
      <c r="C41">
        <v>14122431</v>
      </c>
      <c r="D41" t="s">
        <v>419</v>
      </c>
      <c r="E41" s="134">
        <v>711.16</v>
      </c>
      <c r="F41" t="s">
        <v>2816</v>
      </c>
    </row>
    <row r="42" spans="1:6" x14ac:dyDescent="0.2">
      <c r="A42" t="s">
        <v>2814</v>
      </c>
      <c r="B42" t="s">
        <v>2815</v>
      </c>
      <c r="C42">
        <v>14122481</v>
      </c>
      <c r="D42" t="s">
        <v>420</v>
      </c>
      <c r="E42" s="134">
        <v>355.58</v>
      </c>
      <c r="F42" t="s">
        <v>2816</v>
      </c>
    </row>
    <row r="43" spans="1:6" x14ac:dyDescent="0.2">
      <c r="A43" t="s">
        <v>2814</v>
      </c>
      <c r="B43" t="s">
        <v>2815</v>
      </c>
      <c r="C43">
        <v>14122510</v>
      </c>
      <c r="D43" t="s">
        <v>424</v>
      </c>
      <c r="E43" s="134">
        <v>355.58</v>
      </c>
      <c r="F43" t="s">
        <v>2816</v>
      </c>
    </row>
    <row r="44" spans="1:6" x14ac:dyDescent="0.2">
      <c r="A44" t="s">
        <v>2814</v>
      </c>
      <c r="B44" t="s">
        <v>2815</v>
      </c>
      <c r="C44">
        <v>14122546</v>
      </c>
      <c r="D44" t="s">
        <v>428</v>
      </c>
      <c r="E44" s="134">
        <v>355.58</v>
      </c>
      <c r="F44" t="s">
        <v>2816</v>
      </c>
    </row>
    <row r="45" spans="1:6" x14ac:dyDescent="0.2">
      <c r="A45" t="s">
        <v>2814</v>
      </c>
      <c r="B45" t="s">
        <v>2815</v>
      </c>
      <c r="C45">
        <v>14122617</v>
      </c>
      <c r="D45" t="s">
        <v>429</v>
      </c>
      <c r="E45" s="134">
        <v>355.58</v>
      </c>
      <c r="F45" t="s">
        <v>2816</v>
      </c>
    </row>
    <row r="46" spans="1:6" x14ac:dyDescent="0.2">
      <c r="A46" t="s">
        <v>2814</v>
      </c>
      <c r="B46" t="s">
        <v>2815</v>
      </c>
      <c r="C46">
        <v>14122618</v>
      </c>
      <c r="D46" t="s">
        <v>430</v>
      </c>
      <c r="E46" s="134">
        <v>355.58</v>
      </c>
      <c r="F46" t="s">
        <v>2816</v>
      </c>
    </row>
    <row r="47" spans="1:6" x14ac:dyDescent="0.2">
      <c r="A47" t="s">
        <v>2814</v>
      </c>
      <c r="B47" t="s">
        <v>2815</v>
      </c>
      <c r="C47">
        <v>14122621</v>
      </c>
      <c r="D47" t="s">
        <v>431</v>
      </c>
      <c r="E47" s="134">
        <v>355.58</v>
      </c>
      <c r="F47" t="s">
        <v>2816</v>
      </c>
    </row>
    <row r="48" spans="1:6" x14ac:dyDescent="0.2">
      <c r="A48" t="s">
        <v>2814</v>
      </c>
      <c r="B48" t="s">
        <v>2815</v>
      </c>
      <c r="C48">
        <v>14122683</v>
      </c>
      <c r="D48" t="s">
        <v>435</v>
      </c>
      <c r="E48" s="134">
        <v>355.58</v>
      </c>
      <c r="F48" t="s">
        <v>2816</v>
      </c>
    </row>
    <row r="49" spans="1:6" x14ac:dyDescent="0.2">
      <c r="A49" t="s">
        <v>2814</v>
      </c>
      <c r="B49" t="s">
        <v>2815</v>
      </c>
      <c r="C49">
        <v>14122685</v>
      </c>
      <c r="D49" t="s">
        <v>436</v>
      </c>
      <c r="E49" s="134">
        <v>355.58</v>
      </c>
      <c r="F49" t="s">
        <v>2816</v>
      </c>
    </row>
    <row r="50" spans="1:6" x14ac:dyDescent="0.2">
      <c r="A50" t="s">
        <v>2814</v>
      </c>
      <c r="B50" t="s">
        <v>2815</v>
      </c>
      <c r="C50">
        <v>14122687</v>
      </c>
      <c r="D50" t="s">
        <v>437</v>
      </c>
      <c r="E50" s="134">
        <v>355.58</v>
      </c>
      <c r="F50" t="s">
        <v>2816</v>
      </c>
    </row>
    <row r="51" spans="1:6" x14ac:dyDescent="0.2">
      <c r="A51" t="s">
        <v>2814</v>
      </c>
      <c r="B51" t="s">
        <v>2815</v>
      </c>
      <c r="C51">
        <v>14122707</v>
      </c>
      <c r="D51" t="s">
        <v>439</v>
      </c>
      <c r="E51" s="134">
        <v>355.58</v>
      </c>
      <c r="F51" t="s">
        <v>2816</v>
      </c>
    </row>
    <row r="52" spans="1:6" x14ac:dyDescent="0.2">
      <c r="A52" t="s">
        <v>2814</v>
      </c>
      <c r="B52" t="s">
        <v>2815</v>
      </c>
      <c r="C52">
        <v>14122709</v>
      </c>
      <c r="D52" t="s">
        <v>441</v>
      </c>
      <c r="E52" s="134">
        <v>355.58</v>
      </c>
      <c r="F52" t="s">
        <v>2816</v>
      </c>
    </row>
    <row r="53" spans="1:6" x14ac:dyDescent="0.2">
      <c r="A53" t="s">
        <v>2814</v>
      </c>
      <c r="B53" t="s">
        <v>2815</v>
      </c>
      <c r="C53">
        <v>14122758</v>
      </c>
      <c r="D53" t="s">
        <v>442</v>
      </c>
      <c r="E53" s="134">
        <v>355.58</v>
      </c>
      <c r="F53" t="s">
        <v>2816</v>
      </c>
    </row>
    <row r="54" spans="1:6" x14ac:dyDescent="0.2">
      <c r="A54" t="s">
        <v>2814</v>
      </c>
      <c r="B54" t="s">
        <v>2815</v>
      </c>
      <c r="C54">
        <v>14122772</v>
      </c>
      <c r="D54" t="s">
        <v>443</v>
      </c>
      <c r="E54" s="134">
        <v>355.58</v>
      </c>
      <c r="F54" t="s">
        <v>2816</v>
      </c>
    </row>
    <row r="55" spans="1:6" x14ac:dyDescent="0.2">
      <c r="A55" t="s">
        <v>2814</v>
      </c>
      <c r="B55" t="s">
        <v>2815</v>
      </c>
      <c r="C55">
        <v>14122773</v>
      </c>
      <c r="D55" t="s">
        <v>444</v>
      </c>
      <c r="E55" s="134">
        <v>355.58</v>
      </c>
      <c r="F55" t="s">
        <v>2816</v>
      </c>
    </row>
    <row r="56" spans="1:6" x14ac:dyDescent="0.2">
      <c r="A56" t="s">
        <v>2814</v>
      </c>
      <c r="B56" t="s">
        <v>2815</v>
      </c>
      <c r="C56">
        <v>14122775</v>
      </c>
      <c r="D56" t="s">
        <v>445</v>
      </c>
      <c r="E56" s="134">
        <v>355.58</v>
      </c>
      <c r="F56" t="s">
        <v>2816</v>
      </c>
    </row>
    <row r="57" spans="1:6" x14ac:dyDescent="0.2">
      <c r="A57" t="s">
        <v>2814</v>
      </c>
      <c r="B57" t="s">
        <v>2815</v>
      </c>
      <c r="C57">
        <v>14122809</v>
      </c>
      <c r="D57" t="s">
        <v>446</v>
      </c>
      <c r="E57" s="134">
        <v>355.58</v>
      </c>
      <c r="F57" t="s">
        <v>2816</v>
      </c>
    </row>
    <row r="58" spans="1:6" x14ac:dyDescent="0.2">
      <c r="A58" t="s">
        <v>2814</v>
      </c>
      <c r="B58" t="s">
        <v>2815</v>
      </c>
      <c r="C58">
        <v>14122831</v>
      </c>
      <c r="D58" t="s">
        <v>447</v>
      </c>
      <c r="E58" s="134">
        <v>355.58</v>
      </c>
      <c r="F58" t="s">
        <v>2816</v>
      </c>
    </row>
    <row r="59" spans="1:6" x14ac:dyDescent="0.2">
      <c r="A59" t="s">
        <v>2814</v>
      </c>
      <c r="B59" t="s">
        <v>2815</v>
      </c>
      <c r="C59">
        <v>14122852</v>
      </c>
      <c r="D59" t="s">
        <v>449</v>
      </c>
      <c r="E59" s="134">
        <v>355.58</v>
      </c>
      <c r="F59" t="s">
        <v>2816</v>
      </c>
    </row>
    <row r="60" spans="1:6" x14ac:dyDescent="0.2">
      <c r="A60" t="s">
        <v>2814</v>
      </c>
      <c r="B60" t="s">
        <v>2815</v>
      </c>
      <c r="C60">
        <v>14122854</v>
      </c>
      <c r="D60" t="s">
        <v>450</v>
      </c>
      <c r="E60" s="134">
        <v>355.58</v>
      </c>
      <c r="F60" t="s">
        <v>2816</v>
      </c>
    </row>
    <row r="61" spans="1:6" x14ac:dyDescent="0.2">
      <c r="A61" t="s">
        <v>2814</v>
      </c>
      <c r="B61" t="s">
        <v>2815</v>
      </c>
      <c r="C61">
        <v>14122856</v>
      </c>
      <c r="D61" t="s">
        <v>452</v>
      </c>
      <c r="E61" s="134">
        <v>355.58</v>
      </c>
      <c r="F61" t="s">
        <v>2816</v>
      </c>
    </row>
    <row r="62" spans="1:6" x14ac:dyDescent="0.2">
      <c r="A62" t="s">
        <v>2814</v>
      </c>
      <c r="B62" t="s">
        <v>2815</v>
      </c>
      <c r="C62">
        <v>14122922</v>
      </c>
      <c r="D62" t="s">
        <v>458</v>
      </c>
      <c r="E62" s="134">
        <v>355.58</v>
      </c>
      <c r="F62" t="s">
        <v>2816</v>
      </c>
    </row>
    <row r="63" spans="1:6" x14ac:dyDescent="0.2">
      <c r="A63" t="s">
        <v>2814</v>
      </c>
      <c r="B63" t="s">
        <v>2815</v>
      </c>
      <c r="C63">
        <v>14122923</v>
      </c>
      <c r="D63" t="s">
        <v>459</v>
      </c>
      <c r="E63" s="134">
        <v>355.58</v>
      </c>
      <c r="F63" t="s">
        <v>2816</v>
      </c>
    </row>
    <row r="64" spans="1:6" x14ac:dyDescent="0.2">
      <c r="A64" t="s">
        <v>2814</v>
      </c>
      <c r="B64" t="s">
        <v>2815</v>
      </c>
      <c r="C64">
        <v>14122925</v>
      </c>
      <c r="D64" t="s">
        <v>460</v>
      </c>
      <c r="E64" s="134">
        <v>355.58</v>
      </c>
      <c r="F64" t="s">
        <v>2816</v>
      </c>
    </row>
    <row r="65" spans="1:6" x14ac:dyDescent="0.2">
      <c r="A65" t="s">
        <v>2814</v>
      </c>
      <c r="B65" t="s">
        <v>2815</v>
      </c>
      <c r="C65">
        <v>14122928</v>
      </c>
      <c r="D65" t="s">
        <v>462</v>
      </c>
      <c r="E65" s="134">
        <v>355.58</v>
      </c>
      <c r="F65" t="s">
        <v>2816</v>
      </c>
    </row>
    <row r="66" spans="1:6" x14ac:dyDescent="0.2">
      <c r="A66" t="s">
        <v>2814</v>
      </c>
      <c r="B66" t="s">
        <v>2815</v>
      </c>
      <c r="C66">
        <v>14122992</v>
      </c>
      <c r="D66" t="s">
        <v>465</v>
      </c>
      <c r="E66" s="134">
        <v>355.58</v>
      </c>
      <c r="F66" t="s">
        <v>2816</v>
      </c>
    </row>
    <row r="67" spans="1:6" x14ac:dyDescent="0.2">
      <c r="A67" t="s">
        <v>2814</v>
      </c>
      <c r="B67" t="s">
        <v>2815</v>
      </c>
      <c r="C67">
        <v>14122993</v>
      </c>
      <c r="D67" t="s">
        <v>466</v>
      </c>
      <c r="E67" s="134">
        <v>355.58</v>
      </c>
      <c r="F67" t="s">
        <v>2816</v>
      </c>
    </row>
    <row r="68" spans="1:6" x14ac:dyDescent="0.2">
      <c r="A68" t="s">
        <v>2814</v>
      </c>
      <c r="B68" t="s">
        <v>2815</v>
      </c>
      <c r="C68">
        <v>14123004</v>
      </c>
      <c r="D68" t="s">
        <v>468</v>
      </c>
      <c r="E68" s="134">
        <v>355.58</v>
      </c>
      <c r="F68" t="s">
        <v>2816</v>
      </c>
    </row>
    <row r="69" spans="1:6" x14ac:dyDescent="0.2">
      <c r="A69" t="s">
        <v>2814</v>
      </c>
      <c r="B69" t="s">
        <v>2815</v>
      </c>
      <c r="C69">
        <v>14123008</v>
      </c>
      <c r="D69" t="s">
        <v>469</v>
      </c>
      <c r="E69" s="134">
        <v>355.58</v>
      </c>
      <c r="F69" t="s">
        <v>2816</v>
      </c>
    </row>
    <row r="70" spans="1:6" x14ac:dyDescent="0.2">
      <c r="A70" t="s">
        <v>2814</v>
      </c>
      <c r="B70" t="s">
        <v>2815</v>
      </c>
      <c r="C70">
        <v>14123010</v>
      </c>
      <c r="D70" t="s">
        <v>470</v>
      </c>
      <c r="E70" s="134">
        <v>355.58</v>
      </c>
      <c r="F70" t="s">
        <v>2816</v>
      </c>
    </row>
    <row r="71" spans="1:6" x14ac:dyDescent="0.2">
      <c r="A71" t="s">
        <v>2814</v>
      </c>
      <c r="B71" t="s">
        <v>2815</v>
      </c>
      <c r="C71">
        <v>14123049</v>
      </c>
      <c r="D71" t="s">
        <v>472</v>
      </c>
      <c r="E71" s="134">
        <v>355.58</v>
      </c>
      <c r="F71" t="s">
        <v>2816</v>
      </c>
    </row>
    <row r="72" spans="1:6" x14ac:dyDescent="0.2">
      <c r="A72" t="s">
        <v>2814</v>
      </c>
      <c r="B72" t="s">
        <v>2815</v>
      </c>
      <c r="C72">
        <v>14123063</v>
      </c>
      <c r="D72" t="s">
        <v>473</v>
      </c>
      <c r="E72" s="134">
        <v>355.58</v>
      </c>
      <c r="F72" t="s">
        <v>2816</v>
      </c>
    </row>
    <row r="73" spans="1:6" x14ac:dyDescent="0.2">
      <c r="A73" t="s">
        <v>2814</v>
      </c>
      <c r="B73" t="s">
        <v>2815</v>
      </c>
      <c r="C73">
        <v>14123080</v>
      </c>
      <c r="D73" t="s">
        <v>475</v>
      </c>
      <c r="E73" s="134">
        <v>355.58</v>
      </c>
      <c r="F73" t="s">
        <v>2816</v>
      </c>
    </row>
    <row r="74" spans="1:6" x14ac:dyDescent="0.2">
      <c r="A74" t="s">
        <v>2814</v>
      </c>
      <c r="B74" t="s">
        <v>2815</v>
      </c>
      <c r="C74">
        <v>14123081</v>
      </c>
      <c r="D74" t="s">
        <v>476</v>
      </c>
      <c r="E74" s="134">
        <v>355.58</v>
      </c>
      <c r="F74" t="s">
        <v>2816</v>
      </c>
    </row>
    <row r="75" spans="1:6" x14ac:dyDescent="0.2">
      <c r="A75" t="s">
        <v>2814</v>
      </c>
      <c r="B75" t="s">
        <v>2815</v>
      </c>
      <c r="C75">
        <v>14123084</v>
      </c>
      <c r="D75" t="s">
        <v>479</v>
      </c>
      <c r="E75" s="134">
        <v>355.58</v>
      </c>
      <c r="F75" t="s">
        <v>2816</v>
      </c>
    </row>
    <row r="76" spans="1:6" x14ac:dyDescent="0.2">
      <c r="A76" t="s">
        <v>2814</v>
      </c>
      <c r="B76" t="s">
        <v>2815</v>
      </c>
      <c r="C76">
        <v>14123107</v>
      </c>
      <c r="D76" t="s">
        <v>480</v>
      </c>
      <c r="E76" s="134">
        <v>355.58</v>
      </c>
      <c r="F76" t="s">
        <v>2816</v>
      </c>
    </row>
    <row r="77" spans="1:6" x14ac:dyDescent="0.2">
      <c r="A77" t="s">
        <v>2814</v>
      </c>
      <c r="B77" t="s">
        <v>2815</v>
      </c>
      <c r="C77">
        <v>14123193</v>
      </c>
      <c r="D77" t="s">
        <v>484</v>
      </c>
      <c r="E77" s="134">
        <v>355.58</v>
      </c>
      <c r="F77" t="s">
        <v>2816</v>
      </c>
    </row>
    <row r="78" spans="1:6" x14ac:dyDescent="0.2">
      <c r="A78" t="s">
        <v>2814</v>
      </c>
      <c r="B78" t="s">
        <v>2815</v>
      </c>
      <c r="C78">
        <v>14123228</v>
      </c>
      <c r="D78" t="s">
        <v>486</v>
      </c>
      <c r="E78" s="134">
        <v>355.58</v>
      </c>
      <c r="F78" t="s">
        <v>2816</v>
      </c>
    </row>
    <row r="79" spans="1:6" x14ac:dyDescent="0.2">
      <c r="A79" t="s">
        <v>2814</v>
      </c>
      <c r="B79" t="s">
        <v>2815</v>
      </c>
      <c r="C79">
        <v>14123238</v>
      </c>
      <c r="D79" t="s">
        <v>487</v>
      </c>
      <c r="E79" s="134">
        <v>355.58</v>
      </c>
      <c r="F79" t="s">
        <v>2816</v>
      </c>
    </row>
    <row r="80" spans="1:6" x14ac:dyDescent="0.2">
      <c r="A80" t="s">
        <v>2814</v>
      </c>
      <c r="B80" t="s">
        <v>2815</v>
      </c>
      <c r="C80">
        <v>14123240</v>
      </c>
      <c r="D80" t="s">
        <v>488</v>
      </c>
      <c r="E80" s="134">
        <v>355.58</v>
      </c>
      <c r="F80" t="s">
        <v>2816</v>
      </c>
    </row>
    <row r="81" spans="1:6" x14ac:dyDescent="0.2">
      <c r="A81" t="s">
        <v>2814</v>
      </c>
      <c r="B81" t="s">
        <v>2815</v>
      </c>
      <c r="C81">
        <v>14123254</v>
      </c>
      <c r="D81" t="s">
        <v>490</v>
      </c>
      <c r="E81" s="134">
        <v>355.58</v>
      </c>
      <c r="F81" t="s">
        <v>2816</v>
      </c>
    </row>
    <row r="82" spans="1:6" x14ac:dyDescent="0.2">
      <c r="A82" t="s">
        <v>2814</v>
      </c>
      <c r="B82" t="s">
        <v>2815</v>
      </c>
      <c r="C82">
        <v>14123272</v>
      </c>
      <c r="D82" t="s">
        <v>499</v>
      </c>
      <c r="E82" s="134">
        <v>355.58</v>
      </c>
      <c r="F82" t="s">
        <v>2816</v>
      </c>
    </row>
    <row r="83" spans="1:6" x14ac:dyDescent="0.2">
      <c r="A83" t="s">
        <v>2814</v>
      </c>
      <c r="B83" t="s">
        <v>2815</v>
      </c>
      <c r="C83">
        <v>14123273</v>
      </c>
      <c r="D83" t="s">
        <v>491</v>
      </c>
      <c r="E83" s="134">
        <v>355.58</v>
      </c>
      <c r="F83" t="s">
        <v>2816</v>
      </c>
    </row>
    <row r="84" spans="1:6" x14ac:dyDescent="0.2">
      <c r="A84" t="s">
        <v>2814</v>
      </c>
      <c r="B84" t="s">
        <v>2815</v>
      </c>
      <c r="C84">
        <v>14123274</v>
      </c>
      <c r="D84" t="s">
        <v>492</v>
      </c>
      <c r="E84" s="134">
        <v>355.58</v>
      </c>
      <c r="F84" t="s">
        <v>2816</v>
      </c>
    </row>
    <row r="85" spans="1:6" x14ac:dyDescent="0.2">
      <c r="A85" t="s">
        <v>2814</v>
      </c>
      <c r="B85" t="s">
        <v>2815</v>
      </c>
      <c r="C85">
        <v>14123275</v>
      </c>
      <c r="D85" t="s">
        <v>493</v>
      </c>
      <c r="E85" s="134">
        <v>355.58</v>
      </c>
      <c r="F85" t="s">
        <v>2816</v>
      </c>
    </row>
    <row r="86" spans="1:6" x14ac:dyDescent="0.2">
      <c r="A86" t="s">
        <v>2814</v>
      </c>
      <c r="B86" t="s">
        <v>2815</v>
      </c>
      <c r="C86">
        <v>14123276</v>
      </c>
      <c r="D86" t="s">
        <v>494</v>
      </c>
      <c r="E86" s="134">
        <v>355.58</v>
      </c>
      <c r="F86" t="s">
        <v>2816</v>
      </c>
    </row>
    <row r="87" spans="1:6" x14ac:dyDescent="0.2">
      <c r="A87" t="s">
        <v>2814</v>
      </c>
      <c r="B87" t="s">
        <v>2815</v>
      </c>
      <c r="C87">
        <v>14123331</v>
      </c>
      <c r="D87" t="s">
        <v>500</v>
      </c>
      <c r="E87" s="134">
        <v>355.58</v>
      </c>
      <c r="F87" t="s">
        <v>2816</v>
      </c>
    </row>
    <row r="88" spans="1:6" x14ac:dyDescent="0.2">
      <c r="A88" t="s">
        <v>2814</v>
      </c>
      <c r="B88" t="s">
        <v>2815</v>
      </c>
      <c r="C88">
        <v>14123334</v>
      </c>
      <c r="D88" t="s">
        <v>502</v>
      </c>
      <c r="E88" s="134">
        <v>355.58</v>
      </c>
      <c r="F88" t="s">
        <v>2816</v>
      </c>
    </row>
    <row r="89" spans="1:6" x14ac:dyDescent="0.2">
      <c r="A89" t="s">
        <v>2814</v>
      </c>
      <c r="B89" t="s">
        <v>2815</v>
      </c>
      <c r="C89">
        <v>14123377</v>
      </c>
      <c r="D89" t="s">
        <v>505</v>
      </c>
      <c r="E89" s="134">
        <v>355.58</v>
      </c>
      <c r="F89" t="s">
        <v>2816</v>
      </c>
    </row>
    <row r="90" spans="1:6" x14ac:dyDescent="0.2">
      <c r="A90" t="s">
        <v>2814</v>
      </c>
      <c r="B90" t="s">
        <v>2815</v>
      </c>
      <c r="C90">
        <v>14123445</v>
      </c>
      <c r="D90" t="s">
        <v>506</v>
      </c>
      <c r="E90" s="134">
        <v>355.58</v>
      </c>
      <c r="F90" t="s">
        <v>2816</v>
      </c>
    </row>
    <row r="91" spans="1:6" x14ac:dyDescent="0.2">
      <c r="A91" t="s">
        <v>2814</v>
      </c>
      <c r="B91" t="s">
        <v>2815</v>
      </c>
      <c r="C91">
        <v>14123446</v>
      </c>
      <c r="D91" t="s">
        <v>507</v>
      </c>
      <c r="E91" s="134">
        <v>355.58</v>
      </c>
      <c r="F91" t="s">
        <v>2816</v>
      </c>
    </row>
    <row r="92" spans="1:6" x14ac:dyDescent="0.2">
      <c r="A92" t="s">
        <v>2814</v>
      </c>
      <c r="B92" t="s">
        <v>2815</v>
      </c>
      <c r="C92">
        <v>14123447</v>
      </c>
      <c r="D92" t="s">
        <v>508</v>
      </c>
      <c r="E92" s="134">
        <v>355.58</v>
      </c>
      <c r="F92" t="s">
        <v>2816</v>
      </c>
    </row>
    <row r="93" spans="1:6" x14ac:dyDescent="0.2">
      <c r="A93" t="s">
        <v>2814</v>
      </c>
      <c r="B93" t="s">
        <v>2815</v>
      </c>
      <c r="C93">
        <v>14123459</v>
      </c>
      <c r="D93" t="s">
        <v>509</v>
      </c>
      <c r="E93" s="134">
        <v>355.58</v>
      </c>
      <c r="F93" t="s">
        <v>2816</v>
      </c>
    </row>
    <row r="94" spans="1:6" x14ac:dyDescent="0.2">
      <c r="A94" t="s">
        <v>2814</v>
      </c>
      <c r="B94" t="s">
        <v>2815</v>
      </c>
      <c r="C94">
        <v>14123460</v>
      </c>
      <c r="D94" t="s">
        <v>510</v>
      </c>
      <c r="E94" s="134">
        <v>355.58</v>
      </c>
      <c r="F94" t="s">
        <v>2816</v>
      </c>
    </row>
    <row r="95" spans="1:6" x14ac:dyDescent="0.2">
      <c r="A95" t="s">
        <v>2814</v>
      </c>
      <c r="B95" t="s">
        <v>2815</v>
      </c>
      <c r="C95">
        <v>14123461</v>
      </c>
      <c r="D95" t="s">
        <v>511</v>
      </c>
      <c r="E95" s="134">
        <v>355.58</v>
      </c>
      <c r="F95" t="s">
        <v>2816</v>
      </c>
    </row>
    <row r="96" spans="1:6" x14ac:dyDescent="0.2">
      <c r="A96" t="s">
        <v>2814</v>
      </c>
      <c r="B96" t="s">
        <v>2815</v>
      </c>
      <c r="C96">
        <v>14123462</v>
      </c>
      <c r="D96" t="s">
        <v>517</v>
      </c>
      <c r="E96" s="134">
        <v>355.58</v>
      </c>
      <c r="F96" t="s">
        <v>2816</v>
      </c>
    </row>
    <row r="97" spans="1:6" x14ac:dyDescent="0.2">
      <c r="A97" t="s">
        <v>2814</v>
      </c>
      <c r="B97" t="s">
        <v>2815</v>
      </c>
      <c r="C97">
        <v>14123463</v>
      </c>
      <c r="D97" t="s">
        <v>512</v>
      </c>
      <c r="E97" s="134">
        <v>355.58</v>
      </c>
      <c r="F97" t="s">
        <v>2816</v>
      </c>
    </row>
    <row r="98" spans="1:6" x14ac:dyDescent="0.2">
      <c r="A98" t="s">
        <v>2814</v>
      </c>
      <c r="B98" t="s">
        <v>2815</v>
      </c>
      <c r="C98">
        <v>14123471</v>
      </c>
      <c r="D98" t="s">
        <v>513</v>
      </c>
      <c r="E98" s="134">
        <v>355.58</v>
      </c>
      <c r="F98" t="s">
        <v>2816</v>
      </c>
    </row>
    <row r="99" spans="1:6" x14ac:dyDescent="0.2">
      <c r="A99" t="s">
        <v>2814</v>
      </c>
      <c r="B99" t="s">
        <v>2815</v>
      </c>
      <c r="C99">
        <v>14123473</v>
      </c>
      <c r="D99" t="s">
        <v>514</v>
      </c>
      <c r="E99" s="134">
        <v>355.58</v>
      </c>
      <c r="F99" t="s">
        <v>2816</v>
      </c>
    </row>
    <row r="100" spans="1:6" x14ac:dyDescent="0.2">
      <c r="A100" t="s">
        <v>2814</v>
      </c>
      <c r="B100" t="s">
        <v>2815</v>
      </c>
      <c r="C100">
        <v>14123488</v>
      </c>
      <c r="D100" t="s">
        <v>515</v>
      </c>
      <c r="E100" s="134">
        <v>355.58</v>
      </c>
      <c r="F100" t="s">
        <v>2816</v>
      </c>
    </row>
    <row r="101" spans="1:6" x14ac:dyDescent="0.2">
      <c r="A101" t="s">
        <v>2814</v>
      </c>
      <c r="B101" t="s">
        <v>2815</v>
      </c>
      <c r="C101">
        <v>14123489</v>
      </c>
      <c r="D101" t="s">
        <v>516</v>
      </c>
      <c r="E101" s="134">
        <v>355.58</v>
      </c>
      <c r="F101" t="s">
        <v>2816</v>
      </c>
    </row>
    <row r="102" spans="1:6" x14ac:dyDescent="0.2">
      <c r="A102" t="s">
        <v>2814</v>
      </c>
      <c r="B102" t="s">
        <v>2815</v>
      </c>
      <c r="C102">
        <v>14123514</v>
      </c>
      <c r="D102" t="s">
        <v>519</v>
      </c>
      <c r="E102" s="134">
        <v>355.58</v>
      </c>
      <c r="F102" t="s">
        <v>2816</v>
      </c>
    </row>
    <row r="103" spans="1:6" x14ac:dyDescent="0.2">
      <c r="A103" t="s">
        <v>2814</v>
      </c>
      <c r="B103" t="s">
        <v>2815</v>
      </c>
      <c r="C103">
        <v>14123522</v>
      </c>
      <c r="D103" t="s">
        <v>522</v>
      </c>
      <c r="E103" s="134">
        <v>355.58</v>
      </c>
      <c r="F103" t="s">
        <v>2816</v>
      </c>
    </row>
    <row r="104" spans="1:6" x14ac:dyDescent="0.2">
      <c r="A104" t="s">
        <v>2814</v>
      </c>
      <c r="B104" t="s">
        <v>2815</v>
      </c>
      <c r="C104">
        <v>14123523</v>
      </c>
      <c r="D104" t="s">
        <v>523</v>
      </c>
      <c r="E104" s="134">
        <v>355.58</v>
      </c>
      <c r="F104" t="s">
        <v>2816</v>
      </c>
    </row>
    <row r="105" spans="1:6" x14ac:dyDescent="0.2">
      <c r="A105" t="s">
        <v>2814</v>
      </c>
      <c r="B105" t="s">
        <v>2815</v>
      </c>
      <c r="C105">
        <v>14123526</v>
      </c>
      <c r="D105" t="s">
        <v>524</v>
      </c>
      <c r="E105" s="134">
        <v>355.58</v>
      </c>
      <c r="F105" t="s">
        <v>2816</v>
      </c>
    </row>
    <row r="106" spans="1:6" x14ac:dyDescent="0.2">
      <c r="A106" t="s">
        <v>2814</v>
      </c>
      <c r="B106" t="s">
        <v>2815</v>
      </c>
      <c r="C106">
        <v>14123527</v>
      </c>
      <c r="D106" t="s">
        <v>525</v>
      </c>
      <c r="E106" s="134">
        <v>355.58</v>
      </c>
      <c r="F106" t="s">
        <v>2816</v>
      </c>
    </row>
    <row r="107" spans="1:6" x14ac:dyDescent="0.2">
      <c r="A107" t="s">
        <v>2814</v>
      </c>
      <c r="B107" t="s">
        <v>2815</v>
      </c>
      <c r="C107">
        <v>14123528</v>
      </c>
      <c r="D107" t="s">
        <v>526</v>
      </c>
      <c r="E107" s="134">
        <v>355.58</v>
      </c>
      <c r="F107" t="s">
        <v>2816</v>
      </c>
    </row>
    <row r="108" spans="1:6" x14ac:dyDescent="0.2">
      <c r="A108" t="s">
        <v>2814</v>
      </c>
      <c r="B108" t="s">
        <v>2815</v>
      </c>
      <c r="C108">
        <v>14123530</v>
      </c>
      <c r="D108" t="s">
        <v>527</v>
      </c>
      <c r="E108" s="134">
        <v>355.58</v>
      </c>
      <c r="F108" t="s">
        <v>2816</v>
      </c>
    </row>
    <row r="109" spans="1:6" x14ac:dyDescent="0.2">
      <c r="A109" t="s">
        <v>2814</v>
      </c>
      <c r="B109" t="s">
        <v>2815</v>
      </c>
      <c r="C109">
        <v>14123536</v>
      </c>
      <c r="D109" t="s">
        <v>528</v>
      </c>
      <c r="E109" s="134">
        <v>355.58</v>
      </c>
      <c r="F109" t="s">
        <v>2816</v>
      </c>
    </row>
    <row r="110" spans="1:6" x14ac:dyDescent="0.2">
      <c r="A110" t="s">
        <v>2814</v>
      </c>
      <c r="B110" t="s">
        <v>2815</v>
      </c>
      <c r="C110">
        <v>14123557</v>
      </c>
      <c r="D110" t="s">
        <v>530</v>
      </c>
      <c r="E110" s="134">
        <v>355.58</v>
      </c>
      <c r="F110" t="s">
        <v>2816</v>
      </c>
    </row>
    <row r="111" spans="1:6" x14ac:dyDescent="0.2">
      <c r="A111" t="s">
        <v>2814</v>
      </c>
      <c r="B111" t="s">
        <v>2815</v>
      </c>
      <c r="C111">
        <v>14123559</v>
      </c>
      <c r="D111" t="s">
        <v>531</v>
      </c>
      <c r="E111" s="134">
        <v>355.58</v>
      </c>
      <c r="F111" t="s">
        <v>2816</v>
      </c>
    </row>
    <row r="112" spans="1:6" x14ac:dyDescent="0.2">
      <c r="A112" t="s">
        <v>2814</v>
      </c>
      <c r="B112" t="s">
        <v>2815</v>
      </c>
      <c r="C112">
        <v>14123562</v>
      </c>
      <c r="D112" t="s">
        <v>532</v>
      </c>
      <c r="E112" s="134">
        <v>355.58</v>
      </c>
      <c r="F112" t="s">
        <v>2816</v>
      </c>
    </row>
    <row r="113" spans="1:6" x14ac:dyDescent="0.2">
      <c r="A113" t="s">
        <v>2814</v>
      </c>
      <c r="B113" t="s">
        <v>2815</v>
      </c>
      <c r="C113">
        <v>14123569</v>
      </c>
      <c r="D113" t="s">
        <v>534</v>
      </c>
      <c r="E113" s="134">
        <v>355.58</v>
      </c>
      <c r="F113" t="s">
        <v>2816</v>
      </c>
    </row>
    <row r="114" spans="1:6" x14ac:dyDescent="0.2">
      <c r="A114" t="s">
        <v>2814</v>
      </c>
      <c r="B114" t="s">
        <v>2815</v>
      </c>
      <c r="C114">
        <v>14123570</v>
      </c>
      <c r="D114" t="s">
        <v>535</v>
      </c>
      <c r="E114" s="134">
        <v>355.58</v>
      </c>
      <c r="F114" t="s">
        <v>2816</v>
      </c>
    </row>
    <row r="115" spans="1:6" x14ac:dyDescent="0.2">
      <c r="A115" t="s">
        <v>2814</v>
      </c>
      <c r="B115" t="s">
        <v>2815</v>
      </c>
      <c r="C115">
        <v>14123571</v>
      </c>
      <c r="D115" t="s">
        <v>536</v>
      </c>
      <c r="E115" s="134">
        <v>355.58</v>
      </c>
      <c r="F115" t="s">
        <v>2816</v>
      </c>
    </row>
    <row r="116" spans="1:6" x14ac:dyDescent="0.2">
      <c r="A116" t="s">
        <v>2814</v>
      </c>
      <c r="B116" t="s">
        <v>2815</v>
      </c>
      <c r="C116">
        <v>14123573</v>
      </c>
      <c r="D116" t="s">
        <v>538</v>
      </c>
      <c r="E116" s="134">
        <v>355.58</v>
      </c>
      <c r="F116" t="s">
        <v>2816</v>
      </c>
    </row>
    <row r="117" spans="1:6" x14ac:dyDescent="0.2">
      <c r="A117" t="s">
        <v>2814</v>
      </c>
      <c r="B117" t="s">
        <v>2815</v>
      </c>
      <c r="C117">
        <v>14123591</v>
      </c>
      <c r="D117" t="s">
        <v>539</v>
      </c>
      <c r="E117" s="134">
        <v>355.58</v>
      </c>
      <c r="F117" t="s">
        <v>2816</v>
      </c>
    </row>
    <row r="118" spans="1:6" x14ac:dyDescent="0.2">
      <c r="A118" t="s">
        <v>2814</v>
      </c>
      <c r="B118" t="s">
        <v>2815</v>
      </c>
      <c r="C118">
        <v>14123599</v>
      </c>
      <c r="D118" t="s">
        <v>540</v>
      </c>
      <c r="E118" s="134">
        <v>355.58</v>
      </c>
      <c r="F118" t="s">
        <v>2816</v>
      </c>
    </row>
    <row r="119" spans="1:6" x14ac:dyDescent="0.2">
      <c r="A119" t="s">
        <v>2814</v>
      </c>
      <c r="B119" t="s">
        <v>2815</v>
      </c>
      <c r="C119">
        <v>14123629</v>
      </c>
      <c r="D119" t="s">
        <v>541</v>
      </c>
      <c r="E119" s="134">
        <v>355.58</v>
      </c>
      <c r="F119" t="s">
        <v>2816</v>
      </c>
    </row>
    <row r="120" spans="1:6" x14ac:dyDescent="0.2">
      <c r="A120" t="s">
        <v>2814</v>
      </c>
      <c r="B120" t="s">
        <v>2815</v>
      </c>
      <c r="C120">
        <v>14123635</v>
      </c>
      <c r="D120" t="s">
        <v>899</v>
      </c>
      <c r="E120" s="134">
        <v>355.58</v>
      </c>
      <c r="F120" t="s">
        <v>2816</v>
      </c>
    </row>
    <row r="121" spans="1:6" x14ac:dyDescent="0.2">
      <c r="A121" t="s">
        <v>2814</v>
      </c>
      <c r="B121" t="s">
        <v>2815</v>
      </c>
      <c r="C121">
        <v>14123640</v>
      </c>
      <c r="D121" t="s">
        <v>900</v>
      </c>
      <c r="E121" s="134">
        <v>355.58</v>
      </c>
      <c r="F121" t="s">
        <v>2816</v>
      </c>
    </row>
    <row r="122" spans="1:6" x14ac:dyDescent="0.2">
      <c r="A122" t="s">
        <v>2814</v>
      </c>
      <c r="B122" t="s">
        <v>2815</v>
      </c>
      <c r="C122">
        <v>14123642</v>
      </c>
      <c r="D122" t="s">
        <v>901</v>
      </c>
      <c r="E122" s="134">
        <v>355.58</v>
      </c>
      <c r="F122" t="s">
        <v>2816</v>
      </c>
    </row>
    <row r="123" spans="1:6" x14ac:dyDescent="0.2">
      <c r="A123" t="s">
        <v>2814</v>
      </c>
      <c r="B123" t="s">
        <v>2815</v>
      </c>
      <c r="C123">
        <v>14123649</v>
      </c>
      <c r="D123" t="s">
        <v>902</v>
      </c>
      <c r="E123" s="134">
        <v>355.58</v>
      </c>
      <c r="F123" t="s">
        <v>2816</v>
      </c>
    </row>
    <row r="124" spans="1:6" x14ac:dyDescent="0.2">
      <c r="A124" t="s">
        <v>2814</v>
      </c>
      <c r="B124" t="s">
        <v>2815</v>
      </c>
      <c r="C124">
        <v>14123651</v>
      </c>
      <c r="D124" t="s">
        <v>904</v>
      </c>
      <c r="E124" s="134">
        <v>355.58</v>
      </c>
      <c r="F124" t="s">
        <v>2816</v>
      </c>
    </row>
    <row r="125" spans="1:6" x14ac:dyDescent="0.2">
      <c r="A125" t="s">
        <v>2814</v>
      </c>
      <c r="B125" t="s">
        <v>2815</v>
      </c>
      <c r="C125">
        <v>14123652</v>
      </c>
      <c r="D125" t="s">
        <v>905</v>
      </c>
      <c r="E125" s="134">
        <v>355.58</v>
      </c>
      <c r="F125" t="s">
        <v>2816</v>
      </c>
    </row>
    <row r="126" spans="1:6" x14ac:dyDescent="0.2">
      <c r="A126" t="s">
        <v>2814</v>
      </c>
      <c r="B126" t="s">
        <v>2815</v>
      </c>
      <c r="C126">
        <v>14123654</v>
      </c>
      <c r="D126" t="s">
        <v>934</v>
      </c>
      <c r="E126" s="134">
        <v>355.58</v>
      </c>
      <c r="F126" t="s">
        <v>2816</v>
      </c>
    </row>
    <row r="127" spans="1:6" x14ac:dyDescent="0.2">
      <c r="A127" t="s">
        <v>2814</v>
      </c>
      <c r="B127" t="s">
        <v>2815</v>
      </c>
      <c r="C127">
        <v>14123655</v>
      </c>
      <c r="D127" t="s">
        <v>935</v>
      </c>
      <c r="E127" s="134">
        <v>355.58</v>
      </c>
      <c r="F127" t="s">
        <v>2816</v>
      </c>
    </row>
    <row r="128" spans="1:6" x14ac:dyDescent="0.2">
      <c r="A128" t="s">
        <v>2814</v>
      </c>
      <c r="B128" t="s">
        <v>2815</v>
      </c>
      <c r="C128">
        <v>14123656</v>
      </c>
      <c r="D128" t="s">
        <v>936</v>
      </c>
      <c r="E128" s="134">
        <v>355.58</v>
      </c>
      <c r="F128" t="s">
        <v>2816</v>
      </c>
    </row>
    <row r="129" spans="1:6" x14ac:dyDescent="0.2">
      <c r="A129" t="s">
        <v>2814</v>
      </c>
      <c r="B129" t="s">
        <v>2815</v>
      </c>
      <c r="C129">
        <v>14123657</v>
      </c>
      <c r="D129" t="s">
        <v>937</v>
      </c>
      <c r="E129" s="134">
        <v>355.58</v>
      </c>
      <c r="F129" t="s">
        <v>2816</v>
      </c>
    </row>
    <row r="130" spans="1:6" x14ac:dyDescent="0.2">
      <c r="A130" t="s">
        <v>2814</v>
      </c>
      <c r="B130" t="s">
        <v>2815</v>
      </c>
      <c r="C130">
        <v>14123696</v>
      </c>
      <c r="D130" t="s">
        <v>938</v>
      </c>
      <c r="E130" s="134">
        <v>355.58</v>
      </c>
      <c r="F130" t="s">
        <v>2816</v>
      </c>
    </row>
    <row r="131" spans="1:6" x14ac:dyDescent="0.2">
      <c r="A131" t="s">
        <v>2814</v>
      </c>
      <c r="B131" t="s">
        <v>2815</v>
      </c>
      <c r="C131">
        <v>14123702</v>
      </c>
      <c r="D131" t="s">
        <v>940</v>
      </c>
      <c r="E131" s="134">
        <v>355.58</v>
      </c>
      <c r="F131" t="s">
        <v>2816</v>
      </c>
    </row>
    <row r="132" spans="1:6" x14ac:dyDescent="0.2">
      <c r="A132" t="s">
        <v>2814</v>
      </c>
      <c r="B132" t="s">
        <v>2815</v>
      </c>
      <c r="C132">
        <v>14123704</v>
      </c>
      <c r="D132" t="s">
        <v>942</v>
      </c>
      <c r="E132" s="134">
        <v>355.58</v>
      </c>
      <c r="F132" t="s">
        <v>2816</v>
      </c>
    </row>
    <row r="133" spans="1:6" x14ac:dyDescent="0.2">
      <c r="A133" t="s">
        <v>2814</v>
      </c>
      <c r="B133" t="s">
        <v>2815</v>
      </c>
      <c r="C133">
        <v>14123708</v>
      </c>
      <c r="D133" t="s">
        <v>945</v>
      </c>
      <c r="E133" s="134">
        <v>355.58</v>
      </c>
      <c r="F133" t="s">
        <v>2816</v>
      </c>
    </row>
    <row r="134" spans="1:6" x14ac:dyDescent="0.2">
      <c r="A134" t="s">
        <v>2814</v>
      </c>
      <c r="B134" t="s">
        <v>2815</v>
      </c>
      <c r="C134">
        <v>14123709</v>
      </c>
      <c r="D134" t="s">
        <v>946</v>
      </c>
      <c r="E134" s="134">
        <v>355.58</v>
      </c>
      <c r="F134" t="s">
        <v>2816</v>
      </c>
    </row>
    <row r="135" spans="1:6" x14ac:dyDescent="0.2">
      <c r="A135" t="s">
        <v>2814</v>
      </c>
      <c r="B135" t="s">
        <v>2815</v>
      </c>
      <c r="C135">
        <v>14123719</v>
      </c>
      <c r="D135" t="s">
        <v>953</v>
      </c>
      <c r="E135" s="134">
        <v>355.58</v>
      </c>
      <c r="F135" t="s">
        <v>2816</v>
      </c>
    </row>
    <row r="136" spans="1:6" x14ac:dyDescent="0.2">
      <c r="A136" t="s">
        <v>2814</v>
      </c>
      <c r="B136" t="s">
        <v>2815</v>
      </c>
      <c r="C136">
        <v>14123754</v>
      </c>
      <c r="D136" t="s">
        <v>957</v>
      </c>
      <c r="E136" s="134">
        <v>355.58</v>
      </c>
      <c r="F136" t="s">
        <v>2816</v>
      </c>
    </row>
    <row r="137" spans="1:6" x14ac:dyDescent="0.2">
      <c r="A137" t="s">
        <v>2814</v>
      </c>
      <c r="B137" t="s">
        <v>2815</v>
      </c>
      <c r="C137">
        <v>14123770</v>
      </c>
      <c r="D137" t="s">
        <v>959</v>
      </c>
      <c r="E137" s="134">
        <v>355.58</v>
      </c>
      <c r="F137" t="s">
        <v>2816</v>
      </c>
    </row>
    <row r="138" spans="1:6" x14ac:dyDescent="0.2">
      <c r="A138" t="s">
        <v>2814</v>
      </c>
      <c r="B138" t="s">
        <v>2815</v>
      </c>
      <c r="C138">
        <v>14123771</v>
      </c>
      <c r="D138" t="s">
        <v>960</v>
      </c>
      <c r="E138" s="134">
        <v>355.58</v>
      </c>
      <c r="F138" t="s">
        <v>2816</v>
      </c>
    </row>
    <row r="139" spans="1:6" x14ac:dyDescent="0.2">
      <c r="A139" t="s">
        <v>2814</v>
      </c>
      <c r="B139" t="s">
        <v>2815</v>
      </c>
      <c r="C139">
        <v>14123787</v>
      </c>
      <c r="D139" t="s">
        <v>963</v>
      </c>
      <c r="E139" s="134">
        <v>355.58</v>
      </c>
      <c r="F139" t="s">
        <v>2816</v>
      </c>
    </row>
    <row r="140" spans="1:6" x14ac:dyDescent="0.2">
      <c r="A140" t="s">
        <v>2814</v>
      </c>
      <c r="B140" t="s">
        <v>2815</v>
      </c>
      <c r="C140">
        <v>14123789</v>
      </c>
      <c r="D140" t="s">
        <v>964</v>
      </c>
      <c r="E140" s="134">
        <v>355.58</v>
      </c>
      <c r="F140" t="s">
        <v>2816</v>
      </c>
    </row>
    <row r="141" spans="1:6" x14ac:dyDescent="0.2">
      <c r="A141" t="s">
        <v>2814</v>
      </c>
      <c r="B141" t="s">
        <v>2815</v>
      </c>
      <c r="C141">
        <v>14123845</v>
      </c>
      <c r="D141" t="s">
        <v>973</v>
      </c>
      <c r="E141" s="134">
        <v>355.58</v>
      </c>
      <c r="F141" t="s">
        <v>2816</v>
      </c>
    </row>
    <row r="142" spans="1:6" x14ac:dyDescent="0.2">
      <c r="A142" t="s">
        <v>2814</v>
      </c>
      <c r="B142" t="s">
        <v>2815</v>
      </c>
      <c r="C142">
        <v>14123855</v>
      </c>
      <c r="D142" t="s">
        <v>975</v>
      </c>
      <c r="E142" s="134">
        <v>355.58</v>
      </c>
      <c r="F142" t="s">
        <v>2816</v>
      </c>
    </row>
    <row r="143" spans="1:6" x14ac:dyDescent="0.2">
      <c r="A143" t="s">
        <v>2814</v>
      </c>
      <c r="B143" t="s">
        <v>2815</v>
      </c>
      <c r="C143">
        <v>14123885</v>
      </c>
      <c r="D143" t="s">
        <v>978</v>
      </c>
      <c r="E143" s="134">
        <v>355.58</v>
      </c>
      <c r="F143" t="s">
        <v>2816</v>
      </c>
    </row>
    <row r="144" spans="1:6" x14ac:dyDescent="0.2">
      <c r="A144" t="s">
        <v>2814</v>
      </c>
      <c r="B144" t="s">
        <v>2815</v>
      </c>
      <c r="C144">
        <v>14123894</v>
      </c>
      <c r="D144" t="s">
        <v>981</v>
      </c>
      <c r="E144" s="134">
        <v>355.58</v>
      </c>
      <c r="F144" t="s">
        <v>2816</v>
      </c>
    </row>
    <row r="145" spans="1:6" x14ac:dyDescent="0.2">
      <c r="A145" t="s">
        <v>2814</v>
      </c>
      <c r="B145" t="s">
        <v>2815</v>
      </c>
      <c r="C145">
        <v>14123918</v>
      </c>
      <c r="D145" t="s">
        <v>991</v>
      </c>
      <c r="E145" s="134">
        <v>355.58</v>
      </c>
      <c r="F145" t="s">
        <v>2816</v>
      </c>
    </row>
    <row r="146" spans="1:6" x14ac:dyDescent="0.2">
      <c r="A146" t="s">
        <v>2814</v>
      </c>
      <c r="B146" t="s">
        <v>2815</v>
      </c>
      <c r="C146">
        <v>14123919</v>
      </c>
      <c r="D146" t="s">
        <v>992</v>
      </c>
      <c r="E146" s="134">
        <v>355.58</v>
      </c>
      <c r="F146" t="s">
        <v>2816</v>
      </c>
    </row>
    <row r="147" spans="1:6" x14ac:dyDescent="0.2">
      <c r="A147" t="s">
        <v>2814</v>
      </c>
      <c r="B147" t="s">
        <v>2815</v>
      </c>
      <c r="C147">
        <v>14123925</v>
      </c>
      <c r="D147" t="s">
        <v>994</v>
      </c>
      <c r="E147" s="134">
        <v>355.58</v>
      </c>
      <c r="F147" t="s">
        <v>2816</v>
      </c>
    </row>
    <row r="148" spans="1:6" x14ac:dyDescent="0.2">
      <c r="A148" t="s">
        <v>2814</v>
      </c>
      <c r="B148" t="s">
        <v>2815</v>
      </c>
      <c r="C148">
        <v>14123926</v>
      </c>
      <c r="D148" t="s">
        <v>995</v>
      </c>
      <c r="E148" s="134">
        <v>355.58</v>
      </c>
      <c r="F148" t="s">
        <v>2816</v>
      </c>
    </row>
    <row r="149" spans="1:6" x14ac:dyDescent="0.2">
      <c r="A149" t="s">
        <v>2814</v>
      </c>
      <c r="B149" t="s">
        <v>2815</v>
      </c>
      <c r="C149">
        <v>14123951</v>
      </c>
      <c r="D149" t="s">
        <v>998</v>
      </c>
      <c r="E149" s="134">
        <v>355.58</v>
      </c>
      <c r="F149" t="s">
        <v>2816</v>
      </c>
    </row>
    <row r="150" spans="1:6" x14ac:dyDescent="0.2">
      <c r="A150" t="s">
        <v>2814</v>
      </c>
      <c r="B150" t="s">
        <v>2815</v>
      </c>
      <c r="C150">
        <v>14123971</v>
      </c>
      <c r="D150" t="s">
        <v>999</v>
      </c>
      <c r="E150" s="134">
        <v>355.58</v>
      </c>
      <c r="F150" t="s">
        <v>2816</v>
      </c>
    </row>
    <row r="151" spans="1:6" x14ac:dyDescent="0.2">
      <c r="A151" t="s">
        <v>2814</v>
      </c>
      <c r="B151" t="s">
        <v>2815</v>
      </c>
      <c r="C151">
        <v>14124002</v>
      </c>
      <c r="D151" t="s">
        <v>1005</v>
      </c>
      <c r="E151" s="134">
        <v>711.16</v>
      </c>
      <c r="F151" t="s">
        <v>2816</v>
      </c>
    </row>
    <row r="152" spans="1:6" x14ac:dyDescent="0.2">
      <c r="A152" t="s">
        <v>2814</v>
      </c>
      <c r="B152" t="s">
        <v>2815</v>
      </c>
      <c r="C152">
        <v>16101286</v>
      </c>
      <c r="D152" t="s">
        <v>2817</v>
      </c>
      <c r="E152" s="134">
        <v>399.99</v>
      </c>
      <c r="F152" t="s">
        <v>2816</v>
      </c>
    </row>
    <row r="153" spans="1:6" x14ac:dyDescent="0.2">
      <c r="A153" t="s">
        <v>2814</v>
      </c>
      <c r="B153" t="s">
        <v>2815</v>
      </c>
      <c r="C153">
        <v>16101291</v>
      </c>
      <c r="D153" t="s">
        <v>2818</v>
      </c>
      <c r="E153" s="134">
        <v>399.99</v>
      </c>
      <c r="F153" t="s">
        <v>2816</v>
      </c>
    </row>
    <row r="154" spans="1:6" x14ac:dyDescent="0.2">
      <c r="A154" t="s">
        <v>2814</v>
      </c>
      <c r="B154" t="s">
        <v>2815</v>
      </c>
      <c r="C154">
        <v>16101303</v>
      </c>
      <c r="D154" t="s">
        <v>2819</v>
      </c>
      <c r="E154" s="134">
        <v>266.66000000000003</v>
      </c>
      <c r="F154" t="s">
        <v>2816</v>
      </c>
    </row>
    <row r="155" spans="1:6" x14ac:dyDescent="0.2">
      <c r="A155" t="s">
        <v>2814</v>
      </c>
      <c r="B155" t="s">
        <v>2815</v>
      </c>
      <c r="C155">
        <v>16101321</v>
      </c>
      <c r="D155" t="s">
        <v>2820</v>
      </c>
      <c r="E155" s="134">
        <v>399.99</v>
      </c>
      <c r="F155" t="s">
        <v>2816</v>
      </c>
    </row>
    <row r="156" spans="1:6" x14ac:dyDescent="0.2">
      <c r="A156" t="s">
        <v>2814</v>
      </c>
      <c r="B156" t="s">
        <v>2815</v>
      </c>
      <c r="C156">
        <v>16101324</v>
      </c>
      <c r="D156" t="s">
        <v>2821</v>
      </c>
      <c r="E156" s="134">
        <v>399.99</v>
      </c>
      <c r="F156" t="s">
        <v>2816</v>
      </c>
    </row>
    <row r="157" spans="1:6" x14ac:dyDescent="0.2">
      <c r="A157" t="s">
        <v>2814</v>
      </c>
      <c r="B157" t="s">
        <v>2815</v>
      </c>
      <c r="C157">
        <v>16101347</v>
      </c>
      <c r="D157" t="s">
        <v>2822</v>
      </c>
      <c r="E157" s="134">
        <v>399.99</v>
      </c>
      <c r="F157" t="s">
        <v>2816</v>
      </c>
    </row>
    <row r="158" spans="1:6" x14ac:dyDescent="0.2">
      <c r="A158" t="s">
        <v>2814</v>
      </c>
      <c r="B158" t="s">
        <v>2815</v>
      </c>
      <c r="C158">
        <v>16101370</v>
      </c>
      <c r="D158" t="s">
        <v>2823</v>
      </c>
      <c r="E158" s="134">
        <v>399.99</v>
      </c>
      <c r="F158" t="s">
        <v>2816</v>
      </c>
    </row>
    <row r="159" spans="1:6" x14ac:dyDescent="0.2">
      <c r="A159" t="s">
        <v>2814</v>
      </c>
      <c r="B159" t="s">
        <v>2815</v>
      </c>
      <c r="C159">
        <v>16101382</v>
      </c>
      <c r="D159" t="s">
        <v>2824</v>
      </c>
      <c r="E159" s="134">
        <v>399.99</v>
      </c>
      <c r="F159" t="s">
        <v>2816</v>
      </c>
    </row>
    <row r="160" spans="1:6" x14ac:dyDescent="0.2">
      <c r="A160" t="s">
        <v>2814</v>
      </c>
      <c r="B160" t="s">
        <v>2815</v>
      </c>
      <c r="C160">
        <v>16101387</v>
      </c>
      <c r="D160" t="s">
        <v>2825</v>
      </c>
      <c r="E160" s="134">
        <v>399.99</v>
      </c>
      <c r="F160" t="s">
        <v>2816</v>
      </c>
    </row>
    <row r="161" spans="1:6" x14ac:dyDescent="0.2">
      <c r="A161" t="s">
        <v>2814</v>
      </c>
      <c r="B161" t="s">
        <v>2815</v>
      </c>
      <c r="C161">
        <v>16102200</v>
      </c>
      <c r="D161" t="s">
        <v>2826</v>
      </c>
      <c r="E161" s="134">
        <v>399.99</v>
      </c>
      <c r="F161" t="s">
        <v>2816</v>
      </c>
    </row>
    <row r="162" spans="1:6" x14ac:dyDescent="0.2">
      <c r="A162" t="s">
        <v>2814</v>
      </c>
      <c r="B162" t="s">
        <v>2815</v>
      </c>
      <c r="C162">
        <v>16102265</v>
      </c>
      <c r="D162" t="s">
        <v>2827</v>
      </c>
      <c r="E162" s="134">
        <v>399.99</v>
      </c>
      <c r="F162" t="s">
        <v>2816</v>
      </c>
    </row>
    <row r="163" spans="1:6" x14ac:dyDescent="0.2">
      <c r="A163" t="s">
        <v>2814</v>
      </c>
      <c r="B163" t="s">
        <v>2815</v>
      </c>
      <c r="C163">
        <v>16102525</v>
      </c>
      <c r="D163" t="s">
        <v>2828</v>
      </c>
      <c r="E163" s="134">
        <v>266.66000000000003</v>
      </c>
      <c r="F163" t="s">
        <v>2816</v>
      </c>
    </row>
    <row r="164" spans="1:6" x14ac:dyDescent="0.2">
      <c r="A164" t="s">
        <v>2814</v>
      </c>
      <c r="B164" t="s">
        <v>2815</v>
      </c>
      <c r="C164">
        <v>16102665</v>
      </c>
      <c r="D164" t="s">
        <v>2829</v>
      </c>
      <c r="E164" s="134">
        <v>399.99</v>
      </c>
      <c r="F164" t="s">
        <v>2816</v>
      </c>
    </row>
    <row r="165" spans="1:6" x14ac:dyDescent="0.2">
      <c r="A165" t="s">
        <v>2814</v>
      </c>
      <c r="B165" t="s">
        <v>2815</v>
      </c>
      <c r="C165">
        <v>16102762</v>
      </c>
      <c r="D165" t="s">
        <v>2830</v>
      </c>
      <c r="E165" s="134">
        <v>266.66000000000003</v>
      </c>
      <c r="F165" t="s">
        <v>2816</v>
      </c>
    </row>
    <row r="166" spans="1:6" x14ac:dyDescent="0.2">
      <c r="A166" t="s">
        <v>2814</v>
      </c>
      <c r="B166" t="s">
        <v>2815</v>
      </c>
      <c r="C166">
        <v>16103733</v>
      </c>
      <c r="D166" t="s">
        <v>2831</v>
      </c>
      <c r="E166" s="134">
        <v>399.99</v>
      </c>
      <c r="F166" t="s">
        <v>2816</v>
      </c>
    </row>
    <row r="167" spans="1:6" x14ac:dyDescent="0.2">
      <c r="A167" t="s">
        <v>2814</v>
      </c>
      <c r="B167" t="s">
        <v>2815</v>
      </c>
      <c r="C167">
        <v>16104436</v>
      </c>
      <c r="D167" t="s">
        <v>2832</v>
      </c>
      <c r="E167" s="134">
        <v>399.99</v>
      </c>
      <c r="F167" t="s">
        <v>2816</v>
      </c>
    </row>
    <row r="168" spans="1:6" x14ac:dyDescent="0.2">
      <c r="A168" t="s">
        <v>2814</v>
      </c>
      <c r="B168" t="s">
        <v>2815</v>
      </c>
      <c r="C168">
        <v>16104522</v>
      </c>
      <c r="D168" t="s">
        <v>2833</v>
      </c>
      <c r="E168" s="134">
        <v>399.99</v>
      </c>
      <c r="F168" t="s">
        <v>2816</v>
      </c>
    </row>
    <row r="169" spans="1:6" x14ac:dyDescent="0.2">
      <c r="A169" t="s">
        <v>2814</v>
      </c>
      <c r="B169" t="s">
        <v>2815</v>
      </c>
      <c r="C169">
        <v>16104653</v>
      </c>
      <c r="D169" t="s">
        <v>2834</v>
      </c>
      <c r="E169" s="134">
        <v>266.66000000000003</v>
      </c>
      <c r="F169" t="s">
        <v>2816</v>
      </c>
    </row>
    <row r="170" spans="1:6" x14ac:dyDescent="0.2">
      <c r="A170" t="s">
        <v>2814</v>
      </c>
      <c r="B170" t="s">
        <v>2815</v>
      </c>
      <c r="C170">
        <v>16105115</v>
      </c>
      <c r="D170" t="s">
        <v>2835</v>
      </c>
      <c r="E170" s="134">
        <v>266.66000000000003</v>
      </c>
      <c r="F170" t="s">
        <v>2816</v>
      </c>
    </row>
    <row r="171" spans="1:6" x14ac:dyDescent="0.2">
      <c r="A171" t="s">
        <v>2814</v>
      </c>
      <c r="B171" t="s">
        <v>2815</v>
      </c>
      <c r="C171">
        <v>16106566</v>
      </c>
      <c r="D171" t="s">
        <v>2836</v>
      </c>
      <c r="E171" s="134">
        <v>399.99</v>
      </c>
      <c r="F171" t="s">
        <v>2816</v>
      </c>
    </row>
    <row r="172" spans="1:6" x14ac:dyDescent="0.2">
      <c r="A172" t="s">
        <v>2814</v>
      </c>
      <c r="B172" t="s">
        <v>2815</v>
      </c>
      <c r="C172">
        <v>16107227</v>
      </c>
      <c r="D172" t="s">
        <v>2837</v>
      </c>
      <c r="E172" s="134">
        <v>399.99</v>
      </c>
      <c r="F172" t="s">
        <v>2816</v>
      </c>
    </row>
    <row r="173" spans="1:6" x14ac:dyDescent="0.2">
      <c r="A173" t="s">
        <v>2814</v>
      </c>
      <c r="B173" t="s">
        <v>2815</v>
      </c>
      <c r="C173">
        <v>16107598</v>
      </c>
      <c r="D173" t="s">
        <v>2838</v>
      </c>
      <c r="E173" s="134">
        <v>266.66000000000003</v>
      </c>
      <c r="F173" t="s">
        <v>2816</v>
      </c>
    </row>
    <row r="174" spans="1:6" x14ac:dyDescent="0.2">
      <c r="A174" t="s">
        <v>2814</v>
      </c>
      <c r="B174" t="s">
        <v>2815</v>
      </c>
      <c r="C174">
        <v>16107705</v>
      </c>
      <c r="D174" t="s">
        <v>2839</v>
      </c>
      <c r="E174" s="134">
        <v>266.66000000000003</v>
      </c>
      <c r="F174" t="s">
        <v>2816</v>
      </c>
    </row>
    <row r="175" spans="1:6" x14ac:dyDescent="0.2">
      <c r="A175" t="s">
        <v>2814</v>
      </c>
      <c r="B175" t="s">
        <v>2815</v>
      </c>
      <c r="C175">
        <v>16107845</v>
      </c>
      <c r="D175" t="s">
        <v>2840</v>
      </c>
      <c r="E175" s="134">
        <v>266.66000000000003</v>
      </c>
      <c r="F175" t="s">
        <v>2816</v>
      </c>
    </row>
    <row r="176" spans="1:6" x14ac:dyDescent="0.2">
      <c r="A176" t="s">
        <v>2814</v>
      </c>
      <c r="B176" t="s">
        <v>2815</v>
      </c>
      <c r="C176">
        <v>16107905</v>
      </c>
      <c r="D176" t="s">
        <v>2841</v>
      </c>
      <c r="E176" s="134">
        <v>266.66000000000003</v>
      </c>
      <c r="F176" t="s">
        <v>2816</v>
      </c>
    </row>
    <row r="177" spans="1:6" x14ac:dyDescent="0.2">
      <c r="A177" t="s">
        <v>2814</v>
      </c>
      <c r="B177" t="s">
        <v>2815</v>
      </c>
      <c r="C177">
        <v>16108306</v>
      </c>
      <c r="D177" t="s">
        <v>2842</v>
      </c>
      <c r="E177" s="134">
        <v>399.99</v>
      </c>
      <c r="F177" t="s">
        <v>2816</v>
      </c>
    </row>
    <row r="178" spans="1:6" x14ac:dyDescent="0.2">
      <c r="A178" t="s">
        <v>2814</v>
      </c>
      <c r="B178" t="s">
        <v>2815</v>
      </c>
      <c r="C178">
        <v>16110177</v>
      </c>
      <c r="D178" t="s">
        <v>2843</v>
      </c>
      <c r="E178" s="134">
        <v>266.66000000000003</v>
      </c>
      <c r="F178" t="s">
        <v>2816</v>
      </c>
    </row>
    <row r="179" spans="1:6" x14ac:dyDescent="0.2">
      <c r="A179" t="s">
        <v>2814</v>
      </c>
      <c r="B179" t="s">
        <v>2815</v>
      </c>
      <c r="C179">
        <v>16110744</v>
      </c>
      <c r="D179" t="s">
        <v>2844</v>
      </c>
      <c r="E179" s="134">
        <v>399.99</v>
      </c>
      <c r="F179" t="s">
        <v>2816</v>
      </c>
    </row>
    <row r="180" spans="1:6" x14ac:dyDescent="0.2">
      <c r="A180" t="s">
        <v>2814</v>
      </c>
      <c r="B180" t="s">
        <v>2815</v>
      </c>
      <c r="C180">
        <v>16111231</v>
      </c>
      <c r="D180" t="s">
        <v>2845</v>
      </c>
      <c r="E180" s="134">
        <v>266.66000000000003</v>
      </c>
      <c r="F180" t="s">
        <v>2816</v>
      </c>
    </row>
    <row r="181" spans="1:6" x14ac:dyDescent="0.2">
      <c r="A181" t="s">
        <v>2814</v>
      </c>
      <c r="B181" t="s">
        <v>2815</v>
      </c>
      <c r="C181">
        <v>16111530</v>
      </c>
      <c r="D181" t="s">
        <v>2846</v>
      </c>
      <c r="E181" s="134">
        <v>399.99</v>
      </c>
      <c r="F181" t="s">
        <v>2816</v>
      </c>
    </row>
    <row r="182" spans="1:6" x14ac:dyDescent="0.2">
      <c r="A182" t="s">
        <v>2814</v>
      </c>
      <c r="B182" t="s">
        <v>2815</v>
      </c>
      <c r="C182">
        <v>16112068</v>
      </c>
      <c r="D182" t="s">
        <v>2847</v>
      </c>
      <c r="E182" s="134">
        <v>399.99</v>
      </c>
      <c r="F182" t="s">
        <v>2816</v>
      </c>
    </row>
    <row r="183" spans="1:6" x14ac:dyDescent="0.2">
      <c r="A183" t="s">
        <v>2814</v>
      </c>
      <c r="B183" t="s">
        <v>2815</v>
      </c>
      <c r="C183">
        <v>16112578</v>
      </c>
      <c r="D183" t="s">
        <v>2848</v>
      </c>
      <c r="E183" s="134">
        <v>399.99</v>
      </c>
      <c r="F183" t="s">
        <v>2816</v>
      </c>
    </row>
    <row r="184" spans="1:6" x14ac:dyDescent="0.2">
      <c r="A184" t="s">
        <v>2814</v>
      </c>
      <c r="B184" t="s">
        <v>2815</v>
      </c>
      <c r="C184">
        <v>16113003</v>
      </c>
      <c r="D184" t="s">
        <v>2849</v>
      </c>
      <c r="E184" s="134">
        <v>266.66000000000003</v>
      </c>
      <c r="F184" t="s">
        <v>2816</v>
      </c>
    </row>
    <row r="185" spans="1:6" x14ac:dyDescent="0.2">
      <c r="A185" t="s">
        <v>2814</v>
      </c>
      <c r="B185" t="s">
        <v>2815</v>
      </c>
      <c r="C185">
        <v>16114063</v>
      </c>
      <c r="D185" t="s">
        <v>2850</v>
      </c>
      <c r="E185" s="134">
        <v>399.99</v>
      </c>
      <c r="F185" t="s">
        <v>2816</v>
      </c>
    </row>
    <row r="186" spans="1:6" x14ac:dyDescent="0.2">
      <c r="A186" t="s">
        <v>2814</v>
      </c>
      <c r="B186" t="s">
        <v>2815</v>
      </c>
      <c r="C186">
        <v>16114529</v>
      </c>
      <c r="D186" t="s">
        <v>2851</v>
      </c>
      <c r="E186" s="134">
        <v>399.99</v>
      </c>
      <c r="F186" t="s">
        <v>2816</v>
      </c>
    </row>
    <row r="187" spans="1:6" x14ac:dyDescent="0.2">
      <c r="A187" t="s">
        <v>2814</v>
      </c>
      <c r="B187" t="s">
        <v>2815</v>
      </c>
      <c r="C187">
        <v>16114991</v>
      </c>
      <c r="D187" t="s">
        <v>2852</v>
      </c>
      <c r="E187" s="134">
        <v>266.66000000000003</v>
      </c>
      <c r="F187" t="s">
        <v>2816</v>
      </c>
    </row>
    <row r="188" spans="1:6" x14ac:dyDescent="0.2">
      <c r="A188" t="s">
        <v>2814</v>
      </c>
      <c r="B188" t="s">
        <v>2815</v>
      </c>
      <c r="C188">
        <v>16115026</v>
      </c>
      <c r="D188" t="s">
        <v>2853</v>
      </c>
      <c r="E188" s="134">
        <v>266.66000000000003</v>
      </c>
      <c r="F188" t="s">
        <v>2816</v>
      </c>
    </row>
    <row r="189" spans="1:6" x14ac:dyDescent="0.2">
      <c r="A189" t="s">
        <v>2814</v>
      </c>
      <c r="B189" t="s">
        <v>2815</v>
      </c>
      <c r="C189">
        <v>16115150</v>
      </c>
      <c r="D189" t="s">
        <v>2854</v>
      </c>
      <c r="E189" s="134">
        <v>399.99</v>
      </c>
      <c r="F189" t="s">
        <v>2816</v>
      </c>
    </row>
    <row r="190" spans="1:6" x14ac:dyDescent="0.2">
      <c r="A190" t="s">
        <v>2814</v>
      </c>
      <c r="B190" t="s">
        <v>2815</v>
      </c>
      <c r="C190">
        <v>16115586</v>
      </c>
      <c r="D190" t="s">
        <v>2855</v>
      </c>
      <c r="E190" s="134">
        <v>399.99</v>
      </c>
      <c r="F190" t="s">
        <v>2816</v>
      </c>
    </row>
    <row r="191" spans="1:6" x14ac:dyDescent="0.2">
      <c r="A191" t="s">
        <v>2814</v>
      </c>
      <c r="B191" t="s">
        <v>2815</v>
      </c>
      <c r="C191">
        <v>16115756</v>
      </c>
      <c r="D191" t="s">
        <v>2856</v>
      </c>
      <c r="E191" s="134">
        <v>399.99</v>
      </c>
      <c r="F191" t="s">
        <v>2816</v>
      </c>
    </row>
    <row r="192" spans="1:6" x14ac:dyDescent="0.2">
      <c r="A192" t="s">
        <v>2814</v>
      </c>
      <c r="B192" t="s">
        <v>2815</v>
      </c>
      <c r="C192">
        <v>16115783</v>
      </c>
      <c r="D192" t="s">
        <v>2857</v>
      </c>
      <c r="E192" s="134">
        <v>266.66000000000003</v>
      </c>
      <c r="F192" t="s">
        <v>2816</v>
      </c>
    </row>
    <row r="193" spans="1:6" x14ac:dyDescent="0.2">
      <c r="A193" t="s">
        <v>2814</v>
      </c>
      <c r="B193" t="s">
        <v>2815</v>
      </c>
      <c r="C193">
        <v>16116077</v>
      </c>
      <c r="D193" t="s">
        <v>2858</v>
      </c>
      <c r="E193" s="134">
        <v>266.66000000000003</v>
      </c>
      <c r="F193" t="s">
        <v>2816</v>
      </c>
    </row>
    <row r="194" spans="1:6" x14ac:dyDescent="0.2">
      <c r="A194" t="s">
        <v>2814</v>
      </c>
      <c r="B194" t="s">
        <v>2815</v>
      </c>
      <c r="C194">
        <v>16116202</v>
      </c>
      <c r="D194" t="s">
        <v>2859</v>
      </c>
      <c r="E194" s="134">
        <v>399.99</v>
      </c>
      <c r="F194" t="s">
        <v>2816</v>
      </c>
    </row>
    <row r="195" spans="1:6" x14ac:dyDescent="0.2">
      <c r="A195" t="s">
        <v>2814</v>
      </c>
      <c r="B195" t="s">
        <v>2815</v>
      </c>
      <c r="C195">
        <v>16116290</v>
      </c>
      <c r="D195" t="s">
        <v>2860</v>
      </c>
      <c r="E195" s="134">
        <v>399.99</v>
      </c>
      <c r="F195" t="s">
        <v>2816</v>
      </c>
    </row>
    <row r="196" spans="1:6" x14ac:dyDescent="0.2">
      <c r="A196" t="s">
        <v>2814</v>
      </c>
      <c r="B196" t="s">
        <v>2815</v>
      </c>
      <c r="C196">
        <v>16116477</v>
      </c>
      <c r="D196" t="s">
        <v>2861</v>
      </c>
      <c r="E196" s="134">
        <v>266.66000000000003</v>
      </c>
      <c r="F196" t="s">
        <v>2816</v>
      </c>
    </row>
    <row r="197" spans="1:6" x14ac:dyDescent="0.2">
      <c r="A197" t="s">
        <v>2814</v>
      </c>
      <c r="B197" t="s">
        <v>2815</v>
      </c>
      <c r="C197">
        <v>16116733</v>
      </c>
      <c r="D197" t="s">
        <v>2862</v>
      </c>
      <c r="E197" s="134">
        <v>399.99</v>
      </c>
      <c r="F197" t="s">
        <v>2816</v>
      </c>
    </row>
    <row r="198" spans="1:6" x14ac:dyDescent="0.2">
      <c r="A198" t="s">
        <v>2814</v>
      </c>
      <c r="B198" t="s">
        <v>2815</v>
      </c>
      <c r="C198">
        <v>16117582</v>
      </c>
      <c r="D198" t="s">
        <v>2863</v>
      </c>
      <c r="E198" s="134">
        <v>399.99</v>
      </c>
      <c r="F198" t="s">
        <v>2816</v>
      </c>
    </row>
    <row r="199" spans="1:6" x14ac:dyDescent="0.2">
      <c r="A199" t="s">
        <v>2814</v>
      </c>
      <c r="B199" t="s">
        <v>2815</v>
      </c>
      <c r="C199">
        <v>16117764</v>
      </c>
      <c r="D199" t="s">
        <v>2864</v>
      </c>
      <c r="E199" s="134">
        <v>399.99</v>
      </c>
      <c r="F199" t="s">
        <v>2816</v>
      </c>
    </row>
    <row r="200" spans="1:6" x14ac:dyDescent="0.2">
      <c r="A200" t="s">
        <v>2814</v>
      </c>
      <c r="B200" t="s">
        <v>2815</v>
      </c>
      <c r="C200">
        <v>16118421</v>
      </c>
      <c r="D200" t="s">
        <v>2865</v>
      </c>
      <c r="E200" s="134">
        <v>266.66000000000003</v>
      </c>
      <c r="F200" t="s">
        <v>2816</v>
      </c>
    </row>
    <row r="201" spans="1:6" x14ac:dyDescent="0.2">
      <c r="A201" t="s">
        <v>2814</v>
      </c>
      <c r="B201" t="s">
        <v>2815</v>
      </c>
      <c r="C201">
        <v>16118485</v>
      </c>
      <c r="D201" t="s">
        <v>2866</v>
      </c>
      <c r="E201" s="134">
        <v>266.66000000000003</v>
      </c>
      <c r="F201" t="s">
        <v>2816</v>
      </c>
    </row>
    <row r="202" spans="1:6" x14ac:dyDescent="0.2">
      <c r="A202" t="s">
        <v>2814</v>
      </c>
      <c r="B202" t="s">
        <v>2815</v>
      </c>
      <c r="C202">
        <v>16118701</v>
      </c>
      <c r="D202" t="s">
        <v>2867</v>
      </c>
      <c r="E202" s="134">
        <v>399.99</v>
      </c>
      <c r="F202" t="s">
        <v>2816</v>
      </c>
    </row>
    <row r="203" spans="1:6" x14ac:dyDescent="0.2">
      <c r="A203" t="s">
        <v>2814</v>
      </c>
      <c r="B203" t="s">
        <v>2815</v>
      </c>
      <c r="C203">
        <v>16118723</v>
      </c>
      <c r="D203" t="s">
        <v>2868</v>
      </c>
      <c r="E203" s="134">
        <v>266.66000000000003</v>
      </c>
      <c r="F203" t="s">
        <v>2816</v>
      </c>
    </row>
    <row r="204" spans="1:6" x14ac:dyDescent="0.2">
      <c r="A204" t="s">
        <v>2814</v>
      </c>
      <c r="B204" t="s">
        <v>2815</v>
      </c>
      <c r="C204">
        <v>16118874</v>
      </c>
      <c r="D204" t="s">
        <v>2869</v>
      </c>
      <c r="E204" s="134">
        <v>399.99</v>
      </c>
      <c r="F204" t="s">
        <v>2816</v>
      </c>
    </row>
    <row r="205" spans="1:6" x14ac:dyDescent="0.2">
      <c r="A205" t="s">
        <v>2814</v>
      </c>
      <c r="B205" t="s">
        <v>2815</v>
      </c>
      <c r="C205">
        <v>16118963</v>
      </c>
      <c r="D205" t="s">
        <v>2870</v>
      </c>
      <c r="E205" s="134">
        <v>399.99</v>
      </c>
      <c r="F205" t="s">
        <v>2816</v>
      </c>
    </row>
    <row r="206" spans="1:6" x14ac:dyDescent="0.2">
      <c r="A206" t="s">
        <v>2814</v>
      </c>
      <c r="B206" t="s">
        <v>2815</v>
      </c>
      <c r="C206">
        <v>16119048</v>
      </c>
      <c r="D206" t="s">
        <v>2871</v>
      </c>
      <c r="E206" s="134">
        <v>399.99</v>
      </c>
      <c r="F206" t="s">
        <v>2816</v>
      </c>
    </row>
    <row r="207" spans="1:6" x14ac:dyDescent="0.2">
      <c r="A207" t="s">
        <v>2814</v>
      </c>
      <c r="B207" t="s">
        <v>2815</v>
      </c>
      <c r="C207">
        <v>16119278</v>
      </c>
      <c r="D207" t="s">
        <v>2872</v>
      </c>
      <c r="E207" s="134">
        <v>266.66000000000003</v>
      </c>
      <c r="F207" t="s">
        <v>2816</v>
      </c>
    </row>
    <row r="208" spans="1:6" x14ac:dyDescent="0.2">
      <c r="A208" t="s">
        <v>2814</v>
      </c>
      <c r="B208" t="s">
        <v>2815</v>
      </c>
      <c r="C208">
        <v>16119354</v>
      </c>
      <c r="D208" t="s">
        <v>2873</v>
      </c>
      <c r="E208" s="134">
        <v>399.99</v>
      </c>
      <c r="F208" t="s">
        <v>2816</v>
      </c>
    </row>
    <row r="209" spans="1:6" x14ac:dyDescent="0.2">
      <c r="A209" t="s">
        <v>2814</v>
      </c>
      <c r="B209" t="s">
        <v>2815</v>
      </c>
      <c r="C209">
        <v>16119562</v>
      </c>
      <c r="D209" t="s">
        <v>2874</v>
      </c>
      <c r="E209" s="134">
        <v>399.99</v>
      </c>
      <c r="F209" t="s">
        <v>2816</v>
      </c>
    </row>
    <row r="210" spans="1:6" x14ac:dyDescent="0.2">
      <c r="A210" t="s">
        <v>2814</v>
      </c>
      <c r="B210" t="s">
        <v>2815</v>
      </c>
      <c r="C210">
        <v>16119563</v>
      </c>
      <c r="D210" t="s">
        <v>2875</v>
      </c>
      <c r="E210" s="134">
        <v>399.99</v>
      </c>
      <c r="F210" t="s">
        <v>2816</v>
      </c>
    </row>
    <row r="211" spans="1:6" x14ac:dyDescent="0.2">
      <c r="A211" t="s">
        <v>2814</v>
      </c>
      <c r="B211" t="s">
        <v>2815</v>
      </c>
      <c r="C211">
        <v>16119689</v>
      </c>
      <c r="D211" t="s">
        <v>2876</v>
      </c>
      <c r="E211" s="134">
        <v>266.66000000000003</v>
      </c>
      <c r="F211" t="s">
        <v>2816</v>
      </c>
    </row>
    <row r="212" spans="1:6" x14ac:dyDescent="0.2">
      <c r="A212" t="s">
        <v>2814</v>
      </c>
      <c r="B212" t="s">
        <v>2815</v>
      </c>
      <c r="C212">
        <v>16120137</v>
      </c>
      <c r="D212" t="s">
        <v>2877</v>
      </c>
      <c r="E212" s="134">
        <v>399.99</v>
      </c>
      <c r="F212" t="s">
        <v>2816</v>
      </c>
    </row>
    <row r="213" spans="1:6" x14ac:dyDescent="0.2">
      <c r="A213" t="s">
        <v>2814</v>
      </c>
      <c r="B213" t="s">
        <v>2815</v>
      </c>
      <c r="C213">
        <v>16120346</v>
      </c>
      <c r="D213" t="s">
        <v>2878</v>
      </c>
      <c r="E213" s="134">
        <v>133.33000000000001</v>
      </c>
      <c r="F213" t="s">
        <v>2816</v>
      </c>
    </row>
    <row r="214" spans="1:6" x14ac:dyDescent="0.2">
      <c r="A214" t="s">
        <v>2814</v>
      </c>
      <c r="B214" t="s">
        <v>2815</v>
      </c>
      <c r="C214">
        <v>16120465</v>
      </c>
      <c r="D214" t="s">
        <v>2879</v>
      </c>
      <c r="E214" s="134">
        <v>399.99</v>
      </c>
      <c r="F214" t="s">
        <v>2816</v>
      </c>
    </row>
    <row r="215" spans="1:6" x14ac:dyDescent="0.2">
      <c r="A215" t="s">
        <v>2814</v>
      </c>
      <c r="B215" t="s">
        <v>2815</v>
      </c>
      <c r="C215">
        <v>16120702</v>
      </c>
      <c r="D215" t="s">
        <v>2880</v>
      </c>
      <c r="E215" s="134">
        <v>399.99</v>
      </c>
      <c r="F215" t="s">
        <v>2816</v>
      </c>
    </row>
    <row r="216" spans="1:6" x14ac:dyDescent="0.2">
      <c r="A216" t="s">
        <v>2814</v>
      </c>
      <c r="B216" t="s">
        <v>2815</v>
      </c>
      <c r="C216">
        <v>16121373</v>
      </c>
      <c r="D216" t="s">
        <v>2881</v>
      </c>
      <c r="E216" s="134">
        <v>399.99</v>
      </c>
      <c r="F216" t="s">
        <v>2816</v>
      </c>
    </row>
    <row r="217" spans="1:6" x14ac:dyDescent="0.2">
      <c r="A217" t="s">
        <v>2814</v>
      </c>
      <c r="B217" t="s">
        <v>2815</v>
      </c>
      <c r="C217">
        <v>16121712</v>
      </c>
      <c r="D217" t="s">
        <v>2882</v>
      </c>
      <c r="E217" s="134">
        <v>266.66000000000003</v>
      </c>
      <c r="F217" t="s">
        <v>2816</v>
      </c>
    </row>
    <row r="218" spans="1:6" x14ac:dyDescent="0.2">
      <c r="A218" t="s">
        <v>2814</v>
      </c>
      <c r="B218" t="s">
        <v>2815</v>
      </c>
      <c r="C218">
        <v>16121844</v>
      </c>
      <c r="D218" t="s">
        <v>2883</v>
      </c>
      <c r="E218" s="134">
        <v>399.99</v>
      </c>
      <c r="F218" t="s">
        <v>2816</v>
      </c>
    </row>
    <row r="219" spans="1:6" x14ac:dyDescent="0.2">
      <c r="A219" t="s">
        <v>2814</v>
      </c>
      <c r="B219" t="s">
        <v>2815</v>
      </c>
      <c r="C219">
        <v>16121937</v>
      </c>
      <c r="D219" t="s">
        <v>2884</v>
      </c>
      <c r="E219" s="134">
        <v>399.99</v>
      </c>
      <c r="F219" t="s">
        <v>2816</v>
      </c>
    </row>
    <row r="220" spans="1:6" x14ac:dyDescent="0.2">
      <c r="A220" t="s">
        <v>2814</v>
      </c>
      <c r="B220" t="s">
        <v>2815</v>
      </c>
      <c r="C220">
        <v>16122078</v>
      </c>
      <c r="D220" t="s">
        <v>2885</v>
      </c>
      <c r="E220" s="134">
        <v>266.66000000000003</v>
      </c>
      <c r="F220" t="s">
        <v>2816</v>
      </c>
    </row>
    <row r="221" spans="1:6" x14ac:dyDescent="0.2">
      <c r="A221" t="s">
        <v>2814</v>
      </c>
      <c r="B221" t="s">
        <v>2815</v>
      </c>
      <c r="C221">
        <v>16122204</v>
      </c>
      <c r="D221" t="s">
        <v>2886</v>
      </c>
      <c r="E221" s="134">
        <v>399.99</v>
      </c>
      <c r="F221" t="s">
        <v>2816</v>
      </c>
    </row>
    <row r="222" spans="1:6" x14ac:dyDescent="0.2">
      <c r="A222" t="s">
        <v>2814</v>
      </c>
      <c r="B222" t="s">
        <v>2815</v>
      </c>
      <c r="C222">
        <v>16122277</v>
      </c>
      <c r="D222" t="s">
        <v>2887</v>
      </c>
      <c r="E222" s="134">
        <v>399.99</v>
      </c>
      <c r="F222" t="s">
        <v>2816</v>
      </c>
    </row>
    <row r="223" spans="1:6" x14ac:dyDescent="0.2">
      <c r="A223" t="s">
        <v>2814</v>
      </c>
      <c r="B223" t="s">
        <v>2815</v>
      </c>
      <c r="C223">
        <v>16122298</v>
      </c>
      <c r="D223" t="s">
        <v>2888</v>
      </c>
      <c r="E223" s="134">
        <v>266.66000000000003</v>
      </c>
      <c r="F223" t="s">
        <v>2816</v>
      </c>
    </row>
    <row r="224" spans="1:6" x14ac:dyDescent="0.2">
      <c r="A224" t="s">
        <v>2814</v>
      </c>
      <c r="B224" t="s">
        <v>2815</v>
      </c>
      <c r="C224">
        <v>16122324</v>
      </c>
      <c r="D224" t="s">
        <v>2889</v>
      </c>
      <c r="E224" s="134">
        <v>399.99</v>
      </c>
      <c r="F224" t="s">
        <v>2816</v>
      </c>
    </row>
    <row r="225" spans="1:6" x14ac:dyDescent="0.2">
      <c r="A225" t="s">
        <v>2814</v>
      </c>
      <c r="B225" t="s">
        <v>2815</v>
      </c>
      <c r="C225">
        <v>16122376</v>
      </c>
      <c r="D225" t="s">
        <v>2890</v>
      </c>
      <c r="E225" s="134">
        <v>266.66000000000003</v>
      </c>
      <c r="F225" t="s">
        <v>2816</v>
      </c>
    </row>
    <row r="226" spans="1:6" x14ac:dyDescent="0.2">
      <c r="A226" t="s">
        <v>2814</v>
      </c>
      <c r="B226" t="s">
        <v>2815</v>
      </c>
      <c r="C226">
        <v>16122503</v>
      </c>
      <c r="D226" t="s">
        <v>2891</v>
      </c>
      <c r="E226" s="134">
        <v>266.66000000000003</v>
      </c>
      <c r="F226" t="s">
        <v>2816</v>
      </c>
    </row>
    <row r="227" spans="1:6" x14ac:dyDescent="0.2">
      <c r="A227" t="s">
        <v>2814</v>
      </c>
      <c r="B227" t="s">
        <v>2815</v>
      </c>
      <c r="C227">
        <v>16122568</v>
      </c>
      <c r="D227" t="s">
        <v>2892</v>
      </c>
      <c r="E227" s="134">
        <v>133.33000000000001</v>
      </c>
      <c r="F227" t="s">
        <v>2816</v>
      </c>
    </row>
    <row r="228" spans="1:6" x14ac:dyDescent="0.2">
      <c r="A228" t="s">
        <v>2814</v>
      </c>
      <c r="B228" t="s">
        <v>2815</v>
      </c>
      <c r="C228">
        <v>16123358</v>
      </c>
      <c r="D228" t="s">
        <v>2893</v>
      </c>
      <c r="E228" s="134">
        <v>266.66000000000003</v>
      </c>
      <c r="F228" t="s">
        <v>2816</v>
      </c>
    </row>
    <row r="229" spans="1:6" x14ac:dyDescent="0.2">
      <c r="A229" t="s">
        <v>2814</v>
      </c>
      <c r="B229" t="s">
        <v>2815</v>
      </c>
      <c r="C229">
        <v>16123499</v>
      </c>
      <c r="D229" t="s">
        <v>2894</v>
      </c>
      <c r="E229" s="134">
        <v>266.66000000000003</v>
      </c>
      <c r="F229" t="s">
        <v>2816</v>
      </c>
    </row>
    <row r="230" spans="1:6" x14ac:dyDescent="0.2">
      <c r="A230" t="s">
        <v>2814</v>
      </c>
      <c r="B230" t="s">
        <v>2815</v>
      </c>
      <c r="C230">
        <v>16123584</v>
      </c>
      <c r="D230" t="s">
        <v>2895</v>
      </c>
      <c r="E230" s="134">
        <v>399.99</v>
      </c>
      <c r="F230" t="s">
        <v>2816</v>
      </c>
    </row>
    <row r="231" spans="1:6" x14ac:dyDescent="0.2">
      <c r="A231" t="s">
        <v>2814</v>
      </c>
      <c r="B231" t="s">
        <v>2815</v>
      </c>
      <c r="C231">
        <v>16123585</v>
      </c>
      <c r="D231" t="s">
        <v>2896</v>
      </c>
      <c r="E231" s="134">
        <v>399.99</v>
      </c>
      <c r="F231" t="s">
        <v>2816</v>
      </c>
    </row>
    <row r="232" spans="1:6" x14ac:dyDescent="0.2">
      <c r="A232" t="s">
        <v>2814</v>
      </c>
      <c r="B232" t="s">
        <v>2815</v>
      </c>
      <c r="C232">
        <v>16123592</v>
      </c>
      <c r="D232" t="s">
        <v>2897</v>
      </c>
      <c r="E232" s="134">
        <v>399.99</v>
      </c>
      <c r="F232" t="s">
        <v>2816</v>
      </c>
    </row>
    <row r="233" spans="1:6" x14ac:dyDescent="0.2">
      <c r="A233" t="s">
        <v>2814</v>
      </c>
      <c r="B233" t="s">
        <v>2815</v>
      </c>
      <c r="C233">
        <v>16123745</v>
      </c>
      <c r="D233" t="s">
        <v>2898</v>
      </c>
      <c r="E233" s="134">
        <v>399.99</v>
      </c>
      <c r="F233" t="s">
        <v>2816</v>
      </c>
    </row>
    <row r="234" spans="1:6" x14ac:dyDescent="0.2">
      <c r="A234" t="s">
        <v>2814</v>
      </c>
      <c r="B234" t="s">
        <v>2815</v>
      </c>
      <c r="C234">
        <v>16123764</v>
      </c>
      <c r="D234" t="s">
        <v>2899</v>
      </c>
      <c r="E234" s="134">
        <v>399.99</v>
      </c>
      <c r="F234" t="s">
        <v>2816</v>
      </c>
    </row>
    <row r="235" spans="1:6" x14ac:dyDescent="0.2">
      <c r="A235" t="s">
        <v>2814</v>
      </c>
      <c r="B235" t="s">
        <v>2815</v>
      </c>
      <c r="C235">
        <v>16123790</v>
      </c>
      <c r="D235" t="s">
        <v>2900</v>
      </c>
      <c r="E235" s="134">
        <v>266.66000000000003</v>
      </c>
      <c r="F235" t="s">
        <v>2816</v>
      </c>
    </row>
    <row r="236" spans="1:6" x14ac:dyDescent="0.2">
      <c r="A236" t="s">
        <v>2814</v>
      </c>
      <c r="B236" t="s">
        <v>2815</v>
      </c>
      <c r="C236">
        <v>16123864</v>
      </c>
      <c r="D236" t="s">
        <v>2901</v>
      </c>
      <c r="E236" s="134">
        <v>399.99</v>
      </c>
      <c r="F236" t="s">
        <v>2816</v>
      </c>
    </row>
    <row r="237" spans="1:6" x14ac:dyDescent="0.2">
      <c r="A237" t="s">
        <v>2814</v>
      </c>
      <c r="B237" t="s">
        <v>2815</v>
      </c>
      <c r="C237">
        <v>16123865</v>
      </c>
      <c r="D237" t="s">
        <v>2902</v>
      </c>
      <c r="E237" s="134">
        <v>399.99</v>
      </c>
      <c r="F237" t="s">
        <v>2816</v>
      </c>
    </row>
    <row r="238" spans="1:6" x14ac:dyDescent="0.2">
      <c r="A238" t="s">
        <v>2814</v>
      </c>
      <c r="B238" t="s">
        <v>2815</v>
      </c>
      <c r="C238">
        <v>16123866</v>
      </c>
      <c r="D238" t="s">
        <v>2903</v>
      </c>
      <c r="E238" s="134">
        <v>266.66000000000003</v>
      </c>
      <c r="F238" t="s">
        <v>2816</v>
      </c>
    </row>
    <row r="239" spans="1:6" x14ac:dyDescent="0.2">
      <c r="A239" t="s">
        <v>2814</v>
      </c>
      <c r="B239" t="s">
        <v>2815</v>
      </c>
      <c r="C239">
        <v>16123887</v>
      </c>
      <c r="D239" t="s">
        <v>2904</v>
      </c>
      <c r="E239" s="134">
        <v>266.66000000000003</v>
      </c>
      <c r="F239" t="s">
        <v>2816</v>
      </c>
    </row>
    <row r="240" spans="1:6" x14ac:dyDescent="0.2">
      <c r="A240" t="s">
        <v>2814</v>
      </c>
      <c r="B240" t="s">
        <v>2815</v>
      </c>
      <c r="C240">
        <v>16123909</v>
      </c>
      <c r="D240" t="s">
        <v>2905</v>
      </c>
      <c r="E240" s="134">
        <v>266.66000000000003</v>
      </c>
      <c r="F240" t="s">
        <v>2816</v>
      </c>
    </row>
    <row r="241" spans="1:6" x14ac:dyDescent="0.2">
      <c r="A241" t="s">
        <v>2814</v>
      </c>
      <c r="B241" t="s">
        <v>2815</v>
      </c>
      <c r="C241">
        <v>16123910</v>
      </c>
      <c r="D241" t="s">
        <v>2906</v>
      </c>
      <c r="E241" s="134">
        <v>399.99</v>
      </c>
      <c r="F241" t="s">
        <v>2816</v>
      </c>
    </row>
    <row r="242" spans="1:6" x14ac:dyDescent="0.2">
      <c r="A242" t="s">
        <v>2814</v>
      </c>
      <c r="B242" t="s">
        <v>2815</v>
      </c>
      <c r="C242">
        <v>14100751</v>
      </c>
      <c r="D242" t="s">
        <v>320</v>
      </c>
      <c r="E242" s="134">
        <v>355.58</v>
      </c>
      <c r="F242" t="s">
        <v>2816</v>
      </c>
    </row>
    <row r="243" spans="1:6" x14ac:dyDescent="0.2">
      <c r="A243" t="s">
        <v>2814</v>
      </c>
      <c r="B243" t="s">
        <v>2815</v>
      </c>
      <c r="C243">
        <v>14102081</v>
      </c>
      <c r="D243" t="s">
        <v>28</v>
      </c>
      <c r="E243" s="134">
        <v>355.58</v>
      </c>
      <c r="F243" t="s">
        <v>2816</v>
      </c>
    </row>
    <row r="244" spans="1:6" x14ac:dyDescent="0.2">
      <c r="A244" t="s">
        <v>2814</v>
      </c>
      <c r="B244" t="s">
        <v>2815</v>
      </c>
      <c r="C244">
        <v>14103936</v>
      </c>
      <c r="D244" t="s">
        <v>291</v>
      </c>
      <c r="E244" s="134">
        <v>355.58</v>
      </c>
      <c r="F244" t="s">
        <v>2816</v>
      </c>
    </row>
    <row r="245" spans="1:6" x14ac:dyDescent="0.2">
      <c r="A245" t="s">
        <v>2814</v>
      </c>
      <c r="B245" t="s">
        <v>2815</v>
      </c>
      <c r="C245">
        <v>14104957</v>
      </c>
      <c r="D245" t="s">
        <v>303</v>
      </c>
      <c r="E245" s="134">
        <v>355.58</v>
      </c>
      <c r="F245" t="s">
        <v>2816</v>
      </c>
    </row>
    <row r="246" spans="1:6" x14ac:dyDescent="0.2">
      <c r="A246" t="s">
        <v>2814</v>
      </c>
      <c r="B246" t="s">
        <v>2815</v>
      </c>
      <c r="C246">
        <v>14106066</v>
      </c>
      <c r="D246" t="s">
        <v>49</v>
      </c>
      <c r="E246" s="134">
        <v>355.58</v>
      </c>
      <c r="F246" t="s">
        <v>2816</v>
      </c>
    </row>
    <row r="247" spans="1:6" x14ac:dyDescent="0.2">
      <c r="A247" t="s">
        <v>2814</v>
      </c>
      <c r="B247" t="s">
        <v>2815</v>
      </c>
      <c r="C247">
        <v>14107271</v>
      </c>
      <c r="D247" t="s">
        <v>60</v>
      </c>
      <c r="E247" s="134">
        <v>355.58</v>
      </c>
      <c r="F247" t="s">
        <v>2816</v>
      </c>
    </row>
    <row r="248" spans="1:6" x14ac:dyDescent="0.2">
      <c r="A248" t="s">
        <v>2814</v>
      </c>
      <c r="B248" t="s">
        <v>2815</v>
      </c>
      <c r="C248">
        <v>14109738</v>
      </c>
      <c r="D248" t="s">
        <v>93</v>
      </c>
      <c r="E248" s="134">
        <v>355.58</v>
      </c>
      <c r="F248" t="s">
        <v>2816</v>
      </c>
    </row>
    <row r="249" spans="1:6" x14ac:dyDescent="0.2">
      <c r="A249" t="s">
        <v>2814</v>
      </c>
      <c r="B249" t="s">
        <v>2815</v>
      </c>
      <c r="C249">
        <v>14109748</v>
      </c>
      <c r="D249" t="s">
        <v>94</v>
      </c>
      <c r="E249" s="134">
        <v>355.58</v>
      </c>
      <c r="F249" t="s">
        <v>2816</v>
      </c>
    </row>
    <row r="250" spans="1:6" x14ac:dyDescent="0.2">
      <c r="A250" t="s">
        <v>2814</v>
      </c>
      <c r="B250" t="s">
        <v>2815</v>
      </c>
      <c r="C250">
        <v>14109802</v>
      </c>
      <c r="D250" t="s">
        <v>95</v>
      </c>
      <c r="E250" s="134">
        <v>355.58</v>
      </c>
      <c r="F250" t="s">
        <v>2816</v>
      </c>
    </row>
    <row r="251" spans="1:6" x14ac:dyDescent="0.2">
      <c r="A251" t="s">
        <v>2814</v>
      </c>
      <c r="B251" t="s">
        <v>2815</v>
      </c>
      <c r="C251">
        <v>14109874</v>
      </c>
      <c r="D251" t="s">
        <v>97</v>
      </c>
      <c r="E251" s="134">
        <v>355.58</v>
      </c>
      <c r="F251" t="s">
        <v>2816</v>
      </c>
    </row>
    <row r="252" spans="1:6" x14ac:dyDescent="0.2">
      <c r="A252" t="s">
        <v>2814</v>
      </c>
      <c r="B252" t="s">
        <v>2815</v>
      </c>
      <c r="C252">
        <v>14110765</v>
      </c>
      <c r="D252" t="s">
        <v>105</v>
      </c>
      <c r="E252" s="134">
        <v>355.58</v>
      </c>
      <c r="F252" t="s">
        <v>2816</v>
      </c>
    </row>
    <row r="253" spans="1:6" x14ac:dyDescent="0.2">
      <c r="A253" t="s">
        <v>2814</v>
      </c>
      <c r="B253" t="s">
        <v>2815</v>
      </c>
      <c r="C253">
        <v>14110974</v>
      </c>
      <c r="D253" t="s">
        <v>107</v>
      </c>
      <c r="E253" s="134">
        <v>355.58</v>
      </c>
      <c r="F253" t="s">
        <v>2816</v>
      </c>
    </row>
    <row r="254" spans="1:6" x14ac:dyDescent="0.2">
      <c r="A254" t="s">
        <v>2814</v>
      </c>
      <c r="B254" t="s">
        <v>2815</v>
      </c>
      <c r="C254">
        <v>14111675</v>
      </c>
      <c r="D254" t="s">
        <v>112</v>
      </c>
      <c r="E254" s="134">
        <v>355.58</v>
      </c>
      <c r="F254" t="s">
        <v>2816</v>
      </c>
    </row>
    <row r="255" spans="1:6" x14ac:dyDescent="0.2">
      <c r="A255" t="s">
        <v>2814</v>
      </c>
      <c r="B255" t="s">
        <v>2815</v>
      </c>
      <c r="C255">
        <v>14113146</v>
      </c>
      <c r="D255" t="s">
        <v>124</v>
      </c>
      <c r="E255" s="134">
        <v>355.58</v>
      </c>
      <c r="F255" t="s">
        <v>2816</v>
      </c>
    </row>
    <row r="256" spans="1:6" x14ac:dyDescent="0.2">
      <c r="A256" t="s">
        <v>2814</v>
      </c>
      <c r="B256" t="s">
        <v>2815</v>
      </c>
      <c r="C256">
        <v>14113565</v>
      </c>
      <c r="D256" t="s">
        <v>129</v>
      </c>
      <c r="E256" s="134">
        <v>355.58</v>
      </c>
      <c r="F256" t="s">
        <v>2816</v>
      </c>
    </row>
    <row r="257" spans="1:6" x14ac:dyDescent="0.2">
      <c r="A257" t="s">
        <v>2814</v>
      </c>
      <c r="B257" t="s">
        <v>2815</v>
      </c>
      <c r="C257">
        <v>14113803</v>
      </c>
      <c r="D257" t="s">
        <v>296</v>
      </c>
      <c r="E257" s="134">
        <v>355.58</v>
      </c>
      <c r="F257" t="s">
        <v>2816</v>
      </c>
    </row>
    <row r="258" spans="1:6" x14ac:dyDescent="0.2">
      <c r="A258" t="s">
        <v>2814</v>
      </c>
      <c r="B258" t="s">
        <v>2815</v>
      </c>
      <c r="C258">
        <v>14114320</v>
      </c>
      <c r="D258" t="s">
        <v>312</v>
      </c>
      <c r="E258" s="134">
        <v>355.58</v>
      </c>
      <c r="F258" t="s">
        <v>2816</v>
      </c>
    </row>
    <row r="259" spans="1:6" x14ac:dyDescent="0.2">
      <c r="A259" t="s">
        <v>2814</v>
      </c>
      <c r="B259" t="s">
        <v>2815</v>
      </c>
      <c r="C259">
        <v>14114737</v>
      </c>
      <c r="D259" t="s">
        <v>139</v>
      </c>
      <c r="E259" s="134">
        <v>355.58</v>
      </c>
      <c r="F259" t="s">
        <v>2816</v>
      </c>
    </row>
    <row r="260" spans="1:6" x14ac:dyDescent="0.2">
      <c r="A260" t="s">
        <v>2814</v>
      </c>
      <c r="B260" t="s">
        <v>2815</v>
      </c>
      <c r="C260">
        <v>14115244</v>
      </c>
      <c r="D260" t="s">
        <v>141</v>
      </c>
      <c r="E260" s="134">
        <v>355.58</v>
      </c>
      <c r="F260" t="s">
        <v>2816</v>
      </c>
    </row>
    <row r="261" spans="1:6" x14ac:dyDescent="0.2">
      <c r="A261" t="s">
        <v>2814</v>
      </c>
      <c r="B261" t="s">
        <v>2815</v>
      </c>
      <c r="C261">
        <v>14115435</v>
      </c>
      <c r="D261" t="s">
        <v>143</v>
      </c>
      <c r="E261" s="134">
        <v>355.58</v>
      </c>
      <c r="F261" t="s">
        <v>2816</v>
      </c>
    </row>
    <row r="262" spans="1:6" x14ac:dyDescent="0.2">
      <c r="A262" t="s">
        <v>2814</v>
      </c>
      <c r="B262" t="s">
        <v>2815</v>
      </c>
      <c r="C262">
        <v>14115820</v>
      </c>
      <c r="D262" t="s">
        <v>148</v>
      </c>
      <c r="E262" s="134">
        <v>355.58</v>
      </c>
      <c r="F262" t="s">
        <v>2816</v>
      </c>
    </row>
    <row r="263" spans="1:6" x14ac:dyDescent="0.2">
      <c r="A263" t="s">
        <v>2814</v>
      </c>
      <c r="B263" t="s">
        <v>2815</v>
      </c>
      <c r="C263">
        <v>14116352</v>
      </c>
      <c r="D263" t="s">
        <v>159</v>
      </c>
      <c r="E263" s="134">
        <v>355.58</v>
      </c>
      <c r="F263" t="s">
        <v>2816</v>
      </c>
    </row>
    <row r="264" spans="1:6" x14ac:dyDescent="0.2">
      <c r="A264" t="s">
        <v>2814</v>
      </c>
      <c r="B264" t="s">
        <v>2815</v>
      </c>
      <c r="C264">
        <v>14116643</v>
      </c>
      <c r="D264" t="s">
        <v>292</v>
      </c>
      <c r="E264" s="134">
        <v>355.58</v>
      </c>
      <c r="F264" t="s">
        <v>2816</v>
      </c>
    </row>
    <row r="265" spans="1:6" x14ac:dyDescent="0.2">
      <c r="A265" t="s">
        <v>2814</v>
      </c>
      <c r="B265" t="s">
        <v>2815</v>
      </c>
      <c r="C265">
        <v>14116860</v>
      </c>
      <c r="D265" t="s">
        <v>170</v>
      </c>
      <c r="E265" s="134">
        <v>355.58</v>
      </c>
      <c r="F265" t="s">
        <v>2816</v>
      </c>
    </row>
    <row r="266" spans="1:6" x14ac:dyDescent="0.2">
      <c r="A266" t="s">
        <v>2814</v>
      </c>
      <c r="B266" t="s">
        <v>2815</v>
      </c>
      <c r="C266">
        <v>14117158</v>
      </c>
      <c r="D266" t="s">
        <v>172</v>
      </c>
      <c r="E266" s="134">
        <v>355.58</v>
      </c>
      <c r="F266" t="s">
        <v>2816</v>
      </c>
    </row>
    <row r="267" spans="1:6" x14ac:dyDescent="0.2">
      <c r="A267" t="s">
        <v>2814</v>
      </c>
      <c r="B267" t="s">
        <v>2815</v>
      </c>
      <c r="C267">
        <v>14117508</v>
      </c>
      <c r="D267" t="s">
        <v>313</v>
      </c>
      <c r="E267" s="134">
        <v>355.58</v>
      </c>
      <c r="F267" t="s">
        <v>2816</v>
      </c>
    </row>
    <row r="268" spans="1:6" x14ac:dyDescent="0.2">
      <c r="A268" t="s">
        <v>2814</v>
      </c>
      <c r="B268" t="s">
        <v>2815</v>
      </c>
      <c r="C268">
        <v>14118341</v>
      </c>
      <c r="D268" t="s">
        <v>195</v>
      </c>
      <c r="E268" s="134">
        <v>355.58</v>
      </c>
      <c r="F268" t="s">
        <v>2816</v>
      </c>
    </row>
    <row r="269" spans="1:6" x14ac:dyDescent="0.2">
      <c r="A269" t="s">
        <v>2814</v>
      </c>
      <c r="B269" t="s">
        <v>2815</v>
      </c>
      <c r="C269">
        <v>14118501</v>
      </c>
      <c r="D269" t="s">
        <v>199</v>
      </c>
      <c r="E269" s="134">
        <v>355.58</v>
      </c>
      <c r="F269" t="s">
        <v>2816</v>
      </c>
    </row>
    <row r="270" spans="1:6" x14ac:dyDescent="0.2">
      <c r="A270" t="s">
        <v>2814</v>
      </c>
      <c r="B270" t="s">
        <v>2815</v>
      </c>
      <c r="C270">
        <v>14118773</v>
      </c>
      <c r="D270" t="s">
        <v>210</v>
      </c>
      <c r="E270" s="134">
        <v>355.58</v>
      </c>
      <c r="F270" t="s">
        <v>2816</v>
      </c>
    </row>
    <row r="271" spans="1:6" x14ac:dyDescent="0.2">
      <c r="A271" t="s">
        <v>2814</v>
      </c>
      <c r="B271" t="s">
        <v>2815</v>
      </c>
      <c r="C271">
        <v>14118958</v>
      </c>
      <c r="D271" t="s">
        <v>367</v>
      </c>
      <c r="E271" s="134">
        <v>355.58</v>
      </c>
      <c r="F271" t="s">
        <v>2816</v>
      </c>
    </row>
    <row r="272" spans="1:6" x14ac:dyDescent="0.2">
      <c r="A272" t="s">
        <v>2814</v>
      </c>
      <c r="B272" t="s">
        <v>2815</v>
      </c>
      <c r="C272">
        <v>14119958</v>
      </c>
      <c r="D272" t="s">
        <v>270</v>
      </c>
      <c r="E272" s="134">
        <v>355.58</v>
      </c>
      <c r="F272" t="s">
        <v>2816</v>
      </c>
    </row>
    <row r="273" spans="1:6" x14ac:dyDescent="0.2">
      <c r="A273" t="s">
        <v>2814</v>
      </c>
      <c r="B273" t="s">
        <v>2815</v>
      </c>
      <c r="C273">
        <v>14120104</v>
      </c>
      <c r="D273" t="s">
        <v>276</v>
      </c>
      <c r="E273" s="134">
        <v>355.58</v>
      </c>
      <c r="F273" t="s">
        <v>2816</v>
      </c>
    </row>
    <row r="274" spans="1:6" x14ac:dyDescent="0.2">
      <c r="A274" t="s">
        <v>2814</v>
      </c>
      <c r="B274" t="s">
        <v>2815</v>
      </c>
      <c r="C274">
        <v>14120351</v>
      </c>
      <c r="D274" t="s">
        <v>285</v>
      </c>
      <c r="E274" s="134">
        <v>355.58</v>
      </c>
      <c r="F274" t="s">
        <v>2816</v>
      </c>
    </row>
    <row r="275" spans="1:6" x14ac:dyDescent="0.2">
      <c r="A275" t="s">
        <v>2814</v>
      </c>
      <c r="B275" t="s">
        <v>2815</v>
      </c>
      <c r="C275">
        <v>14120655</v>
      </c>
      <c r="D275" t="s">
        <v>293</v>
      </c>
      <c r="E275" s="134">
        <v>355.58</v>
      </c>
      <c r="F275" t="s">
        <v>2816</v>
      </c>
    </row>
    <row r="276" spans="1:6" x14ac:dyDescent="0.2">
      <c r="A276" t="s">
        <v>2814</v>
      </c>
      <c r="B276" t="s">
        <v>2815</v>
      </c>
      <c r="C276">
        <v>14120788</v>
      </c>
      <c r="D276" t="s">
        <v>297</v>
      </c>
      <c r="E276" s="134">
        <v>355.58</v>
      </c>
      <c r="F276" t="s">
        <v>2816</v>
      </c>
    </row>
    <row r="277" spans="1:6" x14ac:dyDescent="0.2">
      <c r="A277" t="s">
        <v>2814</v>
      </c>
      <c r="B277" t="s">
        <v>2815</v>
      </c>
      <c r="C277">
        <v>14120789</v>
      </c>
      <c r="D277" t="s">
        <v>298</v>
      </c>
      <c r="E277" s="134">
        <v>355.58</v>
      </c>
      <c r="F277" t="s">
        <v>2816</v>
      </c>
    </row>
    <row r="278" spans="1:6" x14ac:dyDescent="0.2">
      <c r="A278" t="s">
        <v>2814</v>
      </c>
      <c r="B278" t="s">
        <v>2815</v>
      </c>
      <c r="C278">
        <v>14120806</v>
      </c>
      <c r="D278" t="s">
        <v>299</v>
      </c>
      <c r="E278" s="134">
        <v>355.58</v>
      </c>
      <c r="F278" t="s">
        <v>2816</v>
      </c>
    </row>
    <row r="279" spans="1:6" x14ac:dyDescent="0.2">
      <c r="A279" t="s">
        <v>2814</v>
      </c>
      <c r="B279" t="s">
        <v>2815</v>
      </c>
      <c r="C279">
        <v>14120850</v>
      </c>
      <c r="D279" t="s">
        <v>301</v>
      </c>
      <c r="E279" s="134">
        <v>355.58</v>
      </c>
      <c r="F279" t="s">
        <v>2816</v>
      </c>
    </row>
    <row r="280" spans="1:6" x14ac:dyDescent="0.2">
      <c r="A280" t="s">
        <v>2814</v>
      </c>
      <c r="B280" t="s">
        <v>2815</v>
      </c>
      <c r="C280">
        <v>14120885</v>
      </c>
      <c r="D280" t="s">
        <v>302</v>
      </c>
      <c r="E280" s="134">
        <v>355.58</v>
      </c>
      <c r="F280" t="s">
        <v>2816</v>
      </c>
    </row>
    <row r="281" spans="1:6" x14ac:dyDescent="0.2">
      <c r="A281" t="s">
        <v>2814</v>
      </c>
      <c r="B281" t="s">
        <v>2815</v>
      </c>
      <c r="C281">
        <v>14120925</v>
      </c>
      <c r="D281" t="s">
        <v>304</v>
      </c>
      <c r="E281" s="134">
        <v>355.58</v>
      </c>
      <c r="F281" t="s">
        <v>2816</v>
      </c>
    </row>
    <row r="282" spans="1:6" x14ac:dyDescent="0.2">
      <c r="A282" t="s">
        <v>2814</v>
      </c>
      <c r="B282" t="s">
        <v>2815</v>
      </c>
      <c r="C282">
        <v>14121013</v>
      </c>
      <c r="D282" t="s">
        <v>305</v>
      </c>
      <c r="E282" s="134">
        <v>355.58</v>
      </c>
      <c r="F282" t="s">
        <v>2816</v>
      </c>
    </row>
    <row r="283" spans="1:6" x14ac:dyDescent="0.2">
      <c r="A283" t="s">
        <v>2814</v>
      </c>
      <c r="B283" t="s">
        <v>2815</v>
      </c>
      <c r="C283">
        <v>14121015</v>
      </c>
      <c r="D283" t="s">
        <v>306</v>
      </c>
      <c r="E283" s="134">
        <v>355.58</v>
      </c>
      <c r="F283" t="s">
        <v>2816</v>
      </c>
    </row>
    <row r="284" spans="1:6" x14ac:dyDescent="0.2">
      <c r="A284" t="s">
        <v>2814</v>
      </c>
      <c r="B284" t="s">
        <v>2815</v>
      </c>
      <c r="C284">
        <v>14121104</v>
      </c>
      <c r="D284" t="s">
        <v>308</v>
      </c>
      <c r="E284" s="134">
        <v>355.58</v>
      </c>
      <c r="F284" t="s">
        <v>2816</v>
      </c>
    </row>
    <row r="285" spans="1:6" x14ac:dyDescent="0.2">
      <c r="A285" t="s">
        <v>2814</v>
      </c>
      <c r="B285" t="s">
        <v>2815</v>
      </c>
      <c r="C285">
        <v>14121116</v>
      </c>
      <c r="D285" t="s">
        <v>314</v>
      </c>
      <c r="E285" s="134">
        <v>355.58</v>
      </c>
      <c r="F285" t="s">
        <v>2816</v>
      </c>
    </row>
    <row r="286" spans="1:6" x14ac:dyDescent="0.2">
      <c r="A286" t="s">
        <v>2814</v>
      </c>
      <c r="B286" t="s">
        <v>2815</v>
      </c>
      <c r="C286">
        <v>14121152</v>
      </c>
      <c r="D286" t="s">
        <v>315</v>
      </c>
      <c r="E286" s="134">
        <v>355.58</v>
      </c>
      <c r="F286" t="s">
        <v>2816</v>
      </c>
    </row>
    <row r="287" spans="1:6" x14ac:dyDescent="0.2">
      <c r="A287" t="s">
        <v>2814</v>
      </c>
      <c r="B287" t="s">
        <v>2815</v>
      </c>
      <c r="C287">
        <v>14121153</v>
      </c>
      <c r="D287" t="s">
        <v>316</v>
      </c>
      <c r="E287" s="134">
        <v>355.58</v>
      </c>
      <c r="F287" t="s">
        <v>2816</v>
      </c>
    </row>
    <row r="288" spans="1:6" x14ac:dyDescent="0.2">
      <c r="A288" t="s">
        <v>2814</v>
      </c>
      <c r="B288" t="s">
        <v>2815</v>
      </c>
      <c r="C288">
        <v>14121159</v>
      </c>
      <c r="D288" t="s">
        <v>318</v>
      </c>
      <c r="E288" s="134">
        <v>355.58</v>
      </c>
      <c r="F288" t="s">
        <v>2816</v>
      </c>
    </row>
    <row r="289" spans="1:6" x14ac:dyDescent="0.2">
      <c r="A289" t="s">
        <v>2814</v>
      </c>
      <c r="B289" t="s">
        <v>2815</v>
      </c>
      <c r="C289">
        <v>14121193</v>
      </c>
      <c r="D289" t="s">
        <v>319</v>
      </c>
      <c r="E289" s="134">
        <v>355.58</v>
      </c>
      <c r="F289" t="s">
        <v>2816</v>
      </c>
    </row>
    <row r="290" spans="1:6" x14ac:dyDescent="0.2">
      <c r="A290" t="s">
        <v>2814</v>
      </c>
      <c r="B290" t="s">
        <v>2815</v>
      </c>
      <c r="C290">
        <v>14121238</v>
      </c>
      <c r="D290" t="s">
        <v>322</v>
      </c>
      <c r="E290" s="134">
        <v>355.58</v>
      </c>
      <c r="F290" t="s">
        <v>2816</v>
      </c>
    </row>
    <row r="291" spans="1:6" x14ac:dyDescent="0.2">
      <c r="A291" t="s">
        <v>2814</v>
      </c>
      <c r="B291" t="s">
        <v>2815</v>
      </c>
      <c r="C291">
        <v>14121239</v>
      </c>
      <c r="D291" t="s">
        <v>323</v>
      </c>
      <c r="E291" s="134">
        <v>355.58</v>
      </c>
      <c r="F291" t="s">
        <v>2816</v>
      </c>
    </row>
    <row r="292" spans="1:6" x14ac:dyDescent="0.2">
      <c r="A292" t="s">
        <v>2814</v>
      </c>
      <c r="B292" t="s">
        <v>2815</v>
      </c>
      <c r="C292">
        <v>14121266</v>
      </c>
      <c r="D292" t="s">
        <v>324</v>
      </c>
      <c r="E292" s="134">
        <v>355.58</v>
      </c>
      <c r="F292" t="s">
        <v>2816</v>
      </c>
    </row>
    <row r="293" spans="1:6" x14ac:dyDescent="0.2">
      <c r="A293" t="s">
        <v>2814</v>
      </c>
      <c r="B293" t="s">
        <v>2815</v>
      </c>
      <c r="C293">
        <v>14121271</v>
      </c>
      <c r="D293" t="s">
        <v>325</v>
      </c>
      <c r="E293" s="134">
        <v>355.58</v>
      </c>
      <c r="F293" t="s">
        <v>2816</v>
      </c>
    </row>
    <row r="294" spans="1:6" x14ac:dyDescent="0.2">
      <c r="A294" t="s">
        <v>2814</v>
      </c>
      <c r="B294" t="s">
        <v>2815</v>
      </c>
      <c r="C294">
        <v>14121328</v>
      </c>
      <c r="D294" t="s">
        <v>326</v>
      </c>
      <c r="E294" s="134">
        <v>355.58</v>
      </c>
      <c r="F294" t="s">
        <v>2816</v>
      </c>
    </row>
    <row r="295" spans="1:6" x14ac:dyDescent="0.2">
      <c r="A295" t="s">
        <v>2814</v>
      </c>
      <c r="B295" t="s">
        <v>2815</v>
      </c>
      <c r="C295">
        <v>14121522</v>
      </c>
      <c r="D295" t="s">
        <v>331</v>
      </c>
      <c r="E295" s="134">
        <v>355.58</v>
      </c>
      <c r="F295" t="s">
        <v>2816</v>
      </c>
    </row>
    <row r="296" spans="1:6" x14ac:dyDescent="0.2">
      <c r="A296" t="s">
        <v>2814</v>
      </c>
      <c r="B296" t="s">
        <v>2815</v>
      </c>
      <c r="C296">
        <v>14121543</v>
      </c>
      <c r="D296" t="s">
        <v>333</v>
      </c>
      <c r="E296" s="134">
        <v>355.58</v>
      </c>
      <c r="F296" t="s">
        <v>2816</v>
      </c>
    </row>
    <row r="297" spans="1:6" x14ac:dyDescent="0.2">
      <c r="A297" t="s">
        <v>2814</v>
      </c>
      <c r="B297" t="s">
        <v>2815</v>
      </c>
      <c r="C297">
        <v>14121545</v>
      </c>
      <c r="D297" t="s">
        <v>334</v>
      </c>
      <c r="E297" s="134">
        <v>355.58</v>
      </c>
      <c r="F297" t="s">
        <v>2816</v>
      </c>
    </row>
    <row r="298" spans="1:6" x14ac:dyDescent="0.2">
      <c r="A298" t="s">
        <v>2814</v>
      </c>
      <c r="B298" t="s">
        <v>2815</v>
      </c>
      <c r="C298">
        <v>14121600</v>
      </c>
      <c r="D298" t="s">
        <v>339</v>
      </c>
      <c r="E298" s="134">
        <v>355.58</v>
      </c>
      <c r="F298" t="s">
        <v>2816</v>
      </c>
    </row>
    <row r="299" spans="1:6" x14ac:dyDescent="0.2">
      <c r="A299" t="s">
        <v>2814</v>
      </c>
      <c r="B299" t="s">
        <v>2815</v>
      </c>
      <c r="C299">
        <v>14121677</v>
      </c>
      <c r="D299" t="s">
        <v>343</v>
      </c>
      <c r="E299" s="134">
        <v>355.58</v>
      </c>
      <c r="F299" t="s">
        <v>2816</v>
      </c>
    </row>
    <row r="300" spans="1:6" x14ac:dyDescent="0.2">
      <c r="A300" t="s">
        <v>2814</v>
      </c>
      <c r="B300" t="s">
        <v>2815</v>
      </c>
      <c r="C300">
        <v>14121728</v>
      </c>
      <c r="D300" t="s">
        <v>345</v>
      </c>
      <c r="E300" s="134">
        <v>355.58</v>
      </c>
      <c r="F300" t="s">
        <v>2816</v>
      </c>
    </row>
    <row r="301" spans="1:6" x14ac:dyDescent="0.2">
      <c r="A301" t="s">
        <v>2814</v>
      </c>
      <c r="B301" t="s">
        <v>2815</v>
      </c>
      <c r="C301">
        <v>14121733</v>
      </c>
      <c r="D301" t="s">
        <v>346</v>
      </c>
      <c r="E301" s="134">
        <v>355.58</v>
      </c>
      <c r="F301" t="s">
        <v>2816</v>
      </c>
    </row>
    <row r="302" spans="1:6" x14ac:dyDescent="0.2">
      <c r="A302" t="s">
        <v>2814</v>
      </c>
      <c r="B302" t="s">
        <v>2815</v>
      </c>
      <c r="C302">
        <v>14121756</v>
      </c>
      <c r="D302" t="s">
        <v>350</v>
      </c>
      <c r="E302" s="134">
        <v>355.58</v>
      </c>
      <c r="F302" t="s">
        <v>2816</v>
      </c>
    </row>
    <row r="303" spans="1:6" x14ac:dyDescent="0.2">
      <c r="A303" t="s">
        <v>2814</v>
      </c>
      <c r="B303" t="s">
        <v>2815</v>
      </c>
      <c r="C303">
        <v>14121785</v>
      </c>
      <c r="D303" t="s">
        <v>353</v>
      </c>
      <c r="E303" s="134">
        <v>355.58</v>
      </c>
      <c r="F303" t="s">
        <v>2816</v>
      </c>
    </row>
    <row r="304" spans="1:6" x14ac:dyDescent="0.2">
      <c r="A304" t="s">
        <v>2814</v>
      </c>
      <c r="B304" t="s">
        <v>2815</v>
      </c>
      <c r="C304">
        <v>14121791</v>
      </c>
      <c r="D304" t="s">
        <v>354</v>
      </c>
      <c r="E304" s="134">
        <v>355.58</v>
      </c>
      <c r="F304" t="s">
        <v>2816</v>
      </c>
    </row>
    <row r="305" spans="1:6" x14ac:dyDescent="0.2">
      <c r="A305" t="s">
        <v>2814</v>
      </c>
      <c r="B305" t="s">
        <v>2815</v>
      </c>
      <c r="C305">
        <v>14121811</v>
      </c>
      <c r="D305" t="s">
        <v>356</v>
      </c>
      <c r="E305" s="134">
        <v>355.58</v>
      </c>
      <c r="F305" t="s">
        <v>2816</v>
      </c>
    </row>
    <row r="306" spans="1:6" x14ac:dyDescent="0.2">
      <c r="A306" t="s">
        <v>2814</v>
      </c>
      <c r="B306" t="s">
        <v>2815</v>
      </c>
      <c r="C306">
        <v>14121821</v>
      </c>
      <c r="D306" t="s">
        <v>357</v>
      </c>
      <c r="E306" s="134">
        <v>355.58</v>
      </c>
      <c r="F306" t="s">
        <v>2816</v>
      </c>
    </row>
    <row r="307" spans="1:6" x14ac:dyDescent="0.2">
      <c r="A307" t="s">
        <v>2814</v>
      </c>
      <c r="B307" t="s">
        <v>2815</v>
      </c>
      <c r="C307">
        <v>14121859</v>
      </c>
      <c r="D307" t="s">
        <v>359</v>
      </c>
      <c r="E307" s="134">
        <v>355.58</v>
      </c>
      <c r="F307" t="s">
        <v>2816</v>
      </c>
    </row>
    <row r="308" spans="1:6" x14ac:dyDescent="0.2">
      <c r="A308" t="s">
        <v>2814</v>
      </c>
      <c r="B308" t="s">
        <v>2815</v>
      </c>
      <c r="C308">
        <v>14121869</v>
      </c>
      <c r="D308" t="s">
        <v>361</v>
      </c>
      <c r="E308" s="134">
        <v>355.58</v>
      </c>
      <c r="F308" t="s">
        <v>2816</v>
      </c>
    </row>
    <row r="309" spans="1:6" x14ac:dyDescent="0.2">
      <c r="A309" t="s">
        <v>2814</v>
      </c>
      <c r="B309" t="s">
        <v>2815</v>
      </c>
      <c r="C309">
        <v>14121964</v>
      </c>
      <c r="D309" t="s">
        <v>368</v>
      </c>
      <c r="E309" s="134">
        <v>355.58</v>
      </c>
      <c r="F309" t="s">
        <v>2816</v>
      </c>
    </row>
    <row r="310" spans="1:6" x14ac:dyDescent="0.2">
      <c r="A310" t="s">
        <v>2814</v>
      </c>
      <c r="B310" t="s">
        <v>2815</v>
      </c>
      <c r="C310">
        <v>14122033</v>
      </c>
      <c r="D310" t="s">
        <v>371</v>
      </c>
      <c r="E310" s="134">
        <v>355.58</v>
      </c>
      <c r="F310" t="s">
        <v>2816</v>
      </c>
    </row>
    <row r="311" spans="1:6" x14ac:dyDescent="0.2">
      <c r="A311" t="s">
        <v>2814</v>
      </c>
      <c r="B311" t="s">
        <v>2815</v>
      </c>
      <c r="C311">
        <v>14122067</v>
      </c>
      <c r="D311" t="s">
        <v>374</v>
      </c>
      <c r="E311" s="134">
        <v>355.58</v>
      </c>
      <c r="F311" t="s">
        <v>2816</v>
      </c>
    </row>
    <row r="312" spans="1:6" x14ac:dyDescent="0.2">
      <c r="A312" t="s">
        <v>2814</v>
      </c>
      <c r="B312" t="s">
        <v>2815</v>
      </c>
      <c r="C312">
        <v>14122072</v>
      </c>
      <c r="D312" t="s">
        <v>375</v>
      </c>
      <c r="E312" s="134">
        <v>355.58</v>
      </c>
      <c r="F312" t="s">
        <v>2816</v>
      </c>
    </row>
    <row r="313" spans="1:6" x14ac:dyDescent="0.2">
      <c r="A313" t="s">
        <v>2814</v>
      </c>
      <c r="B313" t="s">
        <v>2815</v>
      </c>
      <c r="C313">
        <v>14122073</v>
      </c>
      <c r="D313" t="s">
        <v>376</v>
      </c>
      <c r="E313" s="134">
        <v>355.58</v>
      </c>
      <c r="F313" t="s">
        <v>2816</v>
      </c>
    </row>
    <row r="314" spans="1:6" x14ac:dyDescent="0.2">
      <c r="A314" t="s">
        <v>2814</v>
      </c>
      <c r="B314" t="s">
        <v>2815</v>
      </c>
      <c r="C314">
        <v>14122095</v>
      </c>
      <c r="D314" t="s">
        <v>380</v>
      </c>
      <c r="E314" s="134">
        <v>355.58</v>
      </c>
      <c r="F314" t="s">
        <v>2816</v>
      </c>
    </row>
    <row r="315" spans="1:6" x14ac:dyDescent="0.2">
      <c r="A315" t="s">
        <v>2814</v>
      </c>
      <c r="B315" t="s">
        <v>2815</v>
      </c>
      <c r="C315">
        <v>14122103</v>
      </c>
      <c r="D315" t="s">
        <v>382</v>
      </c>
      <c r="E315" s="134">
        <v>355.58</v>
      </c>
      <c r="F315" t="s">
        <v>2816</v>
      </c>
    </row>
    <row r="316" spans="1:6" x14ac:dyDescent="0.2">
      <c r="A316" t="s">
        <v>2814</v>
      </c>
      <c r="B316" t="s">
        <v>2815</v>
      </c>
      <c r="C316">
        <v>14122135</v>
      </c>
      <c r="D316" t="s">
        <v>385</v>
      </c>
      <c r="E316" s="134">
        <v>355.58</v>
      </c>
      <c r="F316" t="s">
        <v>2816</v>
      </c>
    </row>
    <row r="317" spans="1:6" x14ac:dyDescent="0.2">
      <c r="A317" t="s">
        <v>2814</v>
      </c>
      <c r="B317" t="s">
        <v>2815</v>
      </c>
      <c r="C317">
        <v>14122136</v>
      </c>
      <c r="D317" t="s">
        <v>386</v>
      </c>
      <c r="E317" s="134">
        <v>355.58</v>
      </c>
      <c r="F317" t="s">
        <v>2816</v>
      </c>
    </row>
    <row r="318" spans="1:6" x14ac:dyDescent="0.2">
      <c r="A318" t="s">
        <v>2814</v>
      </c>
      <c r="B318" t="s">
        <v>2815</v>
      </c>
      <c r="C318">
        <v>14122137</v>
      </c>
      <c r="D318" t="s">
        <v>387</v>
      </c>
      <c r="E318" s="134">
        <v>355.58</v>
      </c>
      <c r="F318" t="s">
        <v>2816</v>
      </c>
    </row>
    <row r="319" spans="1:6" x14ac:dyDescent="0.2">
      <c r="A319" t="s">
        <v>2814</v>
      </c>
      <c r="B319" t="s">
        <v>2815</v>
      </c>
      <c r="C319">
        <v>14122148</v>
      </c>
      <c r="D319" t="s">
        <v>388</v>
      </c>
      <c r="E319" s="134">
        <v>355.58</v>
      </c>
      <c r="F319" t="s">
        <v>2816</v>
      </c>
    </row>
    <row r="320" spans="1:6" x14ac:dyDescent="0.2">
      <c r="A320" t="s">
        <v>2814</v>
      </c>
      <c r="B320" t="s">
        <v>2815</v>
      </c>
      <c r="C320">
        <v>14122158</v>
      </c>
      <c r="D320" t="s">
        <v>390</v>
      </c>
      <c r="E320" s="134">
        <v>355.58</v>
      </c>
      <c r="F320" t="s">
        <v>2816</v>
      </c>
    </row>
    <row r="321" spans="1:6" x14ac:dyDescent="0.2">
      <c r="A321" t="s">
        <v>2814</v>
      </c>
      <c r="B321" t="s">
        <v>2815</v>
      </c>
      <c r="C321">
        <v>14122160</v>
      </c>
      <c r="D321" t="s">
        <v>391</v>
      </c>
      <c r="E321" s="134">
        <v>355.58</v>
      </c>
      <c r="F321" t="s">
        <v>2816</v>
      </c>
    </row>
    <row r="322" spans="1:6" x14ac:dyDescent="0.2">
      <c r="A322" t="s">
        <v>2814</v>
      </c>
      <c r="B322" t="s">
        <v>2815</v>
      </c>
      <c r="C322">
        <v>14100843</v>
      </c>
      <c r="D322" t="s">
        <v>221</v>
      </c>
      <c r="E322" s="134">
        <v>355.58</v>
      </c>
      <c r="F322" t="s">
        <v>2816</v>
      </c>
    </row>
    <row r="323" spans="1:6" x14ac:dyDescent="0.2">
      <c r="A323" t="s">
        <v>2814</v>
      </c>
      <c r="B323" t="s">
        <v>2815</v>
      </c>
      <c r="C323">
        <v>14100858</v>
      </c>
      <c r="D323" t="s">
        <v>261</v>
      </c>
      <c r="E323" s="134">
        <v>355.58</v>
      </c>
      <c r="F323" t="s">
        <v>2816</v>
      </c>
    </row>
    <row r="324" spans="1:6" x14ac:dyDescent="0.2">
      <c r="A324" t="s">
        <v>2814</v>
      </c>
      <c r="B324" t="s">
        <v>2815</v>
      </c>
      <c r="C324">
        <v>14104839</v>
      </c>
      <c r="D324" t="s">
        <v>224</v>
      </c>
      <c r="E324" s="134">
        <v>355.58</v>
      </c>
      <c r="F324" t="s">
        <v>2816</v>
      </c>
    </row>
    <row r="325" spans="1:6" x14ac:dyDescent="0.2">
      <c r="A325" t="s">
        <v>2814</v>
      </c>
      <c r="B325" t="s">
        <v>2815</v>
      </c>
      <c r="C325">
        <v>14108775</v>
      </c>
      <c r="D325" t="s">
        <v>178</v>
      </c>
      <c r="E325" s="134">
        <v>355.58</v>
      </c>
      <c r="F325" t="s">
        <v>2816</v>
      </c>
    </row>
    <row r="326" spans="1:6" x14ac:dyDescent="0.2">
      <c r="A326" t="s">
        <v>2814</v>
      </c>
      <c r="B326" t="s">
        <v>2815</v>
      </c>
      <c r="C326">
        <v>14108828</v>
      </c>
      <c r="D326" t="s">
        <v>225</v>
      </c>
      <c r="E326" s="134">
        <v>355.58</v>
      </c>
      <c r="F326" t="s">
        <v>2816</v>
      </c>
    </row>
    <row r="327" spans="1:6" x14ac:dyDescent="0.2">
      <c r="A327" t="s">
        <v>2814</v>
      </c>
      <c r="B327" t="s">
        <v>2815</v>
      </c>
      <c r="C327">
        <v>14109648</v>
      </c>
      <c r="D327" t="s">
        <v>211</v>
      </c>
      <c r="E327" s="134">
        <v>355.58</v>
      </c>
      <c r="F327" t="s">
        <v>2816</v>
      </c>
    </row>
    <row r="328" spans="1:6" x14ac:dyDescent="0.2">
      <c r="A328" t="s">
        <v>2814</v>
      </c>
      <c r="B328" t="s">
        <v>2815</v>
      </c>
      <c r="C328">
        <v>14112124</v>
      </c>
      <c r="D328" t="s">
        <v>250</v>
      </c>
      <c r="E328" s="134">
        <v>355.58</v>
      </c>
      <c r="F328" t="s">
        <v>2816</v>
      </c>
    </row>
    <row r="329" spans="1:6" x14ac:dyDescent="0.2">
      <c r="A329" t="s">
        <v>2814</v>
      </c>
      <c r="B329" t="s">
        <v>2815</v>
      </c>
      <c r="C329">
        <v>14112730</v>
      </c>
      <c r="D329" t="s">
        <v>280</v>
      </c>
      <c r="E329" s="134">
        <v>355.58</v>
      </c>
      <c r="F329" t="s">
        <v>2816</v>
      </c>
    </row>
    <row r="330" spans="1:6" x14ac:dyDescent="0.2">
      <c r="A330" t="s">
        <v>2814</v>
      </c>
      <c r="B330" t="s">
        <v>2815</v>
      </c>
      <c r="C330">
        <v>14113056</v>
      </c>
      <c r="D330" t="s">
        <v>234</v>
      </c>
      <c r="E330" s="134">
        <v>355.58</v>
      </c>
      <c r="F330" t="s">
        <v>2816</v>
      </c>
    </row>
    <row r="331" spans="1:6" x14ac:dyDescent="0.2">
      <c r="A331" t="s">
        <v>2814</v>
      </c>
      <c r="B331" t="s">
        <v>2815</v>
      </c>
      <c r="C331">
        <v>14117156</v>
      </c>
      <c r="D331" t="s">
        <v>239</v>
      </c>
      <c r="E331" s="134">
        <v>355.58</v>
      </c>
      <c r="F331" t="s">
        <v>2816</v>
      </c>
    </row>
    <row r="332" spans="1:6" x14ac:dyDescent="0.2">
      <c r="A332" t="s">
        <v>2814</v>
      </c>
      <c r="B332" t="s">
        <v>2815</v>
      </c>
      <c r="C332">
        <v>14117157</v>
      </c>
      <c r="D332" t="s">
        <v>244</v>
      </c>
      <c r="E332" s="134">
        <v>355.58</v>
      </c>
      <c r="F332" t="s">
        <v>2816</v>
      </c>
    </row>
    <row r="333" spans="1:6" x14ac:dyDescent="0.2">
      <c r="A333" t="s">
        <v>2814</v>
      </c>
      <c r="B333" t="s">
        <v>2815</v>
      </c>
      <c r="C333">
        <v>14117509</v>
      </c>
      <c r="D333" t="s">
        <v>235</v>
      </c>
      <c r="E333" s="134">
        <v>355.58</v>
      </c>
      <c r="F333" t="s">
        <v>2816</v>
      </c>
    </row>
    <row r="334" spans="1:6" x14ac:dyDescent="0.2">
      <c r="A334" t="s">
        <v>2814</v>
      </c>
      <c r="B334" t="s">
        <v>2815</v>
      </c>
      <c r="C334">
        <v>14118028</v>
      </c>
      <c r="D334" t="s">
        <v>185</v>
      </c>
      <c r="E334" s="134">
        <v>355.58</v>
      </c>
      <c r="F334" t="s">
        <v>2816</v>
      </c>
    </row>
    <row r="335" spans="1:6" x14ac:dyDescent="0.2">
      <c r="A335" t="s">
        <v>2814</v>
      </c>
      <c r="B335" t="s">
        <v>2815</v>
      </c>
      <c r="C335">
        <v>14118184</v>
      </c>
      <c r="D335" t="s">
        <v>237</v>
      </c>
      <c r="E335" s="134">
        <v>355.58</v>
      </c>
      <c r="F335" t="s">
        <v>2816</v>
      </c>
    </row>
    <row r="336" spans="1:6" x14ac:dyDescent="0.2">
      <c r="A336" t="s">
        <v>2814</v>
      </c>
      <c r="B336" t="s">
        <v>2815</v>
      </c>
      <c r="C336">
        <v>14118621</v>
      </c>
      <c r="D336" t="s">
        <v>202</v>
      </c>
      <c r="E336" s="134">
        <v>355.58</v>
      </c>
      <c r="F336" t="s">
        <v>2816</v>
      </c>
    </row>
    <row r="337" spans="1:6" x14ac:dyDescent="0.2">
      <c r="A337" t="s">
        <v>2814</v>
      </c>
      <c r="B337" t="s">
        <v>2815</v>
      </c>
      <c r="C337">
        <v>14118627</v>
      </c>
      <c r="D337" t="s">
        <v>204</v>
      </c>
      <c r="E337" s="134">
        <v>355.58</v>
      </c>
      <c r="F337" t="s">
        <v>2816</v>
      </c>
    </row>
    <row r="338" spans="1:6" x14ac:dyDescent="0.2">
      <c r="A338" t="s">
        <v>2814</v>
      </c>
      <c r="B338" t="s">
        <v>2815</v>
      </c>
      <c r="C338">
        <v>14118660</v>
      </c>
      <c r="D338" t="s">
        <v>206</v>
      </c>
      <c r="E338" s="134">
        <v>355.58</v>
      </c>
      <c r="F338" t="s">
        <v>2816</v>
      </c>
    </row>
    <row r="339" spans="1:6" x14ac:dyDescent="0.2">
      <c r="A339" t="s">
        <v>2814</v>
      </c>
      <c r="B339" t="s">
        <v>2815</v>
      </c>
      <c r="C339">
        <v>14118663</v>
      </c>
      <c r="D339" t="s">
        <v>207</v>
      </c>
      <c r="E339" s="134">
        <v>355.58</v>
      </c>
      <c r="F339" t="s">
        <v>2816</v>
      </c>
    </row>
    <row r="340" spans="1:6" x14ac:dyDescent="0.2">
      <c r="A340" t="s">
        <v>2814</v>
      </c>
      <c r="B340" t="s">
        <v>2815</v>
      </c>
      <c r="C340">
        <v>14118745</v>
      </c>
      <c r="D340" t="s">
        <v>209</v>
      </c>
      <c r="E340" s="134">
        <v>355.58</v>
      </c>
      <c r="F340" t="s">
        <v>2816</v>
      </c>
    </row>
    <row r="341" spans="1:6" x14ac:dyDescent="0.2">
      <c r="A341" t="s">
        <v>2814</v>
      </c>
      <c r="B341" t="s">
        <v>2815</v>
      </c>
      <c r="C341">
        <v>14118809</v>
      </c>
      <c r="D341" t="s">
        <v>213</v>
      </c>
      <c r="E341" s="134">
        <v>355.58</v>
      </c>
      <c r="F341" t="s">
        <v>2816</v>
      </c>
    </row>
    <row r="342" spans="1:6" x14ac:dyDescent="0.2">
      <c r="A342" t="s">
        <v>2814</v>
      </c>
      <c r="B342" t="s">
        <v>2815</v>
      </c>
      <c r="C342">
        <v>14118849</v>
      </c>
      <c r="D342" t="s">
        <v>216</v>
      </c>
      <c r="E342" s="134">
        <v>355.58</v>
      </c>
      <c r="F342" t="s">
        <v>2816</v>
      </c>
    </row>
    <row r="343" spans="1:6" x14ac:dyDescent="0.2">
      <c r="A343" t="s">
        <v>2814</v>
      </c>
      <c r="B343" t="s">
        <v>2815</v>
      </c>
      <c r="C343">
        <v>14118889</v>
      </c>
      <c r="D343" t="s">
        <v>218</v>
      </c>
      <c r="E343" s="134">
        <v>355.58</v>
      </c>
      <c r="F343" t="s">
        <v>2816</v>
      </c>
    </row>
    <row r="344" spans="1:6" x14ac:dyDescent="0.2">
      <c r="A344" t="s">
        <v>2814</v>
      </c>
      <c r="B344" t="s">
        <v>2815</v>
      </c>
      <c r="C344">
        <v>14118892</v>
      </c>
      <c r="D344" t="s">
        <v>219</v>
      </c>
      <c r="E344" s="134">
        <v>355.58</v>
      </c>
      <c r="F344" t="s">
        <v>2816</v>
      </c>
    </row>
    <row r="345" spans="1:6" x14ac:dyDescent="0.2">
      <c r="A345" t="s">
        <v>2814</v>
      </c>
      <c r="B345" t="s">
        <v>2815</v>
      </c>
      <c r="C345">
        <v>14118956</v>
      </c>
      <c r="D345" t="s">
        <v>222</v>
      </c>
      <c r="E345" s="134">
        <v>355.58</v>
      </c>
      <c r="F345" t="s">
        <v>2816</v>
      </c>
    </row>
    <row r="346" spans="1:6" x14ac:dyDescent="0.2">
      <c r="A346" t="s">
        <v>2814</v>
      </c>
      <c r="B346" t="s">
        <v>2815</v>
      </c>
      <c r="C346">
        <v>14118957</v>
      </c>
      <c r="D346" t="s">
        <v>223</v>
      </c>
      <c r="E346" s="134">
        <v>355.58</v>
      </c>
      <c r="F346" t="s">
        <v>2816</v>
      </c>
    </row>
    <row r="347" spans="1:6" x14ac:dyDescent="0.2">
      <c r="A347" t="s">
        <v>2814</v>
      </c>
      <c r="B347" t="s">
        <v>2815</v>
      </c>
      <c r="C347">
        <v>14119017</v>
      </c>
      <c r="D347" t="s">
        <v>227</v>
      </c>
      <c r="E347" s="134">
        <v>355.58</v>
      </c>
      <c r="F347" t="s">
        <v>2816</v>
      </c>
    </row>
    <row r="348" spans="1:6" x14ac:dyDescent="0.2">
      <c r="A348" t="s">
        <v>2814</v>
      </c>
      <c r="B348" t="s">
        <v>2815</v>
      </c>
      <c r="C348">
        <v>14119018</v>
      </c>
      <c r="D348" t="s">
        <v>228</v>
      </c>
      <c r="E348" s="134">
        <v>355.58</v>
      </c>
      <c r="F348" t="s">
        <v>2816</v>
      </c>
    </row>
    <row r="349" spans="1:6" x14ac:dyDescent="0.2">
      <c r="A349" t="s">
        <v>2814</v>
      </c>
      <c r="B349" t="s">
        <v>2815</v>
      </c>
      <c r="C349">
        <v>14119076</v>
      </c>
      <c r="D349" t="s">
        <v>230</v>
      </c>
      <c r="E349" s="134">
        <v>355.58</v>
      </c>
      <c r="F349" t="s">
        <v>2816</v>
      </c>
    </row>
    <row r="350" spans="1:6" x14ac:dyDescent="0.2">
      <c r="A350" t="s">
        <v>2814</v>
      </c>
      <c r="B350" t="s">
        <v>2815</v>
      </c>
      <c r="C350">
        <v>14119153</v>
      </c>
      <c r="D350" t="s">
        <v>231</v>
      </c>
      <c r="E350" s="134">
        <v>355.58</v>
      </c>
      <c r="F350" t="s">
        <v>2816</v>
      </c>
    </row>
    <row r="351" spans="1:6" x14ac:dyDescent="0.2">
      <c r="A351" t="s">
        <v>2814</v>
      </c>
      <c r="B351" t="s">
        <v>2815</v>
      </c>
      <c r="C351">
        <v>14119154</v>
      </c>
      <c r="D351" t="s">
        <v>232</v>
      </c>
      <c r="E351" s="134">
        <v>355.58</v>
      </c>
      <c r="F351" t="s">
        <v>2816</v>
      </c>
    </row>
    <row r="352" spans="1:6" x14ac:dyDescent="0.2">
      <c r="A352" t="s">
        <v>2814</v>
      </c>
      <c r="B352" t="s">
        <v>2815</v>
      </c>
      <c r="C352">
        <v>14119155</v>
      </c>
      <c r="D352" t="s">
        <v>233</v>
      </c>
      <c r="E352" s="134">
        <v>355.58</v>
      </c>
      <c r="F352" t="s">
        <v>2816</v>
      </c>
    </row>
    <row r="353" spans="1:6" x14ac:dyDescent="0.2">
      <c r="A353" t="s">
        <v>2814</v>
      </c>
      <c r="B353" t="s">
        <v>2815</v>
      </c>
      <c r="C353">
        <v>14119271</v>
      </c>
      <c r="D353" t="s">
        <v>238</v>
      </c>
      <c r="E353" s="134">
        <v>355.58</v>
      </c>
      <c r="F353" t="s">
        <v>2816</v>
      </c>
    </row>
    <row r="354" spans="1:6" x14ac:dyDescent="0.2">
      <c r="A354" t="s">
        <v>2814</v>
      </c>
      <c r="B354" t="s">
        <v>2815</v>
      </c>
      <c r="C354">
        <v>14119357</v>
      </c>
      <c r="D354" t="s">
        <v>243</v>
      </c>
      <c r="E354" s="134">
        <v>355.58</v>
      </c>
      <c r="F354" t="s">
        <v>2816</v>
      </c>
    </row>
    <row r="355" spans="1:6" x14ac:dyDescent="0.2">
      <c r="A355" t="s">
        <v>2814</v>
      </c>
      <c r="B355" t="s">
        <v>2815</v>
      </c>
      <c r="C355">
        <v>14119437</v>
      </c>
      <c r="D355" t="s">
        <v>245</v>
      </c>
      <c r="E355" s="134">
        <v>355.58</v>
      </c>
      <c r="F355" t="s">
        <v>2816</v>
      </c>
    </row>
    <row r="356" spans="1:6" x14ac:dyDescent="0.2">
      <c r="A356" t="s">
        <v>2814</v>
      </c>
      <c r="B356" t="s">
        <v>2815</v>
      </c>
      <c r="C356">
        <v>14119481</v>
      </c>
      <c r="D356" t="s">
        <v>246</v>
      </c>
      <c r="E356" s="134">
        <v>355.58</v>
      </c>
      <c r="F356" t="s">
        <v>2816</v>
      </c>
    </row>
    <row r="357" spans="1:6" x14ac:dyDescent="0.2">
      <c r="A357" t="s">
        <v>2814</v>
      </c>
      <c r="B357" t="s">
        <v>2815</v>
      </c>
      <c r="C357">
        <v>14119482</v>
      </c>
      <c r="D357" t="s">
        <v>247</v>
      </c>
      <c r="E357" s="134">
        <v>355.58</v>
      </c>
      <c r="F357" t="s">
        <v>2816</v>
      </c>
    </row>
    <row r="358" spans="1:6" x14ac:dyDescent="0.2">
      <c r="A358" t="s">
        <v>2814</v>
      </c>
      <c r="B358" t="s">
        <v>2815</v>
      </c>
      <c r="C358">
        <v>14119483</v>
      </c>
      <c r="D358" t="s">
        <v>248</v>
      </c>
      <c r="E358" s="134">
        <v>355.58</v>
      </c>
      <c r="F358" t="s">
        <v>2816</v>
      </c>
    </row>
    <row r="359" spans="1:6" x14ac:dyDescent="0.2">
      <c r="A359" t="s">
        <v>2814</v>
      </c>
      <c r="B359" t="s">
        <v>2815</v>
      </c>
      <c r="C359">
        <v>14119539</v>
      </c>
      <c r="D359" t="s">
        <v>252</v>
      </c>
      <c r="E359" s="134">
        <v>355.58</v>
      </c>
      <c r="F359" t="s">
        <v>2816</v>
      </c>
    </row>
    <row r="360" spans="1:6" x14ac:dyDescent="0.2">
      <c r="A360" t="s">
        <v>2814</v>
      </c>
      <c r="B360" t="s">
        <v>2815</v>
      </c>
      <c r="C360">
        <v>14119540</v>
      </c>
      <c r="D360" t="s">
        <v>253</v>
      </c>
      <c r="E360" s="134">
        <v>355.58</v>
      </c>
      <c r="F360" t="s">
        <v>2816</v>
      </c>
    </row>
    <row r="361" spans="1:6" x14ac:dyDescent="0.2">
      <c r="A361" t="s">
        <v>2814</v>
      </c>
      <c r="B361" t="s">
        <v>2815</v>
      </c>
      <c r="C361">
        <v>14119598</v>
      </c>
      <c r="D361" t="s">
        <v>254</v>
      </c>
      <c r="E361" s="134">
        <v>355.58</v>
      </c>
      <c r="F361" t="s">
        <v>2816</v>
      </c>
    </row>
    <row r="362" spans="1:6" x14ac:dyDescent="0.2">
      <c r="A362" t="s">
        <v>2814</v>
      </c>
      <c r="B362" t="s">
        <v>2815</v>
      </c>
      <c r="C362">
        <v>14119701</v>
      </c>
      <c r="D362" t="s">
        <v>256</v>
      </c>
      <c r="E362" s="134">
        <v>355.58</v>
      </c>
      <c r="F362" t="s">
        <v>2816</v>
      </c>
    </row>
    <row r="363" spans="1:6" x14ac:dyDescent="0.2">
      <c r="A363" t="s">
        <v>2814</v>
      </c>
      <c r="B363" t="s">
        <v>2815</v>
      </c>
      <c r="C363">
        <v>14119751</v>
      </c>
      <c r="D363" t="s">
        <v>257</v>
      </c>
      <c r="E363" s="134">
        <v>355.58</v>
      </c>
      <c r="F363" t="s">
        <v>2816</v>
      </c>
    </row>
    <row r="364" spans="1:6" x14ac:dyDescent="0.2">
      <c r="A364" t="s">
        <v>2814</v>
      </c>
      <c r="B364" t="s">
        <v>2815</v>
      </c>
      <c r="C364">
        <v>14119785</v>
      </c>
      <c r="D364" t="s">
        <v>258</v>
      </c>
      <c r="E364" s="134">
        <v>355.58</v>
      </c>
      <c r="F364" t="s">
        <v>2816</v>
      </c>
    </row>
    <row r="365" spans="1:6" x14ac:dyDescent="0.2">
      <c r="A365" t="s">
        <v>2814</v>
      </c>
      <c r="B365" t="s">
        <v>2815</v>
      </c>
      <c r="C365">
        <v>14119837</v>
      </c>
      <c r="D365" t="s">
        <v>264</v>
      </c>
      <c r="E365" s="134">
        <v>355.58</v>
      </c>
      <c r="F365" t="s">
        <v>2816</v>
      </c>
    </row>
    <row r="366" spans="1:6" x14ac:dyDescent="0.2">
      <c r="A366" t="s">
        <v>2814</v>
      </c>
      <c r="B366" t="s">
        <v>2815</v>
      </c>
      <c r="C366">
        <v>14119839</v>
      </c>
      <c r="D366" t="s">
        <v>265</v>
      </c>
      <c r="E366" s="134">
        <v>355.58</v>
      </c>
      <c r="F366" t="s">
        <v>2816</v>
      </c>
    </row>
    <row r="367" spans="1:6" x14ac:dyDescent="0.2">
      <c r="A367" t="s">
        <v>2814</v>
      </c>
      <c r="B367" t="s">
        <v>2815</v>
      </c>
      <c r="C367">
        <v>14119890</v>
      </c>
      <c r="D367" t="s">
        <v>266</v>
      </c>
      <c r="E367" s="134">
        <v>355.58</v>
      </c>
      <c r="F367" t="s">
        <v>2816</v>
      </c>
    </row>
    <row r="368" spans="1:6" x14ac:dyDescent="0.2">
      <c r="A368" t="s">
        <v>2814</v>
      </c>
      <c r="B368" t="s">
        <v>2815</v>
      </c>
      <c r="C368">
        <v>14119956</v>
      </c>
      <c r="D368" t="s">
        <v>269</v>
      </c>
      <c r="E368" s="134">
        <v>355.58</v>
      </c>
      <c r="F368" t="s">
        <v>2816</v>
      </c>
    </row>
    <row r="369" spans="1:6" x14ac:dyDescent="0.2">
      <c r="A369" t="s">
        <v>2814</v>
      </c>
      <c r="B369" t="s">
        <v>2815</v>
      </c>
      <c r="C369">
        <v>14120044</v>
      </c>
      <c r="D369" t="s">
        <v>273</v>
      </c>
      <c r="E369" s="134">
        <v>355.58</v>
      </c>
      <c r="F369" t="s">
        <v>2816</v>
      </c>
    </row>
    <row r="370" spans="1:6" x14ac:dyDescent="0.2">
      <c r="A370" t="s">
        <v>2814</v>
      </c>
      <c r="B370" t="s">
        <v>2815</v>
      </c>
      <c r="C370">
        <v>14120106</v>
      </c>
      <c r="D370" t="s">
        <v>277</v>
      </c>
      <c r="E370" s="134">
        <v>355.58</v>
      </c>
      <c r="F370" t="s">
        <v>2816</v>
      </c>
    </row>
    <row r="371" spans="1:6" x14ac:dyDescent="0.2">
      <c r="A371" t="s">
        <v>2814</v>
      </c>
      <c r="B371" t="s">
        <v>2815</v>
      </c>
      <c r="C371">
        <v>14120196</v>
      </c>
      <c r="D371" t="s">
        <v>279</v>
      </c>
      <c r="E371" s="134">
        <v>355.58</v>
      </c>
      <c r="F371" t="s">
        <v>2816</v>
      </c>
    </row>
    <row r="372" spans="1:6" x14ac:dyDescent="0.2">
      <c r="A372" t="s">
        <v>2814</v>
      </c>
      <c r="B372" t="s">
        <v>2815</v>
      </c>
      <c r="C372">
        <v>14120270</v>
      </c>
      <c r="D372" t="s">
        <v>281</v>
      </c>
      <c r="E372" s="134">
        <v>355.58</v>
      </c>
      <c r="F372" t="s">
        <v>2816</v>
      </c>
    </row>
    <row r="373" spans="1:6" x14ac:dyDescent="0.2">
      <c r="A373" t="s">
        <v>2814</v>
      </c>
      <c r="B373" t="s">
        <v>2815</v>
      </c>
      <c r="C373">
        <v>14120349</v>
      </c>
      <c r="D373" t="s">
        <v>284</v>
      </c>
      <c r="E373" s="134">
        <v>355.58</v>
      </c>
      <c r="F373" t="s">
        <v>2816</v>
      </c>
    </row>
    <row r="374" spans="1:6" x14ac:dyDescent="0.2">
      <c r="A374" t="s">
        <v>2814</v>
      </c>
      <c r="B374" t="s">
        <v>2815</v>
      </c>
      <c r="C374">
        <v>14120415</v>
      </c>
      <c r="D374" t="s">
        <v>286</v>
      </c>
      <c r="E374" s="134">
        <v>355.58</v>
      </c>
      <c r="F374" t="s">
        <v>2816</v>
      </c>
    </row>
    <row r="375" spans="1:6" x14ac:dyDescent="0.2">
      <c r="A375" t="s">
        <v>2814</v>
      </c>
      <c r="B375" t="s">
        <v>2815</v>
      </c>
      <c r="C375">
        <v>14101142</v>
      </c>
      <c r="D375" t="s">
        <v>906</v>
      </c>
      <c r="E375" s="134">
        <v>355.58</v>
      </c>
      <c r="F375" t="s">
        <v>2816</v>
      </c>
    </row>
    <row r="376" spans="1:6" x14ac:dyDescent="0.2">
      <c r="A376" t="s">
        <v>2814</v>
      </c>
      <c r="B376" t="s">
        <v>2815</v>
      </c>
      <c r="C376">
        <v>14101145</v>
      </c>
      <c r="D376" t="s">
        <v>908</v>
      </c>
      <c r="E376" s="134">
        <v>355.58</v>
      </c>
      <c r="F376" t="s">
        <v>2816</v>
      </c>
    </row>
    <row r="377" spans="1:6" x14ac:dyDescent="0.2">
      <c r="A377" t="s">
        <v>2814</v>
      </c>
      <c r="B377" t="s">
        <v>2815</v>
      </c>
      <c r="C377">
        <v>14103700</v>
      </c>
      <c r="D377" t="s">
        <v>910</v>
      </c>
      <c r="E377" s="134">
        <v>355.58</v>
      </c>
      <c r="F377" t="s">
        <v>2816</v>
      </c>
    </row>
    <row r="378" spans="1:6" x14ac:dyDescent="0.2">
      <c r="A378" t="s">
        <v>2814</v>
      </c>
      <c r="B378" t="s">
        <v>2815</v>
      </c>
      <c r="C378">
        <v>14109275</v>
      </c>
      <c r="D378" t="s">
        <v>912</v>
      </c>
      <c r="E378" s="134">
        <v>355.58</v>
      </c>
      <c r="F378" t="s">
        <v>2816</v>
      </c>
    </row>
    <row r="379" spans="1:6" x14ac:dyDescent="0.2">
      <c r="A379" t="s">
        <v>2814</v>
      </c>
      <c r="B379" t="s">
        <v>2815</v>
      </c>
      <c r="C379">
        <v>14109276</v>
      </c>
      <c r="D379" t="s">
        <v>914</v>
      </c>
      <c r="E379" s="134">
        <v>355.58</v>
      </c>
      <c r="F379" t="s">
        <v>2816</v>
      </c>
    </row>
    <row r="380" spans="1:6" x14ac:dyDescent="0.2">
      <c r="A380" t="s">
        <v>2814</v>
      </c>
      <c r="B380" t="s">
        <v>2815</v>
      </c>
      <c r="C380">
        <v>14100714</v>
      </c>
      <c r="D380" t="s">
        <v>6</v>
      </c>
      <c r="E380" s="134">
        <v>355.58</v>
      </c>
      <c r="F380" t="s">
        <v>2816</v>
      </c>
    </row>
    <row r="381" spans="1:6" x14ac:dyDescent="0.2">
      <c r="A381" t="s">
        <v>2814</v>
      </c>
      <c r="B381" t="s">
        <v>2815</v>
      </c>
      <c r="C381">
        <v>14100724</v>
      </c>
      <c r="D381" t="s">
        <v>10</v>
      </c>
      <c r="E381" s="134">
        <v>355.58</v>
      </c>
      <c r="F381" t="s">
        <v>2816</v>
      </c>
    </row>
    <row r="382" spans="1:6" x14ac:dyDescent="0.2">
      <c r="A382" t="s">
        <v>2814</v>
      </c>
      <c r="B382" t="s">
        <v>2815</v>
      </c>
      <c r="C382">
        <v>14100725</v>
      </c>
      <c r="D382" t="s">
        <v>11</v>
      </c>
      <c r="E382" s="134">
        <v>355.58</v>
      </c>
      <c r="F382" t="s">
        <v>2816</v>
      </c>
    </row>
    <row r="383" spans="1:6" x14ac:dyDescent="0.2">
      <c r="A383" t="s">
        <v>2814</v>
      </c>
      <c r="B383" t="s">
        <v>2815</v>
      </c>
      <c r="C383">
        <v>14100726</v>
      </c>
      <c r="D383" t="s">
        <v>12</v>
      </c>
      <c r="E383" s="134">
        <v>355.58</v>
      </c>
      <c r="F383" t="s">
        <v>2816</v>
      </c>
    </row>
    <row r="384" spans="1:6" x14ac:dyDescent="0.2">
      <c r="A384" t="s">
        <v>2814</v>
      </c>
      <c r="B384" t="s">
        <v>2815</v>
      </c>
      <c r="C384">
        <v>14100727</v>
      </c>
      <c r="D384" t="s">
        <v>13</v>
      </c>
      <c r="E384" s="134">
        <v>355.58</v>
      </c>
      <c r="F384" t="s">
        <v>2816</v>
      </c>
    </row>
    <row r="385" spans="1:6" x14ac:dyDescent="0.2">
      <c r="A385" t="s">
        <v>2814</v>
      </c>
      <c r="B385" t="s">
        <v>2815</v>
      </c>
      <c r="C385">
        <v>14100729</v>
      </c>
      <c r="D385" t="s">
        <v>14</v>
      </c>
      <c r="E385" s="134">
        <v>355.58</v>
      </c>
      <c r="F385" t="s">
        <v>2816</v>
      </c>
    </row>
    <row r="386" spans="1:6" x14ac:dyDescent="0.2">
      <c r="A386" t="s">
        <v>2814</v>
      </c>
      <c r="B386" t="s">
        <v>2815</v>
      </c>
      <c r="C386">
        <v>14100731</v>
      </c>
      <c r="D386" t="s">
        <v>15</v>
      </c>
      <c r="E386" s="134">
        <v>355.58</v>
      </c>
      <c r="F386" t="s">
        <v>2816</v>
      </c>
    </row>
    <row r="387" spans="1:6" x14ac:dyDescent="0.2">
      <c r="A387" t="s">
        <v>2814</v>
      </c>
      <c r="B387" t="s">
        <v>2815</v>
      </c>
      <c r="C387">
        <v>14100732</v>
      </c>
      <c r="D387" t="s">
        <v>16</v>
      </c>
      <c r="E387" s="134">
        <v>355.58</v>
      </c>
      <c r="F387" t="s">
        <v>2816</v>
      </c>
    </row>
    <row r="388" spans="1:6" x14ac:dyDescent="0.2">
      <c r="A388" t="s">
        <v>2814</v>
      </c>
      <c r="B388" t="s">
        <v>2815</v>
      </c>
      <c r="C388">
        <v>14100733</v>
      </c>
      <c r="D388" t="s">
        <v>17</v>
      </c>
      <c r="E388" s="134">
        <v>355.58</v>
      </c>
      <c r="F388" t="s">
        <v>2816</v>
      </c>
    </row>
    <row r="389" spans="1:6" x14ac:dyDescent="0.2">
      <c r="A389" t="s">
        <v>2814</v>
      </c>
      <c r="B389" t="s">
        <v>2815</v>
      </c>
      <c r="C389">
        <v>14100740</v>
      </c>
      <c r="D389" t="s">
        <v>18</v>
      </c>
      <c r="E389" s="134">
        <v>355.58</v>
      </c>
      <c r="F389" t="s">
        <v>2816</v>
      </c>
    </row>
    <row r="390" spans="1:6" x14ac:dyDescent="0.2">
      <c r="A390" t="s">
        <v>2814</v>
      </c>
      <c r="B390" t="s">
        <v>2815</v>
      </c>
      <c r="C390">
        <v>14100787</v>
      </c>
      <c r="D390" t="s">
        <v>20</v>
      </c>
      <c r="E390" s="134">
        <v>355.58</v>
      </c>
      <c r="F390" t="s">
        <v>2816</v>
      </c>
    </row>
    <row r="391" spans="1:6" x14ac:dyDescent="0.2">
      <c r="A391" t="s">
        <v>2814</v>
      </c>
      <c r="B391" t="s">
        <v>2815</v>
      </c>
      <c r="C391">
        <v>14100798</v>
      </c>
      <c r="D391" t="s">
        <v>22</v>
      </c>
      <c r="E391" s="134">
        <v>355.58</v>
      </c>
      <c r="F391" t="s">
        <v>2816</v>
      </c>
    </row>
    <row r="392" spans="1:6" x14ac:dyDescent="0.2">
      <c r="A392" t="s">
        <v>2814</v>
      </c>
      <c r="B392" t="s">
        <v>2815</v>
      </c>
      <c r="C392">
        <v>14100807</v>
      </c>
      <c r="D392" t="s">
        <v>23</v>
      </c>
      <c r="E392" s="134">
        <v>355.58</v>
      </c>
      <c r="F392" t="s">
        <v>2816</v>
      </c>
    </row>
    <row r="393" spans="1:6" x14ac:dyDescent="0.2">
      <c r="A393" t="s">
        <v>2814</v>
      </c>
      <c r="B393" t="s">
        <v>2815</v>
      </c>
      <c r="C393">
        <v>14100823</v>
      </c>
      <c r="D393" t="s">
        <v>274</v>
      </c>
      <c r="E393" s="134">
        <v>355.58</v>
      </c>
      <c r="F393" t="s">
        <v>2816</v>
      </c>
    </row>
    <row r="394" spans="1:6" x14ac:dyDescent="0.2">
      <c r="A394" t="s">
        <v>2814</v>
      </c>
      <c r="B394" t="s">
        <v>2815</v>
      </c>
      <c r="C394">
        <v>14100863</v>
      </c>
      <c r="D394" t="s">
        <v>25</v>
      </c>
      <c r="E394" s="134">
        <v>711.16</v>
      </c>
      <c r="F394" t="s">
        <v>2816</v>
      </c>
    </row>
    <row r="395" spans="1:6" x14ac:dyDescent="0.2">
      <c r="A395" t="s">
        <v>2814</v>
      </c>
      <c r="B395" t="s">
        <v>2815</v>
      </c>
      <c r="C395">
        <v>14100902</v>
      </c>
      <c r="D395" t="s">
        <v>347</v>
      </c>
      <c r="E395" s="134">
        <v>355.58</v>
      </c>
      <c r="F395" t="s">
        <v>2816</v>
      </c>
    </row>
    <row r="396" spans="1:6" x14ac:dyDescent="0.2">
      <c r="A396" t="s">
        <v>2814</v>
      </c>
      <c r="B396" t="s">
        <v>2815</v>
      </c>
      <c r="C396">
        <v>14101881</v>
      </c>
      <c r="D396" t="s">
        <v>26</v>
      </c>
      <c r="E396" s="134">
        <v>355.58</v>
      </c>
      <c r="F396" t="s">
        <v>2816</v>
      </c>
    </row>
    <row r="397" spans="1:6" x14ac:dyDescent="0.2">
      <c r="A397" t="s">
        <v>2814</v>
      </c>
      <c r="B397" t="s">
        <v>2815</v>
      </c>
      <c r="C397">
        <v>14101984</v>
      </c>
      <c r="D397" t="s">
        <v>27</v>
      </c>
      <c r="E397" s="134">
        <v>355.58</v>
      </c>
      <c r="F397" t="s">
        <v>2816</v>
      </c>
    </row>
    <row r="398" spans="1:6" x14ac:dyDescent="0.2">
      <c r="A398" t="s">
        <v>2814</v>
      </c>
      <c r="B398" t="s">
        <v>2815</v>
      </c>
      <c r="C398">
        <v>14102288</v>
      </c>
      <c r="D398" t="s">
        <v>29</v>
      </c>
      <c r="E398" s="134">
        <v>355.58</v>
      </c>
      <c r="F398" t="s">
        <v>2816</v>
      </c>
    </row>
    <row r="399" spans="1:6" x14ac:dyDescent="0.2">
      <c r="A399" t="s">
        <v>2814</v>
      </c>
      <c r="B399" t="s">
        <v>2815</v>
      </c>
      <c r="C399">
        <v>14102701</v>
      </c>
      <c r="D399" t="s">
        <v>30</v>
      </c>
      <c r="E399" s="134">
        <v>355.58</v>
      </c>
      <c r="F399" t="s">
        <v>2816</v>
      </c>
    </row>
    <row r="400" spans="1:6" x14ac:dyDescent="0.2">
      <c r="A400" t="s">
        <v>2814</v>
      </c>
      <c r="B400" t="s">
        <v>2815</v>
      </c>
      <c r="C400">
        <v>14102730</v>
      </c>
      <c r="D400" t="s">
        <v>31</v>
      </c>
      <c r="E400" s="134">
        <v>355.58</v>
      </c>
      <c r="F400" t="s">
        <v>2816</v>
      </c>
    </row>
    <row r="401" spans="1:6" x14ac:dyDescent="0.2">
      <c r="A401" t="s">
        <v>2814</v>
      </c>
      <c r="B401" t="s">
        <v>2815</v>
      </c>
      <c r="C401">
        <v>14102875</v>
      </c>
      <c r="D401" t="s">
        <v>32</v>
      </c>
      <c r="E401" s="134">
        <v>355.58</v>
      </c>
      <c r="F401" t="s">
        <v>2816</v>
      </c>
    </row>
    <row r="402" spans="1:6" x14ac:dyDescent="0.2">
      <c r="A402" t="s">
        <v>2814</v>
      </c>
      <c r="B402" t="s">
        <v>2815</v>
      </c>
      <c r="C402">
        <v>14102890</v>
      </c>
      <c r="D402" t="s">
        <v>33</v>
      </c>
      <c r="E402" s="134">
        <v>355.58</v>
      </c>
      <c r="F402" t="s">
        <v>2816</v>
      </c>
    </row>
    <row r="403" spans="1:6" x14ac:dyDescent="0.2">
      <c r="A403" t="s">
        <v>2814</v>
      </c>
      <c r="B403" t="s">
        <v>2815</v>
      </c>
      <c r="C403">
        <v>14103061</v>
      </c>
      <c r="D403" t="s">
        <v>392</v>
      </c>
      <c r="E403" s="134">
        <v>355.58</v>
      </c>
      <c r="F403" t="s">
        <v>2816</v>
      </c>
    </row>
    <row r="404" spans="1:6" x14ac:dyDescent="0.2">
      <c r="A404" t="s">
        <v>2814</v>
      </c>
      <c r="B404" t="s">
        <v>2815</v>
      </c>
      <c r="C404">
        <v>14103106</v>
      </c>
      <c r="D404" t="s">
        <v>34</v>
      </c>
      <c r="E404" s="134">
        <v>355.58</v>
      </c>
      <c r="F404" t="s">
        <v>2816</v>
      </c>
    </row>
    <row r="405" spans="1:6" x14ac:dyDescent="0.2">
      <c r="A405" t="s">
        <v>2814</v>
      </c>
      <c r="B405" t="s">
        <v>2815</v>
      </c>
      <c r="C405">
        <v>14103183</v>
      </c>
      <c r="D405" t="s">
        <v>35</v>
      </c>
      <c r="E405" s="134">
        <v>355.58</v>
      </c>
      <c r="F405" t="s">
        <v>2816</v>
      </c>
    </row>
    <row r="406" spans="1:6" x14ac:dyDescent="0.2">
      <c r="A406" t="s">
        <v>2814</v>
      </c>
      <c r="B406" t="s">
        <v>2815</v>
      </c>
      <c r="C406">
        <v>14103335</v>
      </c>
      <c r="D406" t="s">
        <v>36</v>
      </c>
      <c r="E406" s="134">
        <v>355.58</v>
      </c>
      <c r="F406" t="s">
        <v>2816</v>
      </c>
    </row>
    <row r="407" spans="1:6" x14ac:dyDescent="0.2">
      <c r="A407" t="s">
        <v>2814</v>
      </c>
      <c r="B407" t="s">
        <v>2815</v>
      </c>
      <c r="C407">
        <v>14103679</v>
      </c>
      <c r="D407" t="s">
        <v>37</v>
      </c>
      <c r="E407" s="134">
        <v>355.58</v>
      </c>
      <c r="F407" t="s">
        <v>2816</v>
      </c>
    </row>
    <row r="408" spans="1:6" x14ac:dyDescent="0.2">
      <c r="A408" t="s">
        <v>2814</v>
      </c>
      <c r="B408" t="s">
        <v>2815</v>
      </c>
      <c r="C408">
        <v>14103952</v>
      </c>
      <c r="D408" t="s">
        <v>38</v>
      </c>
      <c r="E408" s="134">
        <v>355.58</v>
      </c>
      <c r="F408" t="s">
        <v>2816</v>
      </c>
    </row>
    <row r="409" spans="1:6" x14ac:dyDescent="0.2">
      <c r="A409" t="s">
        <v>2814</v>
      </c>
      <c r="B409" t="s">
        <v>2815</v>
      </c>
      <c r="C409">
        <v>14104315</v>
      </c>
      <c r="D409" t="s">
        <v>328</v>
      </c>
      <c r="E409" s="134">
        <v>355.58</v>
      </c>
      <c r="F409" t="s">
        <v>2816</v>
      </c>
    </row>
    <row r="410" spans="1:6" x14ac:dyDescent="0.2">
      <c r="A410" t="s">
        <v>2814</v>
      </c>
      <c r="B410" t="s">
        <v>2815</v>
      </c>
      <c r="C410">
        <v>14104316</v>
      </c>
      <c r="D410" t="s">
        <v>39</v>
      </c>
      <c r="E410" s="134">
        <v>355.58</v>
      </c>
      <c r="F410" t="s">
        <v>2816</v>
      </c>
    </row>
    <row r="411" spans="1:6" x14ac:dyDescent="0.2">
      <c r="A411" t="s">
        <v>2814</v>
      </c>
      <c r="B411" t="s">
        <v>2815</v>
      </c>
      <c r="C411">
        <v>14104599</v>
      </c>
      <c r="D411" t="s">
        <v>40</v>
      </c>
      <c r="E411" s="134">
        <v>355.58</v>
      </c>
      <c r="F411" t="s">
        <v>2816</v>
      </c>
    </row>
    <row r="412" spans="1:6" x14ac:dyDescent="0.2">
      <c r="A412" t="s">
        <v>2814</v>
      </c>
      <c r="B412" t="s">
        <v>2815</v>
      </c>
      <c r="C412">
        <v>14104822</v>
      </c>
      <c r="D412" t="s">
        <v>41</v>
      </c>
      <c r="E412" s="134">
        <v>355.58</v>
      </c>
      <c r="F412" t="s">
        <v>2816</v>
      </c>
    </row>
    <row r="413" spans="1:6" x14ac:dyDescent="0.2">
      <c r="A413" t="s">
        <v>2814</v>
      </c>
      <c r="B413" t="s">
        <v>2815</v>
      </c>
      <c r="C413">
        <v>14104932</v>
      </c>
      <c r="D413" t="s">
        <v>42</v>
      </c>
      <c r="E413" s="134">
        <v>355.58</v>
      </c>
      <c r="F413" t="s">
        <v>2816</v>
      </c>
    </row>
    <row r="414" spans="1:6" x14ac:dyDescent="0.2">
      <c r="A414" t="s">
        <v>2814</v>
      </c>
      <c r="B414" t="s">
        <v>2815</v>
      </c>
      <c r="C414">
        <v>14104971</v>
      </c>
      <c r="D414" t="s">
        <v>43</v>
      </c>
      <c r="E414" s="134">
        <v>355.58</v>
      </c>
      <c r="F414" t="s">
        <v>2816</v>
      </c>
    </row>
    <row r="415" spans="1:6" x14ac:dyDescent="0.2">
      <c r="A415" t="s">
        <v>2814</v>
      </c>
      <c r="B415" t="s">
        <v>2815</v>
      </c>
      <c r="C415">
        <v>14105437</v>
      </c>
      <c r="D415" t="s">
        <v>44</v>
      </c>
      <c r="E415" s="134">
        <v>355.58</v>
      </c>
      <c r="F415" t="s">
        <v>2816</v>
      </c>
    </row>
    <row r="416" spans="1:6" x14ac:dyDescent="0.2">
      <c r="A416" t="s">
        <v>2814</v>
      </c>
      <c r="B416" t="s">
        <v>2815</v>
      </c>
      <c r="C416">
        <v>14105531</v>
      </c>
      <c r="D416" t="s">
        <v>45</v>
      </c>
      <c r="E416" s="134">
        <v>355.58</v>
      </c>
      <c r="F416" t="s">
        <v>2816</v>
      </c>
    </row>
    <row r="417" spans="1:6" x14ac:dyDescent="0.2">
      <c r="A417" t="s">
        <v>2814</v>
      </c>
      <c r="B417" t="s">
        <v>2815</v>
      </c>
      <c r="C417">
        <v>14105586</v>
      </c>
      <c r="D417" t="s">
        <v>46</v>
      </c>
      <c r="E417" s="134">
        <v>355.58</v>
      </c>
      <c r="F417" t="s">
        <v>2816</v>
      </c>
    </row>
    <row r="418" spans="1:6" x14ac:dyDescent="0.2">
      <c r="A418" t="s">
        <v>2814</v>
      </c>
      <c r="B418" t="s">
        <v>2815</v>
      </c>
      <c r="C418">
        <v>14105645</v>
      </c>
      <c r="D418" t="s">
        <v>160</v>
      </c>
      <c r="E418" s="134">
        <v>355.58</v>
      </c>
      <c r="F418" t="s">
        <v>2816</v>
      </c>
    </row>
    <row r="419" spans="1:6" x14ac:dyDescent="0.2">
      <c r="A419" t="s">
        <v>2814</v>
      </c>
      <c r="B419" t="s">
        <v>2815</v>
      </c>
      <c r="C419">
        <v>14106033</v>
      </c>
      <c r="D419" t="s">
        <v>47</v>
      </c>
      <c r="E419" s="134">
        <v>355.58</v>
      </c>
      <c r="F419" t="s">
        <v>2816</v>
      </c>
    </row>
    <row r="420" spans="1:6" x14ac:dyDescent="0.2">
      <c r="A420" t="s">
        <v>2814</v>
      </c>
      <c r="B420" t="s">
        <v>2815</v>
      </c>
      <c r="C420">
        <v>14106233</v>
      </c>
      <c r="D420" t="s">
        <v>340</v>
      </c>
      <c r="E420" s="134">
        <v>355.58</v>
      </c>
      <c r="F420" t="s">
        <v>2816</v>
      </c>
    </row>
    <row r="421" spans="1:6" x14ac:dyDescent="0.2">
      <c r="A421" t="s">
        <v>2814</v>
      </c>
      <c r="B421" t="s">
        <v>2815</v>
      </c>
      <c r="C421">
        <v>14106368</v>
      </c>
      <c r="D421" t="s">
        <v>50</v>
      </c>
      <c r="E421" s="134">
        <v>355.58</v>
      </c>
      <c r="F421" t="s">
        <v>2816</v>
      </c>
    </row>
    <row r="422" spans="1:6" x14ac:dyDescent="0.2">
      <c r="A422" t="s">
        <v>2814</v>
      </c>
      <c r="B422" t="s">
        <v>2815</v>
      </c>
      <c r="C422">
        <v>14106438</v>
      </c>
      <c r="D422" t="s">
        <v>51</v>
      </c>
      <c r="E422" s="134">
        <v>355.58</v>
      </c>
      <c r="F422" t="s">
        <v>2816</v>
      </c>
    </row>
    <row r="423" spans="1:6" x14ac:dyDescent="0.2">
      <c r="A423" t="s">
        <v>2814</v>
      </c>
      <c r="B423" t="s">
        <v>2815</v>
      </c>
      <c r="C423">
        <v>14106949</v>
      </c>
      <c r="D423" t="s">
        <v>53</v>
      </c>
      <c r="E423" s="134">
        <v>355.58</v>
      </c>
      <c r="F423" t="s">
        <v>2816</v>
      </c>
    </row>
    <row r="424" spans="1:6" x14ac:dyDescent="0.2">
      <c r="A424" t="s">
        <v>2814</v>
      </c>
      <c r="B424" t="s">
        <v>2815</v>
      </c>
      <c r="C424">
        <v>14106980</v>
      </c>
      <c r="D424" t="s">
        <v>54</v>
      </c>
      <c r="E424" s="134">
        <v>355.58</v>
      </c>
      <c r="F424" t="s">
        <v>2816</v>
      </c>
    </row>
    <row r="425" spans="1:6" x14ac:dyDescent="0.2">
      <c r="A425" t="s">
        <v>2814</v>
      </c>
      <c r="B425" t="s">
        <v>2815</v>
      </c>
      <c r="C425">
        <v>14107081</v>
      </c>
      <c r="D425" t="s">
        <v>55</v>
      </c>
      <c r="E425" s="134">
        <v>355.58</v>
      </c>
      <c r="F425" t="s">
        <v>2816</v>
      </c>
    </row>
    <row r="426" spans="1:6" x14ac:dyDescent="0.2">
      <c r="A426" t="s">
        <v>2814</v>
      </c>
      <c r="B426" t="s">
        <v>2815</v>
      </c>
      <c r="C426">
        <v>14107167</v>
      </c>
      <c r="D426" t="s">
        <v>56</v>
      </c>
      <c r="E426" s="134">
        <v>355.58</v>
      </c>
      <c r="F426" t="s">
        <v>2816</v>
      </c>
    </row>
    <row r="427" spans="1:6" x14ac:dyDescent="0.2">
      <c r="A427" t="s">
        <v>2814</v>
      </c>
      <c r="B427" t="s">
        <v>2815</v>
      </c>
      <c r="C427">
        <v>14107206</v>
      </c>
      <c r="D427" t="s">
        <v>58</v>
      </c>
      <c r="E427" s="134">
        <v>355.58</v>
      </c>
      <c r="F427" t="s">
        <v>2816</v>
      </c>
    </row>
    <row r="428" spans="1:6" x14ac:dyDescent="0.2">
      <c r="A428" t="s">
        <v>2814</v>
      </c>
      <c r="B428" t="s">
        <v>2815</v>
      </c>
      <c r="C428">
        <v>14107217</v>
      </c>
      <c r="D428" t="s">
        <v>59</v>
      </c>
      <c r="E428" s="134">
        <v>355.58</v>
      </c>
      <c r="F428" t="s">
        <v>2816</v>
      </c>
    </row>
    <row r="429" spans="1:6" x14ac:dyDescent="0.2">
      <c r="A429" t="s">
        <v>2814</v>
      </c>
      <c r="B429" t="s">
        <v>2815</v>
      </c>
      <c r="C429">
        <v>14107293</v>
      </c>
      <c r="D429" t="s">
        <v>191</v>
      </c>
      <c r="E429" s="134">
        <v>355.58</v>
      </c>
      <c r="F429" t="s">
        <v>2816</v>
      </c>
    </row>
    <row r="430" spans="1:6" x14ac:dyDescent="0.2">
      <c r="A430" t="s">
        <v>2814</v>
      </c>
      <c r="B430" t="s">
        <v>2815</v>
      </c>
      <c r="C430">
        <v>14107393</v>
      </c>
      <c r="D430" t="s">
        <v>61</v>
      </c>
      <c r="E430" s="134">
        <v>711.16</v>
      </c>
      <c r="F430" t="s">
        <v>2816</v>
      </c>
    </row>
    <row r="431" spans="1:6" x14ac:dyDescent="0.2">
      <c r="A431" t="s">
        <v>2814</v>
      </c>
      <c r="B431" t="s">
        <v>2815</v>
      </c>
      <c r="C431">
        <v>14107484</v>
      </c>
      <c r="D431" t="s">
        <v>62</v>
      </c>
      <c r="E431" s="134">
        <v>355.58</v>
      </c>
      <c r="F431" t="s">
        <v>2816</v>
      </c>
    </row>
    <row r="432" spans="1:6" x14ac:dyDescent="0.2">
      <c r="A432" t="s">
        <v>2814</v>
      </c>
      <c r="B432" t="s">
        <v>2815</v>
      </c>
      <c r="C432">
        <v>14107552</v>
      </c>
      <c r="D432" t="s">
        <v>63</v>
      </c>
      <c r="E432" s="134">
        <v>355.58</v>
      </c>
      <c r="F432" t="s">
        <v>2816</v>
      </c>
    </row>
    <row r="433" spans="1:6" x14ac:dyDescent="0.2">
      <c r="A433" t="s">
        <v>2814</v>
      </c>
      <c r="B433" t="s">
        <v>2815</v>
      </c>
      <c r="C433">
        <v>14107735</v>
      </c>
      <c r="D433" t="s">
        <v>64</v>
      </c>
      <c r="E433" s="134">
        <v>355.58</v>
      </c>
      <c r="F433" t="s">
        <v>2816</v>
      </c>
    </row>
    <row r="434" spans="1:6" x14ac:dyDescent="0.2">
      <c r="A434" t="s">
        <v>2814</v>
      </c>
      <c r="B434" t="s">
        <v>2815</v>
      </c>
      <c r="C434">
        <v>14107754</v>
      </c>
      <c r="D434" t="s">
        <v>65</v>
      </c>
      <c r="E434" s="134">
        <v>355.58</v>
      </c>
      <c r="F434" t="s">
        <v>2816</v>
      </c>
    </row>
    <row r="435" spans="1:6" x14ac:dyDescent="0.2">
      <c r="A435" t="s">
        <v>2814</v>
      </c>
      <c r="B435" t="s">
        <v>2815</v>
      </c>
      <c r="C435">
        <v>14107840</v>
      </c>
      <c r="D435" t="s">
        <v>66</v>
      </c>
      <c r="E435" s="134">
        <v>355.58</v>
      </c>
      <c r="F435" t="s">
        <v>2816</v>
      </c>
    </row>
    <row r="436" spans="1:6" x14ac:dyDescent="0.2">
      <c r="A436" t="s">
        <v>2814</v>
      </c>
      <c r="B436" t="s">
        <v>2815</v>
      </c>
      <c r="C436">
        <v>14107967</v>
      </c>
      <c r="D436" t="s">
        <v>67</v>
      </c>
      <c r="E436" s="134">
        <v>355.58</v>
      </c>
      <c r="F436" t="s">
        <v>2816</v>
      </c>
    </row>
    <row r="437" spans="1:6" x14ac:dyDescent="0.2">
      <c r="A437" t="s">
        <v>2814</v>
      </c>
      <c r="B437" t="s">
        <v>2815</v>
      </c>
      <c r="C437">
        <v>14107978</v>
      </c>
      <c r="D437" t="s">
        <v>68</v>
      </c>
      <c r="E437" s="134">
        <v>355.58</v>
      </c>
      <c r="F437" t="s">
        <v>2816</v>
      </c>
    </row>
    <row r="438" spans="1:6" x14ac:dyDescent="0.2">
      <c r="A438" t="s">
        <v>2814</v>
      </c>
      <c r="B438" t="s">
        <v>2815</v>
      </c>
      <c r="C438">
        <v>14108111</v>
      </c>
      <c r="D438" t="s">
        <v>69</v>
      </c>
      <c r="E438" s="134">
        <v>355.58</v>
      </c>
      <c r="F438" t="s">
        <v>2816</v>
      </c>
    </row>
    <row r="439" spans="1:6" x14ac:dyDescent="0.2">
      <c r="A439" t="s">
        <v>2814</v>
      </c>
      <c r="B439" t="s">
        <v>2815</v>
      </c>
      <c r="C439">
        <v>14108150</v>
      </c>
      <c r="D439" t="s">
        <v>70</v>
      </c>
      <c r="E439" s="134">
        <v>355.58</v>
      </c>
      <c r="F439" t="s">
        <v>2816</v>
      </c>
    </row>
    <row r="440" spans="1:6" x14ac:dyDescent="0.2">
      <c r="A440" t="s">
        <v>2814</v>
      </c>
      <c r="B440" t="s">
        <v>2815</v>
      </c>
      <c r="C440">
        <v>14108222</v>
      </c>
      <c r="D440" t="s">
        <v>71</v>
      </c>
      <c r="E440" s="134">
        <v>355.58</v>
      </c>
      <c r="F440" t="s">
        <v>2816</v>
      </c>
    </row>
    <row r="441" spans="1:6" x14ac:dyDescent="0.2">
      <c r="A441" t="s">
        <v>2814</v>
      </c>
      <c r="B441" t="s">
        <v>2815</v>
      </c>
      <c r="C441">
        <v>14108271</v>
      </c>
      <c r="D441" t="s">
        <v>73</v>
      </c>
      <c r="E441" s="134">
        <v>355.58</v>
      </c>
      <c r="F441" t="s">
        <v>2816</v>
      </c>
    </row>
    <row r="442" spans="1:6" x14ac:dyDescent="0.2">
      <c r="A442" t="s">
        <v>2814</v>
      </c>
      <c r="B442" t="s">
        <v>2815</v>
      </c>
      <c r="C442">
        <v>14108361</v>
      </c>
      <c r="D442" t="s">
        <v>74</v>
      </c>
      <c r="E442" s="134">
        <v>355.58</v>
      </c>
      <c r="F442" t="s">
        <v>2816</v>
      </c>
    </row>
    <row r="443" spans="1:6" x14ac:dyDescent="0.2">
      <c r="A443" t="s">
        <v>2814</v>
      </c>
      <c r="B443" t="s">
        <v>2815</v>
      </c>
      <c r="C443">
        <v>14108382</v>
      </c>
      <c r="D443" t="s">
        <v>75</v>
      </c>
      <c r="E443" s="134">
        <v>355.58</v>
      </c>
      <c r="F443" t="s">
        <v>2816</v>
      </c>
    </row>
    <row r="444" spans="1:6" x14ac:dyDescent="0.2">
      <c r="A444" t="s">
        <v>2814</v>
      </c>
      <c r="B444" t="s">
        <v>2815</v>
      </c>
      <c r="C444">
        <v>14108552</v>
      </c>
      <c r="D444" t="s">
        <v>309</v>
      </c>
      <c r="E444" s="134">
        <v>355.58</v>
      </c>
      <c r="F444" t="s">
        <v>2816</v>
      </c>
    </row>
    <row r="445" spans="1:6" x14ac:dyDescent="0.2">
      <c r="A445" t="s">
        <v>2814</v>
      </c>
      <c r="B445" t="s">
        <v>2815</v>
      </c>
      <c r="C445">
        <v>14108571</v>
      </c>
      <c r="D445" t="s">
        <v>77</v>
      </c>
      <c r="E445" s="134">
        <v>355.58</v>
      </c>
      <c r="F445" t="s">
        <v>2816</v>
      </c>
    </row>
    <row r="446" spans="1:6" x14ac:dyDescent="0.2">
      <c r="A446" t="s">
        <v>2814</v>
      </c>
      <c r="B446" t="s">
        <v>2815</v>
      </c>
      <c r="C446">
        <v>14108916</v>
      </c>
      <c r="D446" t="s">
        <v>79</v>
      </c>
      <c r="E446" s="134">
        <v>355.58</v>
      </c>
      <c r="F446" t="s">
        <v>2816</v>
      </c>
    </row>
    <row r="447" spans="1:6" x14ac:dyDescent="0.2">
      <c r="A447" t="s">
        <v>2814</v>
      </c>
      <c r="B447" t="s">
        <v>2815</v>
      </c>
      <c r="C447">
        <v>14109032</v>
      </c>
      <c r="D447" t="s">
        <v>80</v>
      </c>
      <c r="E447" s="134">
        <v>355.58</v>
      </c>
      <c r="F447" t="s">
        <v>2816</v>
      </c>
    </row>
    <row r="448" spans="1:6" x14ac:dyDescent="0.2">
      <c r="A448" t="s">
        <v>2814</v>
      </c>
      <c r="B448" t="s">
        <v>2815</v>
      </c>
      <c r="C448">
        <v>14109097</v>
      </c>
      <c r="D448" t="s">
        <v>81</v>
      </c>
      <c r="E448" s="134">
        <v>355.58</v>
      </c>
      <c r="F448" t="s">
        <v>2816</v>
      </c>
    </row>
    <row r="449" spans="1:6" x14ac:dyDescent="0.2">
      <c r="A449" t="s">
        <v>2814</v>
      </c>
      <c r="B449" t="s">
        <v>2815</v>
      </c>
      <c r="C449">
        <v>14109131</v>
      </c>
      <c r="D449" t="s">
        <v>82</v>
      </c>
      <c r="E449" s="134">
        <v>355.58</v>
      </c>
      <c r="F449" t="s">
        <v>2816</v>
      </c>
    </row>
    <row r="450" spans="1:6" x14ac:dyDescent="0.2">
      <c r="A450" t="s">
        <v>2814</v>
      </c>
      <c r="B450" t="s">
        <v>2815</v>
      </c>
      <c r="C450">
        <v>14109133</v>
      </c>
      <c r="D450" t="s">
        <v>83</v>
      </c>
      <c r="E450" s="134">
        <v>355.58</v>
      </c>
      <c r="F450" t="s">
        <v>2816</v>
      </c>
    </row>
    <row r="451" spans="1:6" x14ac:dyDescent="0.2">
      <c r="A451" t="s">
        <v>2814</v>
      </c>
      <c r="B451" t="s">
        <v>2815</v>
      </c>
      <c r="C451">
        <v>14109134</v>
      </c>
      <c r="D451" t="s">
        <v>84</v>
      </c>
      <c r="E451" s="134">
        <v>355.58</v>
      </c>
      <c r="F451" t="s">
        <v>2816</v>
      </c>
    </row>
    <row r="452" spans="1:6" x14ac:dyDescent="0.2">
      <c r="A452" t="s">
        <v>2814</v>
      </c>
      <c r="B452" t="s">
        <v>2815</v>
      </c>
      <c r="C452">
        <v>14109378</v>
      </c>
      <c r="D452" t="s">
        <v>85</v>
      </c>
      <c r="E452" s="134">
        <v>355.58</v>
      </c>
      <c r="F452" t="s">
        <v>2816</v>
      </c>
    </row>
    <row r="453" spans="1:6" x14ac:dyDescent="0.2">
      <c r="A453" t="s">
        <v>2814</v>
      </c>
      <c r="B453" t="s">
        <v>2815</v>
      </c>
      <c r="C453">
        <v>14109430</v>
      </c>
      <c r="D453" t="s">
        <v>87</v>
      </c>
      <c r="E453" s="134">
        <v>355.58</v>
      </c>
      <c r="F453" t="s">
        <v>2816</v>
      </c>
    </row>
    <row r="454" spans="1:6" x14ac:dyDescent="0.2">
      <c r="A454" t="s">
        <v>2814</v>
      </c>
      <c r="B454" t="s">
        <v>2815</v>
      </c>
      <c r="C454">
        <v>14109435</v>
      </c>
      <c r="D454" t="s">
        <v>88</v>
      </c>
      <c r="E454" s="134">
        <v>355.58</v>
      </c>
      <c r="F454" t="s">
        <v>2816</v>
      </c>
    </row>
    <row r="455" spans="1:6" x14ac:dyDescent="0.2">
      <c r="A455" t="s">
        <v>2814</v>
      </c>
      <c r="B455" t="s">
        <v>2815</v>
      </c>
      <c r="C455">
        <v>14109436</v>
      </c>
      <c r="D455" t="s">
        <v>364</v>
      </c>
      <c r="E455" s="134">
        <v>355.58</v>
      </c>
      <c r="F455" t="s">
        <v>2816</v>
      </c>
    </row>
    <row r="456" spans="1:6" x14ac:dyDescent="0.2">
      <c r="A456" t="s">
        <v>2814</v>
      </c>
      <c r="B456" t="s">
        <v>2815</v>
      </c>
      <c r="C456">
        <v>14109664</v>
      </c>
      <c r="D456" t="s">
        <v>89</v>
      </c>
      <c r="E456" s="134">
        <v>355.58</v>
      </c>
      <c r="F456" t="s">
        <v>2816</v>
      </c>
    </row>
    <row r="457" spans="1:6" x14ac:dyDescent="0.2">
      <c r="A457" t="s">
        <v>2814</v>
      </c>
      <c r="B457" t="s">
        <v>2815</v>
      </c>
      <c r="C457">
        <v>14109674</v>
      </c>
      <c r="D457" t="s">
        <v>90</v>
      </c>
      <c r="E457" s="134">
        <v>355.58</v>
      </c>
      <c r="F457" t="s">
        <v>2816</v>
      </c>
    </row>
    <row r="458" spans="1:6" x14ac:dyDescent="0.2">
      <c r="A458" t="s">
        <v>2814</v>
      </c>
      <c r="B458" t="s">
        <v>2815</v>
      </c>
      <c r="C458">
        <v>14109707</v>
      </c>
      <c r="D458" t="s">
        <v>92</v>
      </c>
      <c r="E458" s="134">
        <v>355.58</v>
      </c>
      <c r="F458" t="s">
        <v>2816</v>
      </c>
    </row>
    <row r="459" spans="1:6" x14ac:dyDescent="0.2">
      <c r="A459" t="s">
        <v>2814</v>
      </c>
      <c r="B459" t="s">
        <v>2815</v>
      </c>
      <c r="C459">
        <v>14109948</v>
      </c>
      <c r="D459" t="s">
        <v>165</v>
      </c>
      <c r="E459" s="134">
        <v>355.58</v>
      </c>
      <c r="F459" t="s">
        <v>2816</v>
      </c>
    </row>
    <row r="460" spans="1:6" x14ac:dyDescent="0.2">
      <c r="A460" t="s">
        <v>2814</v>
      </c>
      <c r="B460" t="s">
        <v>2815</v>
      </c>
      <c r="C460">
        <v>14110039</v>
      </c>
      <c r="D460" t="s">
        <v>98</v>
      </c>
      <c r="E460" s="134">
        <v>355.58</v>
      </c>
      <c r="F460" t="s">
        <v>2816</v>
      </c>
    </row>
    <row r="461" spans="1:6" x14ac:dyDescent="0.2">
      <c r="A461" t="s">
        <v>2814</v>
      </c>
      <c r="B461" t="s">
        <v>2815</v>
      </c>
      <c r="C461">
        <v>14110040</v>
      </c>
      <c r="D461" t="s">
        <v>99</v>
      </c>
      <c r="E461" s="134">
        <v>355.58</v>
      </c>
      <c r="F461" t="s">
        <v>2816</v>
      </c>
    </row>
    <row r="462" spans="1:6" x14ac:dyDescent="0.2">
      <c r="A462" t="s">
        <v>2814</v>
      </c>
      <c r="B462" t="s">
        <v>2815</v>
      </c>
      <c r="C462">
        <v>14110042</v>
      </c>
      <c r="D462" t="s">
        <v>329</v>
      </c>
      <c r="E462" s="134">
        <v>355.58</v>
      </c>
      <c r="F462" t="s">
        <v>2816</v>
      </c>
    </row>
    <row r="463" spans="1:6" x14ac:dyDescent="0.2">
      <c r="A463" t="s">
        <v>2814</v>
      </c>
      <c r="B463" t="s">
        <v>2815</v>
      </c>
      <c r="C463">
        <v>14110044</v>
      </c>
      <c r="D463" t="s">
        <v>145</v>
      </c>
      <c r="E463" s="134">
        <v>355.58</v>
      </c>
      <c r="F463" t="s">
        <v>2816</v>
      </c>
    </row>
    <row r="464" spans="1:6" x14ac:dyDescent="0.2">
      <c r="A464" t="s">
        <v>2814</v>
      </c>
      <c r="B464" t="s">
        <v>2815</v>
      </c>
      <c r="C464">
        <v>14110292</v>
      </c>
      <c r="D464" t="s">
        <v>100</v>
      </c>
      <c r="E464" s="134">
        <v>355.58</v>
      </c>
      <c r="F464" t="s">
        <v>2816</v>
      </c>
    </row>
    <row r="465" spans="1:6" x14ac:dyDescent="0.2">
      <c r="A465" t="s">
        <v>2814</v>
      </c>
      <c r="B465" t="s">
        <v>2815</v>
      </c>
      <c r="C465">
        <v>14110339</v>
      </c>
      <c r="D465" t="s">
        <v>101</v>
      </c>
      <c r="E465" s="134">
        <v>355.58</v>
      </c>
      <c r="F465" t="s">
        <v>2816</v>
      </c>
    </row>
    <row r="466" spans="1:6" x14ac:dyDescent="0.2">
      <c r="A466" t="s">
        <v>2814</v>
      </c>
      <c r="B466" t="s">
        <v>2815</v>
      </c>
      <c r="C466">
        <v>14110465</v>
      </c>
      <c r="D466" t="s">
        <v>102</v>
      </c>
      <c r="E466" s="134">
        <v>355.58</v>
      </c>
      <c r="F466" t="s">
        <v>2816</v>
      </c>
    </row>
    <row r="467" spans="1:6" x14ac:dyDescent="0.2">
      <c r="A467" t="s">
        <v>2814</v>
      </c>
      <c r="B467" t="s">
        <v>2815</v>
      </c>
      <c r="C467">
        <v>14110512</v>
      </c>
      <c r="D467" t="s">
        <v>183</v>
      </c>
      <c r="E467" s="134">
        <v>355.58</v>
      </c>
      <c r="F467" t="s">
        <v>2816</v>
      </c>
    </row>
    <row r="468" spans="1:6" x14ac:dyDescent="0.2">
      <c r="A468" t="s">
        <v>2814</v>
      </c>
      <c r="B468" t="s">
        <v>2815</v>
      </c>
      <c r="C468">
        <v>14110761</v>
      </c>
      <c r="D468" t="s">
        <v>104</v>
      </c>
      <c r="E468" s="134">
        <v>355.58</v>
      </c>
      <c r="F468" t="s">
        <v>2816</v>
      </c>
    </row>
    <row r="469" spans="1:6" x14ac:dyDescent="0.2">
      <c r="A469" t="s">
        <v>2814</v>
      </c>
      <c r="B469" t="s">
        <v>2815</v>
      </c>
      <c r="C469">
        <v>14110978</v>
      </c>
      <c r="D469" t="s">
        <v>108</v>
      </c>
      <c r="E469" s="134">
        <v>355.58</v>
      </c>
      <c r="F469" t="s">
        <v>2816</v>
      </c>
    </row>
    <row r="470" spans="1:6" x14ac:dyDescent="0.2">
      <c r="A470" t="s">
        <v>2814</v>
      </c>
      <c r="B470" t="s">
        <v>2815</v>
      </c>
      <c r="C470">
        <v>14111143</v>
      </c>
      <c r="D470" t="s">
        <v>109</v>
      </c>
      <c r="E470" s="134">
        <v>355.58</v>
      </c>
      <c r="F470" t="s">
        <v>2816</v>
      </c>
    </row>
    <row r="471" spans="1:6" x14ac:dyDescent="0.2">
      <c r="A471" t="s">
        <v>2814</v>
      </c>
      <c r="B471" t="s">
        <v>2815</v>
      </c>
      <c r="C471">
        <v>14111266</v>
      </c>
      <c r="D471" t="s">
        <v>110</v>
      </c>
      <c r="E471" s="134">
        <v>355.58</v>
      </c>
      <c r="F471" t="s">
        <v>2816</v>
      </c>
    </row>
    <row r="472" spans="1:6" x14ac:dyDescent="0.2">
      <c r="A472" t="s">
        <v>2814</v>
      </c>
      <c r="B472" t="s">
        <v>2815</v>
      </c>
      <c r="C472">
        <v>14111557</v>
      </c>
      <c r="D472" t="s">
        <v>111</v>
      </c>
      <c r="E472" s="134">
        <v>355.58</v>
      </c>
      <c r="F472" t="s">
        <v>2816</v>
      </c>
    </row>
    <row r="473" spans="1:6" x14ac:dyDescent="0.2">
      <c r="A473" t="s">
        <v>2814</v>
      </c>
      <c r="B473" t="s">
        <v>2815</v>
      </c>
      <c r="C473">
        <v>14111754</v>
      </c>
      <c r="D473" t="s">
        <v>311</v>
      </c>
      <c r="E473" s="134">
        <v>355.58</v>
      </c>
      <c r="F473" t="s">
        <v>2816</v>
      </c>
    </row>
    <row r="474" spans="1:6" x14ac:dyDescent="0.2">
      <c r="A474" t="s">
        <v>2814</v>
      </c>
      <c r="B474" t="s">
        <v>2815</v>
      </c>
      <c r="C474">
        <v>14112026</v>
      </c>
      <c r="D474" t="s">
        <v>113</v>
      </c>
      <c r="E474" s="134">
        <v>355.58</v>
      </c>
      <c r="F474" t="s">
        <v>2816</v>
      </c>
    </row>
    <row r="475" spans="1:6" x14ac:dyDescent="0.2">
      <c r="A475" t="s">
        <v>2814</v>
      </c>
      <c r="B475" t="s">
        <v>2815</v>
      </c>
      <c r="C475">
        <v>14112174</v>
      </c>
      <c r="D475" t="s">
        <v>114</v>
      </c>
      <c r="E475" s="134">
        <v>355.58</v>
      </c>
      <c r="F475" t="s">
        <v>2816</v>
      </c>
    </row>
    <row r="476" spans="1:6" x14ac:dyDescent="0.2">
      <c r="A476" t="s">
        <v>2814</v>
      </c>
      <c r="B476" t="s">
        <v>2815</v>
      </c>
      <c r="C476">
        <v>14112292</v>
      </c>
      <c r="D476" t="s">
        <v>190</v>
      </c>
      <c r="E476" s="134">
        <v>355.58</v>
      </c>
      <c r="F476" t="s">
        <v>2816</v>
      </c>
    </row>
    <row r="477" spans="1:6" x14ac:dyDescent="0.2">
      <c r="A477" t="s">
        <v>2814</v>
      </c>
      <c r="B477" t="s">
        <v>2815</v>
      </c>
      <c r="C477">
        <v>14112449</v>
      </c>
      <c r="D477" t="s">
        <v>192</v>
      </c>
      <c r="E477" s="134">
        <v>355.58</v>
      </c>
      <c r="F477" t="s">
        <v>2816</v>
      </c>
    </row>
    <row r="478" spans="1:6" x14ac:dyDescent="0.2">
      <c r="A478" t="s">
        <v>2814</v>
      </c>
      <c r="B478" t="s">
        <v>2815</v>
      </c>
      <c r="C478">
        <v>14112591</v>
      </c>
      <c r="D478" t="s">
        <v>115</v>
      </c>
      <c r="E478" s="134">
        <v>355.58</v>
      </c>
      <c r="F478" t="s">
        <v>2816</v>
      </c>
    </row>
    <row r="479" spans="1:6" x14ac:dyDescent="0.2">
      <c r="A479" t="s">
        <v>2814</v>
      </c>
      <c r="B479" t="s">
        <v>2815</v>
      </c>
      <c r="C479">
        <v>14112595</v>
      </c>
      <c r="D479" t="s">
        <v>365</v>
      </c>
      <c r="E479" s="134">
        <v>355.58</v>
      </c>
      <c r="F479" t="s">
        <v>2816</v>
      </c>
    </row>
    <row r="480" spans="1:6" x14ac:dyDescent="0.2">
      <c r="A480" t="s">
        <v>2814</v>
      </c>
      <c r="B480" t="s">
        <v>2815</v>
      </c>
      <c r="C480">
        <v>14112597</v>
      </c>
      <c r="D480" t="s">
        <v>117</v>
      </c>
      <c r="E480" s="134">
        <v>355.58</v>
      </c>
      <c r="F480" t="s">
        <v>2816</v>
      </c>
    </row>
    <row r="481" spans="1:6" x14ac:dyDescent="0.2">
      <c r="A481" t="s">
        <v>2814</v>
      </c>
      <c r="B481" t="s">
        <v>2815</v>
      </c>
      <c r="C481">
        <v>14112602</v>
      </c>
      <c r="D481" t="s">
        <v>118</v>
      </c>
      <c r="E481" s="134">
        <v>355.58</v>
      </c>
      <c r="F481" t="s">
        <v>2816</v>
      </c>
    </row>
    <row r="482" spans="1:6" x14ac:dyDescent="0.2">
      <c r="A482" t="s">
        <v>2814</v>
      </c>
      <c r="B482" t="s">
        <v>2815</v>
      </c>
      <c r="C482">
        <v>14112603</v>
      </c>
      <c r="D482" t="s">
        <v>119</v>
      </c>
      <c r="E482" s="134">
        <v>355.58</v>
      </c>
      <c r="F482" t="s">
        <v>2816</v>
      </c>
    </row>
    <row r="483" spans="1:6" x14ac:dyDescent="0.2">
      <c r="A483" t="s">
        <v>2814</v>
      </c>
      <c r="B483" t="s">
        <v>2815</v>
      </c>
      <c r="C483">
        <v>14112605</v>
      </c>
      <c r="D483" t="s">
        <v>120</v>
      </c>
      <c r="E483" s="134">
        <v>355.58</v>
      </c>
      <c r="F483" t="s">
        <v>2816</v>
      </c>
    </row>
    <row r="484" spans="1:6" x14ac:dyDescent="0.2">
      <c r="A484" t="s">
        <v>2814</v>
      </c>
      <c r="B484" t="s">
        <v>2815</v>
      </c>
      <c r="C484">
        <v>14112630</v>
      </c>
      <c r="D484" t="s">
        <v>121</v>
      </c>
      <c r="E484" s="134">
        <v>355.58</v>
      </c>
      <c r="F484" t="s">
        <v>2816</v>
      </c>
    </row>
    <row r="485" spans="1:6" x14ac:dyDescent="0.2">
      <c r="A485" t="s">
        <v>2814</v>
      </c>
      <c r="B485" t="s">
        <v>2815</v>
      </c>
      <c r="C485">
        <v>14113054</v>
      </c>
      <c r="D485" t="s">
        <v>122</v>
      </c>
      <c r="E485" s="134">
        <v>355.58</v>
      </c>
      <c r="F485" t="s">
        <v>2816</v>
      </c>
    </row>
    <row r="486" spans="1:6" x14ac:dyDescent="0.2">
      <c r="A486" t="s">
        <v>2814</v>
      </c>
      <c r="B486" t="s">
        <v>2815</v>
      </c>
      <c r="C486">
        <v>14113140</v>
      </c>
      <c r="D486" t="s">
        <v>123</v>
      </c>
      <c r="E486" s="134">
        <v>1066.74</v>
      </c>
      <c r="F486" t="s">
        <v>2816</v>
      </c>
    </row>
    <row r="487" spans="1:6" x14ac:dyDescent="0.2">
      <c r="A487" t="s">
        <v>2814</v>
      </c>
      <c r="B487" t="s">
        <v>2815</v>
      </c>
      <c r="C487">
        <v>14113200</v>
      </c>
      <c r="D487" t="s">
        <v>125</v>
      </c>
      <c r="E487" s="134">
        <v>355.58</v>
      </c>
      <c r="F487" t="s">
        <v>2816</v>
      </c>
    </row>
    <row r="488" spans="1:6" x14ac:dyDescent="0.2">
      <c r="A488" t="s">
        <v>2814</v>
      </c>
      <c r="B488" t="s">
        <v>2815</v>
      </c>
      <c r="C488">
        <v>14113311</v>
      </c>
      <c r="D488" t="s">
        <v>126</v>
      </c>
      <c r="E488" s="134">
        <v>355.58</v>
      </c>
      <c r="F488" t="s">
        <v>2816</v>
      </c>
    </row>
    <row r="489" spans="1:6" x14ac:dyDescent="0.2">
      <c r="A489" t="s">
        <v>2814</v>
      </c>
      <c r="B489" t="s">
        <v>2815</v>
      </c>
      <c r="C489">
        <v>14113320</v>
      </c>
      <c r="D489" t="s">
        <v>127</v>
      </c>
      <c r="E489" s="134">
        <v>355.58</v>
      </c>
      <c r="F489" t="s">
        <v>2816</v>
      </c>
    </row>
    <row r="490" spans="1:6" x14ac:dyDescent="0.2">
      <c r="A490" t="s">
        <v>2814</v>
      </c>
      <c r="B490" t="s">
        <v>2815</v>
      </c>
      <c r="C490">
        <v>14113349</v>
      </c>
      <c r="D490" t="s">
        <v>128</v>
      </c>
      <c r="E490" s="134">
        <v>355.58</v>
      </c>
      <c r="F490" t="s">
        <v>2816</v>
      </c>
    </row>
    <row r="491" spans="1:6" x14ac:dyDescent="0.2">
      <c r="A491" t="s">
        <v>2814</v>
      </c>
      <c r="B491" t="s">
        <v>2815</v>
      </c>
      <c r="C491">
        <v>14113562</v>
      </c>
      <c r="D491" t="s">
        <v>393</v>
      </c>
      <c r="E491" s="134">
        <v>355.58</v>
      </c>
      <c r="F491" t="s">
        <v>2816</v>
      </c>
    </row>
    <row r="492" spans="1:6" x14ac:dyDescent="0.2">
      <c r="A492" t="s">
        <v>2814</v>
      </c>
      <c r="B492" t="s">
        <v>2815</v>
      </c>
      <c r="C492">
        <v>14113619</v>
      </c>
      <c r="D492" t="s">
        <v>130</v>
      </c>
      <c r="E492" s="134">
        <v>355.58</v>
      </c>
      <c r="F492" t="s">
        <v>2816</v>
      </c>
    </row>
    <row r="493" spans="1:6" x14ac:dyDescent="0.2">
      <c r="A493" t="s">
        <v>2814</v>
      </c>
      <c r="B493" t="s">
        <v>2815</v>
      </c>
      <c r="C493">
        <v>14114030</v>
      </c>
      <c r="D493" t="s">
        <v>132</v>
      </c>
      <c r="E493" s="134">
        <v>355.58</v>
      </c>
      <c r="F493" t="s">
        <v>2816</v>
      </c>
    </row>
    <row r="494" spans="1:6" x14ac:dyDescent="0.2">
      <c r="A494" t="s">
        <v>2814</v>
      </c>
      <c r="B494" t="s">
        <v>2815</v>
      </c>
      <c r="C494">
        <v>14114037</v>
      </c>
      <c r="D494" t="s">
        <v>180</v>
      </c>
      <c r="E494" s="134">
        <v>355.58</v>
      </c>
      <c r="F494" t="s">
        <v>2816</v>
      </c>
    </row>
    <row r="495" spans="1:6" x14ac:dyDescent="0.2">
      <c r="A495" t="s">
        <v>2814</v>
      </c>
      <c r="B495" t="s">
        <v>2815</v>
      </c>
      <c r="C495">
        <v>14114062</v>
      </c>
      <c r="D495" t="s">
        <v>133</v>
      </c>
      <c r="E495" s="134">
        <v>355.58</v>
      </c>
      <c r="F495" t="s">
        <v>2816</v>
      </c>
    </row>
    <row r="496" spans="1:6" x14ac:dyDescent="0.2">
      <c r="A496" t="s">
        <v>2814</v>
      </c>
      <c r="B496" t="s">
        <v>2815</v>
      </c>
      <c r="C496">
        <v>14114324</v>
      </c>
      <c r="D496" t="s">
        <v>341</v>
      </c>
      <c r="E496" s="134">
        <v>355.58</v>
      </c>
      <c r="F496" t="s">
        <v>2816</v>
      </c>
    </row>
    <row r="497" spans="1:6" x14ac:dyDescent="0.2">
      <c r="A497" t="s">
        <v>2814</v>
      </c>
      <c r="B497" t="s">
        <v>2815</v>
      </c>
      <c r="C497">
        <v>14114330</v>
      </c>
      <c r="D497" t="s">
        <v>134</v>
      </c>
      <c r="E497" s="134">
        <v>355.58</v>
      </c>
      <c r="F497" t="s">
        <v>2816</v>
      </c>
    </row>
    <row r="498" spans="1:6" x14ac:dyDescent="0.2">
      <c r="A498" t="s">
        <v>2814</v>
      </c>
      <c r="B498" t="s">
        <v>2815</v>
      </c>
      <c r="C498">
        <v>14114431</v>
      </c>
      <c r="D498" t="s">
        <v>135</v>
      </c>
      <c r="E498" s="134">
        <v>355.58</v>
      </c>
      <c r="F498" t="s">
        <v>2816</v>
      </c>
    </row>
    <row r="499" spans="1:6" x14ac:dyDescent="0.2">
      <c r="A499" t="s">
        <v>2814</v>
      </c>
      <c r="B499" t="s">
        <v>2815</v>
      </c>
      <c r="C499">
        <v>14114667</v>
      </c>
      <c r="D499" t="s">
        <v>137</v>
      </c>
      <c r="E499" s="134">
        <v>355.58</v>
      </c>
      <c r="F499" t="s">
        <v>2816</v>
      </c>
    </row>
    <row r="500" spans="1:6" x14ac:dyDescent="0.2">
      <c r="A500" t="s">
        <v>2814</v>
      </c>
      <c r="B500" t="s">
        <v>2815</v>
      </c>
      <c r="C500">
        <v>14114709</v>
      </c>
      <c r="D500" t="s">
        <v>138</v>
      </c>
      <c r="E500" s="134">
        <v>355.58</v>
      </c>
      <c r="F500" t="s">
        <v>2816</v>
      </c>
    </row>
    <row r="501" spans="1:6" x14ac:dyDescent="0.2">
      <c r="A501" t="s">
        <v>2814</v>
      </c>
      <c r="B501" t="s">
        <v>2815</v>
      </c>
      <c r="C501">
        <v>14115136</v>
      </c>
      <c r="D501" t="s">
        <v>140</v>
      </c>
      <c r="E501" s="134">
        <v>355.58</v>
      </c>
      <c r="F501" t="s">
        <v>2816</v>
      </c>
    </row>
    <row r="502" spans="1:6" x14ac:dyDescent="0.2">
      <c r="A502" t="s">
        <v>2814</v>
      </c>
      <c r="B502" t="s">
        <v>2815</v>
      </c>
      <c r="C502">
        <v>14115536</v>
      </c>
      <c r="D502" t="s">
        <v>144</v>
      </c>
      <c r="E502" s="134">
        <v>355.58</v>
      </c>
      <c r="F502" t="s">
        <v>2816</v>
      </c>
    </row>
    <row r="503" spans="1:6" x14ac:dyDescent="0.2">
      <c r="A503" t="s">
        <v>2814</v>
      </c>
      <c r="B503" t="s">
        <v>2815</v>
      </c>
      <c r="C503">
        <v>14115908</v>
      </c>
      <c r="D503" t="s">
        <v>150</v>
      </c>
      <c r="E503" s="134">
        <v>355.58</v>
      </c>
      <c r="F503" t="s">
        <v>2816</v>
      </c>
    </row>
    <row r="504" spans="1:6" x14ac:dyDescent="0.2">
      <c r="A504" t="s">
        <v>2814</v>
      </c>
      <c r="B504" t="s">
        <v>2815</v>
      </c>
      <c r="C504">
        <v>14115909</v>
      </c>
      <c r="D504" t="s">
        <v>335</v>
      </c>
      <c r="E504" s="134">
        <v>355.58</v>
      </c>
      <c r="F504" t="s">
        <v>2816</v>
      </c>
    </row>
    <row r="505" spans="1:6" x14ac:dyDescent="0.2">
      <c r="A505" t="s">
        <v>2814</v>
      </c>
      <c r="B505" t="s">
        <v>2815</v>
      </c>
      <c r="C505">
        <v>14115917</v>
      </c>
      <c r="D505" t="s">
        <v>151</v>
      </c>
      <c r="E505" s="134">
        <v>355.58</v>
      </c>
      <c r="F505" t="s">
        <v>2816</v>
      </c>
    </row>
    <row r="506" spans="1:6" x14ac:dyDescent="0.2">
      <c r="A506" t="s">
        <v>2814</v>
      </c>
      <c r="B506" t="s">
        <v>2815</v>
      </c>
      <c r="C506">
        <v>14116046</v>
      </c>
      <c r="D506" t="s">
        <v>153</v>
      </c>
      <c r="E506" s="134">
        <v>355.58</v>
      </c>
      <c r="F506" t="s">
        <v>2816</v>
      </c>
    </row>
    <row r="507" spans="1:6" x14ac:dyDescent="0.2">
      <c r="A507" t="s">
        <v>2814</v>
      </c>
      <c r="B507" t="s">
        <v>2815</v>
      </c>
      <c r="C507">
        <v>14116058</v>
      </c>
      <c r="D507" t="s">
        <v>154</v>
      </c>
      <c r="E507" s="134">
        <v>355.58</v>
      </c>
      <c r="F507" t="s">
        <v>2816</v>
      </c>
    </row>
    <row r="508" spans="1:6" x14ac:dyDescent="0.2">
      <c r="A508" t="s">
        <v>2814</v>
      </c>
      <c r="B508" t="s">
        <v>2815</v>
      </c>
      <c r="C508">
        <v>14116373</v>
      </c>
      <c r="D508" t="s">
        <v>161</v>
      </c>
      <c r="E508" s="134">
        <v>355.58</v>
      </c>
      <c r="F508" t="s">
        <v>2816</v>
      </c>
    </row>
    <row r="509" spans="1:6" x14ac:dyDescent="0.2">
      <c r="A509" t="s">
        <v>2814</v>
      </c>
      <c r="B509" t="s">
        <v>2815</v>
      </c>
      <c r="C509">
        <v>14116433</v>
      </c>
      <c r="D509" t="s">
        <v>163</v>
      </c>
      <c r="E509" s="134">
        <v>355.58</v>
      </c>
      <c r="F509" t="s">
        <v>2816</v>
      </c>
    </row>
    <row r="510" spans="1:6" x14ac:dyDescent="0.2">
      <c r="A510" t="s">
        <v>2814</v>
      </c>
      <c r="B510" t="s">
        <v>2815</v>
      </c>
      <c r="C510">
        <v>14116504</v>
      </c>
      <c r="D510" t="s">
        <v>164</v>
      </c>
      <c r="E510" s="134">
        <v>355.58</v>
      </c>
      <c r="F510" t="s">
        <v>2816</v>
      </c>
    </row>
    <row r="511" spans="1:6" x14ac:dyDescent="0.2">
      <c r="A511" t="s">
        <v>2814</v>
      </c>
      <c r="B511" t="s">
        <v>2815</v>
      </c>
      <c r="C511">
        <v>14116564</v>
      </c>
      <c r="D511" t="s">
        <v>166</v>
      </c>
      <c r="E511" s="134">
        <v>355.58</v>
      </c>
      <c r="F511" t="s">
        <v>2816</v>
      </c>
    </row>
    <row r="512" spans="1:6" x14ac:dyDescent="0.2">
      <c r="A512" t="s">
        <v>2814</v>
      </c>
      <c r="B512" t="s">
        <v>2815</v>
      </c>
      <c r="C512">
        <v>14116600</v>
      </c>
      <c r="D512" t="s">
        <v>167</v>
      </c>
      <c r="E512" s="134">
        <v>355.58</v>
      </c>
      <c r="F512" t="s">
        <v>2816</v>
      </c>
    </row>
    <row r="513" spans="1:6" x14ac:dyDescent="0.2">
      <c r="A513" t="s">
        <v>2814</v>
      </c>
      <c r="B513" t="s">
        <v>2815</v>
      </c>
      <c r="C513">
        <v>14116723</v>
      </c>
      <c r="D513" t="s">
        <v>168</v>
      </c>
      <c r="E513" s="134">
        <v>355.58</v>
      </c>
      <c r="F513" t="s">
        <v>2816</v>
      </c>
    </row>
    <row r="514" spans="1:6" x14ac:dyDescent="0.2">
      <c r="A514" t="s">
        <v>2814</v>
      </c>
      <c r="B514" t="s">
        <v>2815</v>
      </c>
      <c r="C514">
        <v>14116917</v>
      </c>
      <c r="D514" t="s">
        <v>171</v>
      </c>
      <c r="E514" s="134">
        <v>355.58</v>
      </c>
      <c r="F514" t="s">
        <v>2816</v>
      </c>
    </row>
    <row r="515" spans="1:6" x14ac:dyDescent="0.2">
      <c r="A515" t="s">
        <v>2814</v>
      </c>
      <c r="B515" t="s">
        <v>2815</v>
      </c>
      <c r="C515">
        <v>14116929</v>
      </c>
      <c r="D515" t="s">
        <v>366</v>
      </c>
      <c r="E515" s="134">
        <v>355.58</v>
      </c>
      <c r="F515" t="s">
        <v>2816</v>
      </c>
    </row>
    <row r="516" spans="1:6" x14ac:dyDescent="0.2">
      <c r="A516" t="s">
        <v>2814</v>
      </c>
      <c r="B516" t="s">
        <v>2815</v>
      </c>
      <c r="C516">
        <v>14117160</v>
      </c>
      <c r="D516" t="s">
        <v>173</v>
      </c>
      <c r="E516" s="134">
        <v>355.58</v>
      </c>
      <c r="F516" t="s">
        <v>2816</v>
      </c>
    </row>
    <row r="517" spans="1:6" x14ac:dyDescent="0.2">
      <c r="A517" t="s">
        <v>2814</v>
      </c>
      <c r="B517" t="s">
        <v>2815</v>
      </c>
      <c r="C517">
        <v>14117297</v>
      </c>
      <c r="D517" t="s">
        <v>174</v>
      </c>
      <c r="E517" s="134">
        <v>355.58</v>
      </c>
      <c r="F517" t="s">
        <v>2816</v>
      </c>
    </row>
    <row r="518" spans="1:6" x14ac:dyDescent="0.2">
      <c r="A518" t="s">
        <v>2814</v>
      </c>
      <c r="B518" t="s">
        <v>2815</v>
      </c>
      <c r="C518">
        <v>14117400</v>
      </c>
      <c r="D518" t="s">
        <v>175</v>
      </c>
      <c r="E518" s="134">
        <v>355.58</v>
      </c>
      <c r="F518" t="s">
        <v>2816</v>
      </c>
    </row>
    <row r="519" spans="1:6" x14ac:dyDescent="0.2">
      <c r="A519" t="s">
        <v>2814</v>
      </c>
      <c r="B519" t="s">
        <v>2815</v>
      </c>
      <c r="C519">
        <v>14117542</v>
      </c>
      <c r="D519" t="s">
        <v>176</v>
      </c>
      <c r="E519" s="134">
        <v>355.58</v>
      </c>
      <c r="F519" t="s">
        <v>2816</v>
      </c>
    </row>
    <row r="520" spans="1:6" x14ac:dyDescent="0.2">
      <c r="A520" t="s">
        <v>2814</v>
      </c>
      <c r="B520" t="s">
        <v>2815</v>
      </c>
      <c r="C520">
        <v>14117905</v>
      </c>
      <c r="D520" t="s">
        <v>398</v>
      </c>
      <c r="E520" s="134">
        <v>355.58</v>
      </c>
      <c r="F520" t="s">
        <v>2816</v>
      </c>
    </row>
    <row r="521" spans="1:6" x14ac:dyDescent="0.2">
      <c r="A521" t="s">
        <v>2814</v>
      </c>
      <c r="B521" t="s">
        <v>2815</v>
      </c>
      <c r="C521">
        <v>14117967</v>
      </c>
      <c r="D521" t="s">
        <v>182</v>
      </c>
      <c r="E521" s="134">
        <v>355.58</v>
      </c>
      <c r="F521" t="s">
        <v>2816</v>
      </c>
    </row>
    <row r="522" spans="1:6" x14ac:dyDescent="0.2">
      <c r="A522" t="s">
        <v>2814</v>
      </c>
      <c r="B522" t="s">
        <v>2815</v>
      </c>
      <c r="C522">
        <v>14118186</v>
      </c>
      <c r="D522" t="s">
        <v>187</v>
      </c>
      <c r="E522" s="134">
        <v>355.58</v>
      </c>
      <c r="F522" t="s">
        <v>2816</v>
      </c>
    </row>
    <row r="523" spans="1:6" x14ac:dyDescent="0.2">
      <c r="A523" t="s">
        <v>2814</v>
      </c>
      <c r="B523" t="s">
        <v>2815</v>
      </c>
      <c r="C523">
        <v>14118196</v>
      </c>
      <c r="D523" t="s">
        <v>188</v>
      </c>
      <c r="E523" s="134">
        <v>355.58</v>
      </c>
      <c r="F523" t="s">
        <v>2816</v>
      </c>
    </row>
    <row r="524" spans="1:6" x14ac:dyDescent="0.2">
      <c r="A524" t="s">
        <v>2814</v>
      </c>
      <c r="B524" t="s">
        <v>2815</v>
      </c>
      <c r="C524">
        <v>14118397</v>
      </c>
      <c r="D524" t="s">
        <v>196</v>
      </c>
      <c r="E524" s="134">
        <v>355.58</v>
      </c>
      <c r="F524" t="s">
        <v>2816</v>
      </c>
    </row>
    <row r="525" spans="1:6" x14ac:dyDescent="0.2">
      <c r="A525" t="s">
        <v>2814</v>
      </c>
      <c r="B525" t="s">
        <v>2815</v>
      </c>
      <c r="C525">
        <v>14118440</v>
      </c>
      <c r="D525" t="s">
        <v>197</v>
      </c>
      <c r="E525" s="134">
        <v>355.58</v>
      </c>
      <c r="F525" t="s">
        <v>2816</v>
      </c>
    </row>
    <row r="526" spans="1:6" x14ac:dyDescent="0.2">
      <c r="A526" t="s">
        <v>2814</v>
      </c>
      <c r="B526" t="s">
        <v>2815</v>
      </c>
      <c r="C526">
        <v>14118499</v>
      </c>
      <c r="D526" t="s">
        <v>198</v>
      </c>
      <c r="E526" s="134">
        <v>355.58</v>
      </c>
      <c r="F526" t="s">
        <v>2816</v>
      </c>
    </row>
    <row r="527" spans="1:6" x14ac:dyDescent="0.2">
      <c r="A527" t="s">
        <v>2814</v>
      </c>
      <c r="B527" t="s">
        <v>2815</v>
      </c>
      <c r="C527">
        <v>14121582</v>
      </c>
      <c r="D527" t="s">
        <v>337</v>
      </c>
      <c r="E527" s="134">
        <v>355.58</v>
      </c>
      <c r="F527" t="s">
        <v>2816</v>
      </c>
    </row>
    <row r="528" spans="1:6" x14ac:dyDescent="0.2">
      <c r="A528" t="s">
        <v>2814</v>
      </c>
      <c r="B528" t="s">
        <v>2815</v>
      </c>
      <c r="C528">
        <v>14121672</v>
      </c>
      <c r="D528" t="s">
        <v>342</v>
      </c>
      <c r="E528" s="134">
        <v>355.58</v>
      </c>
      <c r="F528" t="s">
        <v>2816</v>
      </c>
    </row>
    <row r="529" spans="1:6" x14ac:dyDescent="0.2">
      <c r="A529" t="s">
        <v>2814</v>
      </c>
      <c r="B529" t="s">
        <v>2815</v>
      </c>
      <c r="C529">
        <v>14121896</v>
      </c>
      <c r="D529" t="s">
        <v>362</v>
      </c>
      <c r="E529" s="134">
        <v>355.58</v>
      </c>
      <c r="F529" t="s">
        <v>2816</v>
      </c>
    </row>
    <row r="530" spans="1:6" x14ac:dyDescent="0.2">
      <c r="A530" t="s">
        <v>2814</v>
      </c>
      <c r="B530" t="s">
        <v>2815</v>
      </c>
      <c r="C530">
        <v>14122034</v>
      </c>
      <c r="D530" t="s">
        <v>372</v>
      </c>
      <c r="E530" s="134">
        <v>355.58</v>
      </c>
      <c r="F530" t="s">
        <v>2816</v>
      </c>
    </row>
    <row r="531" spans="1:6" x14ac:dyDescent="0.2">
      <c r="A531" t="s">
        <v>2814</v>
      </c>
      <c r="B531" t="s">
        <v>2815</v>
      </c>
      <c r="C531">
        <v>14122094</v>
      </c>
      <c r="D531" t="s">
        <v>379</v>
      </c>
      <c r="E531" s="134">
        <v>355.58</v>
      </c>
      <c r="F531" t="s">
        <v>2816</v>
      </c>
    </row>
    <row r="532" spans="1:6" x14ac:dyDescent="0.2">
      <c r="A532" t="s">
        <v>2814</v>
      </c>
      <c r="B532" t="s">
        <v>2907</v>
      </c>
      <c r="C532">
        <v>14100716</v>
      </c>
      <c r="D532" t="s">
        <v>7</v>
      </c>
      <c r="E532" s="134">
        <v>645.79999999999995</v>
      </c>
      <c r="F532" t="s">
        <v>2816</v>
      </c>
    </row>
    <row r="533" spans="1:6" x14ac:dyDescent="0.2">
      <c r="A533" t="s">
        <v>2814</v>
      </c>
      <c r="B533" t="s">
        <v>2907</v>
      </c>
      <c r="C533">
        <v>14106035</v>
      </c>
      <c r="D533" t="s">
        <v>48</v>
      </c>
      <c r="E533" s="134">
        <v>645.79999999999995</v>
      </c>
      <c r="F533" t="s">
        <v>2816</v>
      </c>
    </row>
    <row r="534" spans="1:6" x14ac:dyDescent="0.2">
      <c r="A534" t="s">
        <v>2814</v>
      </c>
      <c r="B534" t="s">
        <v>2907</v>
      </c>
      <c r="C534">
        <v>14118625</v>
      </c>
      <c r="D534" t="s">
        <v>422</v>
      </c>
      <c r="E534" s="134">
        <v>268.36</v>
      </c>
      <c r="F534" t="s">
        <v>2816</v>
      </c>
    </row>
    <row r="535" spans="1:6" x14ac:dyDescent="0.2">
      <c r="A535" t="s">
        <v>2814</v>
      </c>
      <c r="B535" t="s">
        <v>2907</v>
      </c>
      <c r="C535">
        <v>14122681</v>
      </c>
      <c r="D535" t="s">
        <v>433</v>
      </c>
      <c r="E535" s="134">
        <v>268.36</v>
      </c>
      <c r="F535" t="s">
        <v>2816</v>
      </c>
    </row>
    <row r="536" spans="1:6" x14ac:dyDescent="0.2">
      <c r="A536" t="s">
        <v>2814</v>
      </c>
      <c r="B536" t="s">
        <v>2907</v>
      </c>
      <c r="C536">
        <v>14122682</v>
      </c>
      <c r="D536" t="s">
        <v>434</v>
      </c>
      <c r="E536" s="134">
        <v>468.36</v>
      </c>
      <c r="F536" t="s">
        <v>2816</v>
      </c>
    </row>
    <row r="537" spans="1:6" x14ac:dyDescent="0.2">
      <c r="A537" t="s">
        <v>2814</v>
      </c>
      <c r="B537" t="s">
        <v>2907</v>
      </c>
      <c r="C537">
        <v>14122706</v>
      </c>
      <c r="D537" t="s">
        <v>438</v>
      </c>
      <c r="E537" s="134">
        <v>268.36</v>
      </c>
      <c r="F537" t="s">
        <v>2816</v>
      </c>
    </row>
    <row r="538" spans="1:6" x14ac:dyDescent="0.2">
      <c r="A538" t="s">
        <v>2814</v>
      </c>
      <c r="B538" t="s">
        <v>2907</v>
      </c>
      <c r="C538">
        <v>14122708</v>
      </c>
      <c r="D538" t="s">
        <v>440</v>
      </c>
      <c r="E538" s="134">
        <v>268.36</v>
      </c>
      <c r="F538" t="s">
        <v>2816</v>
      </c>
    </row>
    <row r="539" spans="1:6" x14ac:dyDescent="0.2">
      <c r="A539" t="s">
        <v>2814</v>
      </c>
      <c r="B539" t="s">
        <v>2907</v>
      </c>
      <c r="C539">
        <v>14122994</v>
      </c>
      <c r="D539" t="s">
        <v>467</v>
      </c>
      <c r="E539" s="134">
        <v>445.8</v>
      </c>
      <c r="F539" t="s">
        <v>2816</v>
      </c>
    </row>
    <row r="540" spans="1:6" x14ac:dyDescent="0.2">
      <c r="A540" t="s">
        <v>2814</v>
      </c>
      <c r="B540" t="s">
        <v>2907</v>
      </c>
      <c r="C540">
        <v>14123082</v>
      </c>
      <c r="D540" t="s">
        <v>477</v>
      </c>
      <c r="E540" s="134">
        <v>1022.8</v>
      </c>
      <c r="F540" t="s">
        <v>2816</v>
      </c>
    </row>
    <row r="541" spans="1:6" x14ac:dyDescent="0.2">
      <c r="A541" t="s">
        <v>2814</v>
      </c>
      <c r="B541" t="s">
        <v>2907</v>
      </c>
      <c r="C541">
        <v>14123145</v>
      </c>
      <c r="D541" t="s">
        <v>482</v>
      </c>
      <c r="E541" s="134">
        <v>645.79999999999995</v>
      </c>
      <c r="F541" t="s">
        <v>2816</v>
      </c>
    </row>
    <row r="542" spans="1:6" x14ac:dyDescent="0.2">
      <c r="A542" t="s">
        <v>2814</v>
      </c>
      <c r="B542" t="s">
        <v>2907</v>
      </c>
      <c r="C542">
        <v>14123332</v>
      </c>
      <c r="D542" t="s">
        <v>501</v>
      </c>
      <c r="E542" s="134">
        <v>268.36</v>
      </c>
      <c r="F542" t="s">
        <v>2816</v>
      </c>
    </row>
    <row r="543" spans="1:6" x14ac:dyDescent="0.2">
      <c r="A543" t="s">
        <v>2814</v>
      </c>
      <c r="B543" t="s">
        <v>2907</v>
      </c>
      <c r="C543">
        <v>14103470</v>
      </c>
      <c r="D543" t="s">
        <v>518</v>
      </c>
      <c r="E543" s="134">
        <v>268.36</v>
      </c>
      <c r="F543" t="s">
        <v>2816</v>
      </c>
    </row>
    <row r="544" spans="1:6" x14ac:dyDescent="0.2">
      <c r="A544" t="s">
        <v>2814</v>
      </c>
      <c r="B544" t="s">
        <v>2907</v>
      </c>
      <c r="C544">
        <v>14110506</v>
      </c>
      <c r="D544" t="s">
        <v>421</v>
      </c>
      <c r="E544" s="134">
        <v>268.36</v>
      </c>
      <c r="F544" t="s">
        <v>2816</v>
      </c>
    </row>
    <row r="545" spans="1:6" x14ac:dyDescent="0.2">
      <c r="A545" t="s">
        <v>2814</v>
      </c>
      <c r="B545" t="s">
        <v>2907</v>
      </c>
      <c r="C545">
        <v>14110604</v>
      </c>
      <c r="D545" t="s">
        <v>330</v>
      </c>
      <c r="E545" s="134">
        <v>268.36</v>
      </c>
      <c r="F545" t="s">
        <v>2816</v>
      </c>
    </row>
    <row r="546" spans="1:6" x14ac:dyDescent="0.2">
      <c r="A546" t="s">
        <v>2814</v>
      </c>
      <c r="B546" t="s">
        <v>2907</v>
      </c>
      <c r="C546">
        <v>14110799</v>
      </c>
      <c r="D546" t="s">
        <v>455</v>
      </c>
      <c r="E546" s="134">
        <v>268.36</v>
      </c>
      <c r="F546" t="s">
        <v>2816</v>
      </c>
    </row>
    <row r="547" spans="1:6" x14ac:dyDescent="0.2">
      <c r="A547" t="s">
        <v>2814</v>
      </c>
      <c r="B547" t="s">
        <v>2907</v>
      </c>
      <c r="C547">
        <v>14112588</v>
      </c>
      <c r="D547" t="s">
        <v>931</v>
      </c>
      <c r="E547" s="134">
        <v>645.79999999999995</v>
      </c>
      <c r="F547" t="s">
        <v>2816</v>
      </c>
    </row>
    <row r="548" spans="1:6" x14ac:dyDescent="0.2">
      <c r="A548" t="s">
        <v>2814</v>
      </c>
      <c r="B548" t="s">
        <v>2907</v>
      </c>
      <c r="C548">
        <v>14116250</v>
      </c>
      <c r="D548" t="s">
        <v>425</v>
      </c>
      <c r="E548" s="134">
        <v>645.79999999999995</v>
      </c>
      <c r="F548" t="s">
        <v>2816</v>
      </c>
    </row>
    <row r="549" spans="1:6" x14ac:dyDescent="0.2">
      <c r="A549" t="s">
        <v>2814</v>
      </c>
      <c r="B549" t="s">
        <v>2907</v>
      </c>
      <c r="C549">
        <v>14116565</v>
      </c>
      <c r="D549" t="s">
        <v>456</v>
      </c>
      <c r="E549" s="134">
        <v>645.79999999999995</v>
      </c>
      <c r="F549" t="s">
        <v>2816</v>
      </c>
    </row>
    <row r="550" spans="1:6" x14ac:dyDescent="0.2">
      <c r="A550" t="s">
        <v>2814</v>
      </c>
      <c r="B550" t="s">
        <v>2907</v>
      </c>
      <c r="C550">
        <v>14118212</v>
      </c>
      <c r="D550" t="s">
        <v>426</v>
      </c>
      <c r="E550" s="134">
        <v>645.79999999999995</v>
      </c>
      <c r="F550" t="s">
        <v>2816</v>
      </c>
    </row>
    <row r="551" spans="1:6" x14ac:dyDescent="0.2">
      <c r="A551" t="s">
        <v>2814</v>
      </c>
      <c r="B551" t="s">
        <v>2907</v>
      </c>
      <c r="C551">
        <v>14118579</v>
      </c>
      <c r="D551" t="s">
        <v>464</v>
      </c>
      <c r="E551" s="134">
        <v>268.36</v>
      </c>
      <c r="F551" t="s">
        <v>2816</v>
      </c>
    </row>
    <row r="552" spans="1:6" x14ac:dyDescent="0.2">
      <c r="A552" t="s">
        <v>2814</v>
      </c>
      <c r="B552" t="s">
        <v>2907</v>
      </c>
      <c r="C552">
        <v>14119838</v>
      </c>
      <c r="D552" t="s">
        <v>498</v>
      </c>
      <c r="E552" s="134">
        <v>645.79999999999995</v>
      </c>
      <c r="F552" t="s">
        <v>2816</v>
      </c>
    </row>
    <row r="553" spans="1:6" x14ac:dyDescent="0.2">
      <c r="A553" t="s">
        <v>2814</v>
      </c>
      <c r="B553" t="s">
        <v>2907</v>
      </c>
      <c r="C553">
        <v>14120199</v>
      </c>
      <c r="D553" t="s">
        <v>400</v>
      </c>
      <c r="E553" s="134">
        <v>268.36</v>
      </c>
      <c r="F553" t="s">
        <v>2816</v>
      </c>
    </row>
    <row r="554" spans="1:6" x14ac:dyDescent="0.2">
      <c r="A554" t="s">
        <v>2814</v>
      </c>
      <c r="B554" t="s">
        <v>2907</v>
      </c>
      <c r="C554">
        <v>14120455</v>
      </c>
      <c r="D554" t="s">
        <v>287</v>
      </c>
      <c r="E554" s="134">
        <v>268.36</v>
      </c>
      <c r="F554" t="s">
        <v>2816</v>
      </c>
    </row>
    <row r="555" spans="1:6" x14ac:dyDescent="0.2">
      <c r="A555" t="s">
        <v>2814</v>
      </c>
      <c r="B555" t="s">
        <v>2907</v>
      </c>
      <c r="C555">
        <v>14120715</v>
      </c>
      <c r="D555" t="s">
        <v>295</v>
      </c>
      <c r="E555" s="134">
        <v>645.79999999999995</v>
      </c>
      <c r="F555" t="s">
        <v>2816</v>
      </c>
    </row>
    <row r="556" spans="1:6" x14ac:dyDescent="0.2">
      <c r="A556" t="s">
        <v>2814</v>
      </c>
      <c r="B556" t="s">
        <v>2907</v>
      </c>
      <c r="C556">
        <v>14122191</v>
      </c>
      <c r="D556" t="s">
        <v>394</v>
      </c>
      <c r="E556" s="134">
        <v>445.8</v>
      </c>
      <c r="F556" t="s">
        <v>2816</v>
      </c>
    </row>
    <row r="557" spans="1:6" x14ac:dyDescent="0.2">
      <c r="A557" t="s">
        <v>2814</v>
      </c>
      <c r="B557" t="s">
        <v>2907</v>
      </c>
      <c r="C557">
        <v>14122194</v>
      </c>
      <c r="D557" t="s">
        <v>395</v>
      </c>
      <c r="E557" s="134">
        <v>645.79999999999995</v>
      </c>
      <c r="F557" t="s">
        <v>2816</v>
      </c>
    </row>
    <row r="558" spans="1:6" x14ac:dyDescent="0.2">
      <c r="A558" t="s">
        <v>2814</v>
      </c>
      <c r="B558" t="s">
        <v>2907</v>
      </c>
      <c r="C558">
        <v>14122221</v>
      </c>
      <c r="D558" t="s">
        <v>396</v>
      </c>
      <c r="E558" s="134">
        <v>645.79999999999995</v>
      </c>
      <c r="F558" t="s">
        <v>2816</v>
      </c>
    </row>
    <row r="559" spans="1:6" x14ac:dyDescent="0.2">
      <c r="A559" t="s">
        <v>2814</v>
      </c>
      <c r="B559" t="s">
        <v>2907</v>
      </c>
      <c r="C559">
        <v>14122230</v>
      </c>
      <c r="D559" t="s">
        <v>397</v>
      </c>
      <c r="E559" s="134">
        <v>645.79999999999995</v>
      </c>
      <c r="F559" t="s">
        <v>2816</v>
      </c>
    </row>
    <row r="560" spans="1:6" x14ac:dyDescent="0.2">
      <c r="A560" t="s">
        <v>2814</v>
      </c>
      <c r="B560" t="s">
        <v>2907</v>
      </c>
      <c r="C560">
        <v>14122263</v>
      </c>
      <c r="D560" t="s">
        <v>401</v>
      </c>
      <c r="E560" s="134">
        <v>268.36</v>
      </c>
      <c r="F560" t="s">
        <v>2816</v>
      </c>
    </row>
    <row r="561" spans="1:6" x14ac:dyDescent="0.2">
      <c r="A561" t="s">
        <v>2814</v>
      </c>
      <c r="B561" t="s">
        <v>2907</v>
      </c>
      <c r="C561">
        <v>14122291</v>
      </c>
      <c r="D561" t="s">
        <v>402</v>
      </c>
      <c r="E561" s="134">
        <v>268.36</v>
      </c>
      <c r="F561" t="s">
        <v>2816</v>
      </c>
    </row>
    <row r="562" spans="1:6" x14ac:dyDescent="0.2">
      <c r="A562" t="s">
        <v>2814</v>
      </c>
      <c r="B562" t="s">
        <v>2907</v>
      </c>
      <c r="C562">
        <v>14122293</v>
      </c>
      <c r="D562" t="s">
        <v>403</v>
      </c>
      <c r="E562" s="134">
        <v>268.36</v>
      </c>
      <c r="F562" t="s">
        <v>2816</v>
      </c>
    </row>
    <row r="563" spans="1:6" x14ac:dyDescent="0.2">
      <c r="A563" t="s">
        <v>2814</v>
      </c>
      <c r="B563" t="s">
        <v>2907</v>
      </c>
      <c r="C563">
        <v>14122294</v>
      </c>
      <c r="D563" t="s">
        <v>404</v>
      </c>
      <c r="E563" s="134">
        <v>268.36</v>
      </c>
      <c r="F563" t="s">
        <v>2816</v>
      </c>
    </row>
    <row r="564" spans="1:6" x14ac:dyDescent="0.2">
      <c r="A564" t="s">
        <v>2814</v>
      </c>
      <c r="B564" t="s">
        <v>2907</v>
      </c>
      <c r="C564">
        <v>14122320</v>
      </c>
      <c r="D564" t="s">
        <v>405</v>
      </c>
      <c r="E564" s="134">
        <v>268.36</v>
      </c>
      <c r="F564" t="s">
        <v>2816</v>
      </c>
    </row>
    <row r="565" spans="1:6" x14ac:dyDescent="0.2">
      <c r="A565" t="s">
        <v>2814</v>
      </c>
      <c r="B565" t="s">
        <v>2907</v>
      </c>
      <c r="C565">
        <v>14122329</v>
      </c>
      <c r="D565" t="s">
        <v>406</v>
      </c>
      <c r="E565" s="134">
        <v>268.36</v>
      </c>
      <c r="F565" t="s">
        <v>2816</v>
      </c>
    </row>
    <row r="566" spans="1:6" x14ac:dyDescent="0.2">
      <c r="A566" t="s">
        <v>2814</v>
      </c>
      <c r="B566" t="s">
        <v>2907</v>
      </c>
      <c r="C566">
        <v>14122330</v>
      </c>
      <c r="D566" t="s">
        <v>407</v>
      </c>
      <c r="E566" s="134">
        <v>645.79999999999995</v>
      </c>
      <c r="F566" t="s">
        <v>2816</v>
      </c>
    </row>
    <row r="567" spans="1:6" x14ac:dyDescent="0.2">
      <c r="A567" t="s">
        <v>2814</v>
      </c>
      <c r="B567" t="s">
        <v>2907</v>
      </c>
      <c r="C567">
        <v>14122331</v>
      </c>
      <c r="D567" t="s">
        <v>408</v>
      </c>
      <c r="E567" s="134">
        <v>645.79999999999995</v>
      </c>
      <c r="F567" t="s">
        <v>2816</v>
      </c>
    </row>
    <row r="568" spans="1:6" x14ac:dyDescent="0.2">
      <c r="A568" t="s">
        <v>2814</v>
      </c>
      <c r="B568" t="s">
        <v>2907</v>
      </c>
      <c r="C568">
        <v>14122353</v>
      </c>
      <c r="D568" t="s">
        <v>409</v>
      </c>
      <c r="E568" s="134">
        <v>645.79999999999995</v>
      </c>
      <c r="F568" t="s">
        <v>2816</v>
      </c>
    </row>
    <row r="569" spans="1:6" x14ac:dyDescent="0.2">
      <c r="A569" t="s">
        <v>2814</v>
      </c>
      <c r="B569" t="s">
        <v>2907</v>
      </c>
      <c r="C569">
        <v>14122354</v>
      </c>
      <c r="D569" t="s">
        <v>410</v>
      </c>
      <c r="E569" s="134">
        <v>445.8</v>
      </c>
      <c r="F569" t="s">
        <v>2816</v>
      </c>
    </row>
    <row r="570" spans="1:6" x14ac:dyDescent="0.2">
      <c r="A570" t="s">
        <v>2814</v>
      </c>
      <c r="B570" t="s">
        <v>2907</v>
      </c>
      <c r="C570">
        <v>14122355</v>
      </c>
      <c r="D570" t="s">
        <v>411</v>
      </c>
      <c r="E570" s="134">
        <v>645.79999999999995</v>
      </c>
      <c r="F570" t="s">
        <v>2816</v>
      </c>
    </row>
    <row r="571" spans="1:6" x14ac:dyDescent="0.2">
      <c r="A571" t="s">
        <v>2814</v>
      </c>
      <c r="B571" t="s">
        <v>2907</v>
      </c>
      <c r="C571">
        <v>14122394</v>
      </c>
      <c r="D571" t="s">
        <v>413</v>
      </c>
      <c r="E571" s="134">
        <v>268.36</v>
      </c>
      <c r="F571" t="s">
        <v>2816</v>
      </c>
    </row>
    <row r="572" spans="1:6" x14ac:dyDescent="0.2">
      <c r="A572" t="s">
        <v>2814</v>
      </c>
      <c r="B572" t="s">
        <v>2907</v>
      </c>
      <c r="C572">
        <v>14122416</v>
      </c>
      <c r="D572" t="s">
        <v>414</v>
      </c>
      <c r="E572" s="134">
        <v>645.79999999999995</v>
      </c>
      <c r="F572" t="s">
        <v>2816</v>
      </c>
    </row>
    <row r="573" spans="1:6" x14ac:dyDescent="0.2">
      <c r="A573" t="s">
        <v>2814</v>
      </c>
      <c r="B573" t="s">
        <v>2907</v>
      </c>
      <c r="C573">
        <v>14122417</v>
      </c>
      <c r="D573" t="s">
        <v>415</v>
      </c>
      <c r="E573" s="134">
        <v>268.36</v>
      </c>
      <c r="F573" t="s">
        <v>2816</v>
      </c>
    </row>
    <row r="574" spans="1:6" x14ac:dyDescent="0.2">
      <c r="A574" t="s">
        <v>2814</v>
      </c>
      <c r="B574" t="s">
        <v>2907</v>
      </c>
      <c r="C574">
        <v>14122419</v>
      </c>
      <c r="D574" t="s">
        <v>416</v>
      </c>
      <c r="E574" s="134">
        <v>134.18</v>
      </c>
      <c r="F574" t="s">
        <v>2816</v>
      </c>
    </row>
    <row r="575" spans="1:6" x14ac:dyDescent="0.2">
      <c r="A575" t="s">
        <v>2814</v>
      </c>
      <c r="B575" t="s">
        <v>2907</v>
      </c>
      <c r="C575">
        <v>14122428</v>
      </c>
      <c r="D575" t="s">
        <v>417</v>
      </c>
      <c r="E575" s="134">
        <v>645.79999999999995</v>
      </c>
      <c r="F575" t="s">
        <v>2816</v>
      </c>
    </row>
    <row r="576" spans="1:6" x14ac:dyDescent="0.2">
      <c r="A576" t="s">
        <v>2814</v>
      </c>
      <c r="B576" t="s">
        <v>2907</v>
      </c>
      <c r="C576">
        <v>14122431</v>
      </c>
      <c r="D576" t="s">
        <v>419</v>
      </c>
      <c r="E576" s="134">
        <v>645.79999999999995</v>
      </c>
      <c r="F576" t="s">
        <v>2816</v>
      </c>
    </row>
    <row r="577" spans="1:6" x14ac:dyDescent="0.2">
      <c r="A577" t="s">
        <v>2814</v>
      </c>
      <c r="B577" t="s">
        <v>2907</v>
      </c>
      <c r="C577">
        <v>14122481</v>
      </c>
      <c r="D577" t="s">
        <v>420</v>
      </c>
      <c r="E577" s="134">
        <v>645.79999999999995</v>
      </c>
      <c r="F577" t="s">
        <v>2816</v>
      </c>
    </row>
    <row r="578" spans="1:6" x14ac:dyDescent="0.2">
      <c r="A578" t="s">
        <v>2814</v>
      </c>
      <c r="B578" t="s">
        <v>2907</v>
      </c>
      <c r="C578">
        <v>14122495</v>
      </c>
      <c r="D578" t="s">
        <v>423</v>
      </c>
      <c r="E578" s="134">
        <v>268.36</v>
      </c>
      <c r="F578" t="s">
        <v>2816</v>
      </c>
    </row>
    <row r="579" spans="1:6" x14ac:dyDescent="0.2">
      <c r="A579" t="s">
        <v>2814</v>
      </c>
      <c r="B579" t="s">
        <v>2907</v>
      </c>
      <c r="C579">
        <v>14122510</v>
      </c>
      <c r="D579" t="s">
        <v>424</v>
      </c>
      <c r="E579" s="134">
        <v>268.36</v>
      </c>
      <c r="F579" t="s">
        <v>2816</v>
      </c>
    </row>
    <row r="580" spans="1:6" x14ac:dyDescent="0.2">
      <c r="A580" t="s">
        <v>2814</v>
      </c>
      <c r="B580" t="s">
        <v>2907</v>
      </c>
      <c r="C580">
        <v>14122543</v>
      </c>
      <c r="D580" t="s">
        <v>427</v>
      </c>
      <c r="E580" s="134">
        <v>645.79999999999995</v>
      </c>
      <c r="F580" t="s">
        <v>2816</v>
      </c>
    </row>
    <row r="581" spans="1:6" x14ac:dyDescent="0.2">
      <c r="A581" t="s">
        <v>2814</v>
      </c>
      <c r="B581" t="s">
        <v>2907</v>
      </c>
      <c r="C581">
        <v>14122546</v>
      </c>
      <c r="D581" t="s">
        <v>428</v>
      </c>
      <c r="E581" s="134">
        <v>645.79999999999995</v>
      </c>
      <c r="F581" t="s">
        <v>2816</v>
      </c>
    </row>
    <row r="582" spans="1:6" x14ac:dyDescent="0.2">
      <c r="A582" t="s">
        <v>2814</v>
      </c>
      <c r="B582" t="s">
        <v>2907</v>
      </c>
      <c r="C582">
        <v>14122617</v>
      </c>
      <c r="D582" t="s">
        <v>429</v>
      </c>
      <c r="E582" s="134">
        <v>268.36</v>
      </c>
      <c r="F582" t="s">
        <v>2816</v>
      </c>
    </row>
    <row r="583" spans="1:6" x14ac:dyDescent="0.2">
      <c r="A583" t="s">
        <v>2814</v>
      </c>
      <c r="B583" t="s">
        <v>2907</v>
      </c>
      <c r="C583">
        <v>14122618</v>
      </c>
      <c r="D583" t="s">
        <v>430</v>
      </c>
      <c r="E583" s="134">
        <v>268.36</v>
      </c>
      <c r="F583" t="s">
        <v>2816</v>
      </c>
    </row>
    <row r="584" spans="1:6" x14ac:dyDescent="0.2">
      <c r="A584" t="s">
        <v>2814</v>
      </c>
      <c r="B584" t="s">
        <v>2907</v>
      </c>
      <c r="C584">
        <v>14122673</v>
      </c>
      <c r="D584" t="s">
        <v>432</v>
      </c>
      <c r="E584" s="134">
        <v>268.36</v>
      </c>
      <c r="F584" t="s">
        <v>2816</v>
      </c>
    </row>
    <row r="585" spans="1:6" x14ac:dyDescent="0.2">
      <c r="A585" t="s">
        <v>2814</v>
      </c>
      <c r="B585" t="s">
        <v>2907</v>
      </c>
      <c r="C585">
        <v>14122683</v>
      </c>
      <c r="D585" t="s">
        <v>435</v>
      </c>
      <c r="E585" s="134">
        <v>468.36</v>
      </c>
      <c r="F585" t="s">
        <v>2816</v>
      </c>
    </row>
    <row r="586" spans="1:6" x14ac:dyDescent="0.2">
      <c r="A586" t="s">
        <v>2814</v>
      </c>
      <c r="B586" t="s">
        <v>2907</v>
      </c>
      <c r="C586">
        <v>14122685</v>
      </c>
      <c r="D586" t="s">
        <v>436</v>
      </c>
      <c r="E586" s="134">
        <v>445.8</v>
      </c>
      <c r="F586" t="s">
        <v>2816</v>
      </c>
    </row>
    <row r="587" spans="1:6" x14ac:dyDescent="0.2">
      <c r="A587" t="s">
        <v>2814</v>
      </c>
      <c r="B587" t="s">
        <v>2907</v>
      </c>
      <c r="C587">
        <v>14122687</v>
      </c>
      <c r="D587" t="s">
        <v>437</v>
      </c>
      <c r="E587" s="134">
        <v>645.79999999999995</v>
      </c>
      <c r="F587" t="s">
        <v>2816</v>
      </c>
    </row>
    <row r="588" spans="1:6" x14ac:dyDescent="0.2">
      <c r="A588" t="s">
        <v>2814</v>
      </c>
      <c r="B588" t="s">
        <v>2907</v>
      </c>
      <c r="C588">
        <v>14122709</v>
      </c>
      <c r="D588" t="s">
        <v>441</v>
      </c>
      <c r="E588" s="134">
        <v>268.36</v>
      </c>
      <c r="F588" t="s">
        <v>2816</v>
      </c>
    </row>
    <row r="589" spans="1:6" x14ac:dyDescent="0.2">
      <c r="A589" t="s">
        <v>2814</v>
      </c>
      <c r="B589" t="s">
        <v>2907</v>
      </c>
      <c r="C589">
        <v>14122758</v>
      </c>
      <c r="D589" t="s">
        <v>442</v>
      </c>
      <c r="E589" s="134">
        <v>645.79999999999995</v>
      </c>
      <c r="F589" t="s">
        <v>2816</v>
      </c>
    </row>
    <row r="590" spans="1:6" x14ac:dyDescent="0.2">
      <c r="A590" t="s">
        <v>2814</v>
      </c>
      <c r="B590" t="s">
        <v>2907</v>
      </c>
      <c r="C590">
        <v>14122772</v>
      </c>
      <c r="D590" t="s">
        <v>443</v>
      </c>
      <c r="E590" s="134">
        <v>645.79999999999995</v>
      </c>
      <c r="F590" t="s">
        <v>2816</v>
      </c>
    </row>
    <row r="591" spans="1:6" x14ac:dyDescent="0.2">
      <c r="A591" t="s">
        <v>2814</v>
      </c>
      <c r="B591" t="s">
        <v>2907</v>
      </c>
      <c r="C591">
        <v>14122773</v>
      </c>
      <c r="D591" t="s">
        <v>444</v>
      </c>
      <c r="E591" s="134">
        <v>645.79999999999995</v>
      </c>
      <c r="F591" t="s">
        <v>2816</v>
      </c>
    </row>
    <row r="592" spans="1:6" x14ac:dyDescent="0.2">
      <c r="A592" t="s">
        <v>2814</v>
      </c>
      <c r="B592" t="s">
        <v>2907</v>
      </c>
      <c r="C592">
        <v>14122775</v>
      </c>
      <c r="D592" t="s">
        <v>445</v>
      </c>
      <c r="E592" s="134">
        <v>645.79999999999995</v>
      </c>
      <c r="F592" t="s">
        <v>2816</v>
      </c>
    </row>
    <row r="593" spans="1:6" x14ac:dyDescent="0.2">
      <c r="A593" t="s">
        <v>2814</v>
      </c>
      <c r="B593" t="s">
        <v>2907</v>
      </c>
      <c r="C593">
        <v>14122809</v>
      </c>
      <c r="D593" t="s">
        <v>446</v>
      </c>
      <c r="E593" s="134">
        <v>268.36</v>
      </c>
      <c r="F593" t="s">
        <v>2816</v>
      </c>
    </row>
    <row r="594" spans="1:6" x14ac:dyDescent="0.2">
      <c r="A594" t="s">
        <v>2814</v>
      </c>
      <c r="B594" t="s">
        <v>2907</v>
      </c>
      <c r="C594">
        <v>14122831</v>
      </c>
      <c r="D594" t="s">
        <v>447</v>
      </c>
      <c r="E594" s="134">
        <v>445.8</v>
      </c>
      <c r="F594" t="s">
        <v>2816</v>
      </c>
    </row>
    <row r="595" spans="1:6" x14ac:dyDescent="0.2">
      <c r="A595" t="s">
        <v>2814</v>
      </c>
      <c r="B595" t="s">
        <v>2907</v>
      </c>
      <c r="C595">
        <v>14122832</v>
      </c>
      <c r="D595" t="s">
        <v>448</v>
      </c>
      <c r="E595" s="134">
        <v>645.79999999999995</v>
      </c>
      <c r="F595" t="s">
        <v>2816</v>
      </c>
    </row>
    <row r="596" spans="1:6" x14ac:dyDescent="0.2">
      <c r="A596" t="s">
        <v>2814</v>
      </c>
      <c r="B596" t="s">
        <v>2907</v>
      </c>
      <c r="C596">
        <v>14122852</v>
      </c>
      <c r="D596" t="s">
        <v>449</v>
      </c>
      <c r="E596" s="134">
        <v>1937.4</v>
      </c>
      <c r="F596" t="s">
        <v>2816</v>
      </c>
    </row>
    <row r="597" spans="1:6" x14ac:dyDescent="0.2">
      <c r="A597" t="s">
        <v>2814</v>
      </c>
      <c r="B597" t="s">
        <v>2907</v>
      </c>
      <c r="C597">
        <v>14122854</v>
      </c>
      <c r="D597" t="s">
        <v>450</v>
      </c>
      <c r="E597" s="134">
        <v>645.79999999999995</v>
      </c>
      <c r="F597" t="s">
        <v>2816</v>
      </c>
    </row>
    <row r="598" spans="1:6" x14ac:dyDescent="0.2">
      <c r="A598" t="s">
        <v>2814</v>
      </c>
      <c r="B598" t="s">
        <v>2907</v>
      </c>
      <c r="C598">
        <v>14122855</v>
      </c>
      <c r="D598" t="s">
        <v>451</v>
      </c>
      <c r="E598" s="134">
        <v>268.36</v>
      </c>
      <c r="F598" t="s">
        <v>2816</v>
      </c>
    </row>
    <row r="599" spans="1:6" x14ac:dyDescent="0.2">
      <c r="A599" t="s">
        <v>2814</v>
      </c>
      <c r="B599" t="s">
        <v>2907</v>
      </c>
      <c r="C599">
        <v>14122856</v>
      </c>
      <c r="D599" t="s">
        <v>452</v>
      </c>
      <c r="E599" s="134">
        <v>645.79999999999995</v>
      </c>
      <c r="F599" t="s">
        <v>2816</v>
      </c>
    </row>
    <row r="600" spans="1:6" x14ac:dyDescent="0.2">
      <c r="A600" t="s">
        <v>2814</v>
      </c>
      <c r="B600" t="s">
        <v>2907</v>
      </c>
      <c r="C600">
        <v>14122871</v>
      </c>
      <c r="D600" t="s">
        <v>453</v>
      </c>
      <c r="E600" s="134">
        <v>268.36</v>
      </c>
      <c r="F600" t="s">
        <v>2816</v>
      </c>
    </row>
    <row r="601" spans="1:6" x14ac:dyDescent="0.2">
      <c r="A601" t="s">
        <v>2814</v>
      </c>
      <c r="B601" t="s">
        <v>2907</v>
      </c>
      <c r="C601">
        <v>14122904</v>
      </c>
      <c r="D601" t="s">
        <v>457</v>
      </c>
      <c r="E601" s="134">
        <v>268.36</v>
      </c>
      <c r="F601" t="s">
        <v>2816</v>
      </c>
    </row>
    <row r="602" spans="1:6" x14ac:dyDescent="0.2">
      <c r="A602" t="s">
        <v>2814</v>
      </c>
      <c r="B602" t="s">
        <v>2907</v>
      </c>
      <c r="C602">
        <v>14122922</v>
      </c>
      <c r="D602" t="s">
        <v>458</v>
      </c>
      <c r="E602" s="134">
        <v>645.79999999999995</v>
      </c>
      <c r="F602" t="s">
        <v>2816</v>
      </c>
    </row>
    <row r="603" spans="1:6" x14ac:dyDescent="0.2">
      <c r="A603" t="s">
        <v>2814</v>
      </c>
      <c r="B603" t="s">
        <v>2907</v>
      </c>
      <c r="C603">
        <v>14122923</v>
      </c>
      <c r="D603" t="s">
        <v>459</v>
      </c>
      <c r="E603" s="134">
        <v>645.79999999999995</v>
      </c>
      <c r="F603" t="s">
        <v>2816</v>
      </c>
    </row>
    <row r="604" spans="1:6" x14ac:dyDescent="0.2">
      <c r="A604" t="s">
        <v>2814</v>
      </c>
      <c r="B604" t="s">
        <v>2907</v>
      </c>
      <c r="C604">
        <v>14122925</v>
      </c>
      <c r="D604" t="s">
        <v>460</v>
      </c>
      <c r="E604" s="134">
        <v>468.36</v>
      </c>
      <c r="F604" t="s">
        <v>2816</v>
      </c>
    </row>
    <row r="605" spans="1:6" x14ac:dyDescent="0.2">
      <c r="A605" t="s">
        <v>2814</v>
      </c>
      <c r="B605" t="s">
        <v>2907</v>
      </c>
      <c r="C605">
        <v>14122927</v>
      </c>
      <c r="D605" t="s">
        <v>461</v>
      </c>
      <c r="E605" s="134">
        <v>268.36</v>
      </c>
      <c r="F605" t="s">
        <v>2816</v>
      </c>
    </row>
    <row r="606" spans="1:6" x14ac:dyDescent="0.2">
      <c r="A606" t="s">
        <v>2814</v>
      </c>
      <c r="B606" t="s">
        <v>2907</v>
      </c>
      <c r="C606">
        <v>14122928</v>
      </c>
      <c r="D606" t="s">
        <v>462</v>
      </c>
      <c r="E606" s="134">
        <v>268.36</v>
      </c>
      <c r="F606" t="s">
        <v>2816</v>
      </c>
    </row>
    <row r="607" spans="1:6" x14ac:dyDescent="0.2">
      <c r="A607" t="s">
        <v>2814</v>
      </c>
      <c r="B607" t="s">
        <v>2907</v>
      </c>
      <c r="C607">
        <v>14122929</v>
      </c>
      <c r="D607" t="s">
        <v>463</v>
      </c>
      <c r="E607" s="134">
        <v>268.36</v>
      </c>
      <c r="F607" t="s">
        <v>2816</v>
      </c>
    </row>
    <row r="608" spans="1:6" x14ac:dyDescent="0.2">
      <c r="A608" t="s">
        <v>2814</v>
      </c>
      <c r="B608" t="s">
        <v>2907</v>
      </c>
      <c r="C608">
        <v>14122992</v>
      </c>
      <c r="D608" t="s">
        <v>465</v>
      </c>
      <c r="E608" s="134">
        <v>645.79999999999995</v>
      </c>
      <c r="F608" t="s">
        <v>2816</v>
      </c>
    </row>
    <row r="609" spans="1:6" x14ac:dyDescent="0.2">
      <c r="A609" t="s">
        <v>2814</v>
      </c>
      <c r="B609" t="s">
        <v>2907</v>
      </c>
      <c r="C609">
        <v>14122993</v>
      </c>
      <c r="D609" t="s">
        <v>466</v>
      </c>
      <c r="E609" s="134">
        <v>268.36</v>
      </c>
      <c r="F609" t="s">
        <v>2816</v>
      </c>
    </row>
    <row r="610" spans="1:6" x14ac:dyDescent="0.2">
      <c r="A610" t="s">
        <v>2814</v>
      </c>
      <c r="B610" t="s">
        <v>2907</v>
      </c>
      <c r="C610">
        <v>14123004</v>
      </c>
      <c r="D610" t="s">
        <v>468</v>
      </c>
      <c r="E610" s="134">
        <v>268.36</v>
      </c>
      <c r="F610" t="s">
        <v>2816</v>
      </c>
    </row>
    <row r="611" spans="1:6" x14ac:dyDescent="0.2">
      <c r="A611" t="s">
        <v>2814</v>
      </c>
      <c r="B611" t="s">
        <v>2907</v>
      </c>
      <c r="C611">
        <v>14123008</v>
      </c>
      <c r="D611" t="s">
        <v>469</v>
      </c>
      <c r="E611" s="134">
        <v>468.36</v>
      </c>
      <c r="F611" t="s">
        <v>2816</v>
      </c>
    </row>
    <row r="612" spans="1:6" x14ac:dyDescent="0.2">
      <c r="A612" t="s">
        <v>2814</v>
      </c>
      <c r="B612" t="s">
        <v>2907</v>
      </c>
      <c r="C612">
        <v>14123010</v>
      </c>
      <c r="D612" t="s">
        <v>470</v>
      </c>
      <c r="E612" s="134">
        <v>645.79999999999995</v>
      </c>
      <c r="F612" t="s">
        <v>2816</v>
      </c>
    </row>
    <row r="613" spans="1:6" x14ac:dyDescent="0.2">
      <c r="A613" t="s">
        <v>2814</v>
      </c>
      <c r="B613" t="s">
        <v>2907</v>
      </c>
      <c r="C613">
        <v>14123063</v>
      </c>
      <c r="D613" t="s">
        <v>473</v>
      </c>
      <c r="E613" s="134">
        <v>445.8</v>
      </c>
      <c r="F613" t="s">
        <v>2816</v>
      </c>
    </row>
    <row r="614" spans="1:6" x14ac:dyDescent="0.2">
      <c r="A614" t="s">
        <v>2814</v>
      </c>
      <c r="B614" t="s">
        <v>2907</v>
      </c>
      <c r="C614">
        <v>14123066</v>
      </c>
      <c r="D614" t="s">
        <v>474</v>
      </c>
      <c r="E614" s="134">
        <v>268.36</v>
      </c>
      <c r="F614" t="s">
        <v>2816</v>
      </c>
    </row>
    <row r="615" spans="1:6" x14ac:dyDescent="0.2">
      <c r="A615" t="s">
        <v>2814</v>
      </c>
      <c r="B615" t="s">
        <v>2907</v>
      </c>
      <c r="C615">
        <v>14123080</v>
      </c>
      <c r="D615" t="s">
        <v>475</v>
      </c>
      <c r="E615" s="134">
        <v>268.36</v>
      </c>
      <c r="F615" t="s">
        <v>2816</v>
      </c>
    </row>
    <row r="616" spans="1:6" x14ac:dyDescent="0.2">
      <c r="A616" t="s">
        <v>2814</v>
      </c>
      <c r="B616" t="s">
        <v>2907</v>
      </c>
      <c r="C616">
        <v>14123081</v>
      </c>
      <c r="D616" t="s">
        <v>476</v>
      </c>
      <c r="E616" s="134">
        <v>468.36</v>
      </c>
      <c r="F616" t="s">
        <v>2816</v>
      </c>
    </row>
    <row r="617" spans="1:6" x14ac:dyDescent="0.2">
      <c r="A617" t="s">
        <v>2814</v>
      </c>
      <c r="B617" t="s">
        <v>2907</v>
      </c>
      <c r="C617">
        <v>14123083</v>
      </c>
      <c r="D617" t="s">
        <v>478</v>
      </c>
      <c r="E617" s="134">
        <v>645.79999999999995</v>
      </c>
      <c r="F617" t="s">
        <v>2816</v>
      </c>
    </row>
    <row r="618" spans="1:6" x14ac:dyDescent="0.2">
      <c r="A618" t="s">
        <v>2814</v>
      </c>
      <c r="B618" t="s">
        <v>2907</v>
      </c>
      <c r="C618">
        <v>14123107</v>
      </c>
      <c r="D618" t="s">
        <v>480</v>
      </c>
      <c r="E618" s="134">
        <v>445.8</v>
      </c>
      <c r="F618" t="s">
        <v>2816</v>
      </c>
    </row>
    <row r="619" spans="1:6" x14ac:dyDescent="0.2">
      <c r="A619" t="s">
        <v>2814</v>
      </c>
      <c r="B619" t="s">
        <v>2907</v>
      </c>
      <c r="C619">
        <v>14123228</v>
      </c>
      <c r="D619" t="s">
        <v>486</v>
      </c>
      <c r="E619" s="134">
        <v>268.36</v>
      </c>
      <c r="F619" t="s">
        <v>2816</v>
      </c>
    </row>
    <row r="620" spans="1:6" x14ac:dyDescent="0.2">
      <c r="A620" t="s">
        <v>2814</v>
      </c>
      <c r="B620" t="s">
        <v>2907</v>
      </c>
      <c r="C620">
        <v>14123238</v>
      </c>
      <c r="D620" t="s">
        <v>487</v>
      </c>
      <c r="E620" s="134">
        <v>268.36</v>
      </c>
      <c r="F620" t="s">
        <v>2816</v>
      </c>
    </row>
    <row r="621" spans="1:6" x14ac:dyDescent="0.2">
      <c r="A621" t="s">
        <v>2814</v>
      </c>
      <c r="B621" t="s">
        <v>2907</v>
      </c>
      <c r="C621">
        <v>14123240</v>
      </c>
      <c r="D621" t="s">
        <v>488</v>
      </c>
      <c r="E621" s="134">
        <v>645.79999999999995</v>
      </c>
      <c r="F621" t="s">
        <v>2816</v>
      </c>
    </row>
    <row r="622" spans="1:6" x14ac:dyDescent="0.2">
      <c r="A622" t="s">
        <v>2814</v>
      </c>
      <c r="B622" t="s">
        <v>2907</v>
      </c>
      <c r="C622">
        <v>14123246</v>
      </c>
      <c r="D622" t="s">
        <v>489</v>
      </c>
      <c r="E622" s="134">
        <v>268.36</v>
      </c>
      <c r="F622" t="s">
        <v>2816</v>
      </c>
    </row>
    <row r="623" spans="1:6" x14ac:dyDescent="0.2">
      <c r="A623" t="s">
        <v>2814</v>
      </c>
      <c r="B623" t="s">
        <v>2907</v>
      </c>
      <c r="C623">
        <v>14123254</v>
      </c>
      <c r="D623" t="s">
        <v>490</v>
      </c>
      <c r="E623" s="134">
        <v>268.36</v>
      </c>
      <c r="F623" t="s">
        <v>2816</v>
      </c>
    </row>
    <row r="624" spans="1:6" x14ac:dyDescent="0.2">
      <c r="A624" t="s">
        <v>2814</v>
      </c>
      <c r="B624" t="s">
        <v>2907</v>
      </c>
      <c r="C624">
        <v>14123273</v>
      </c>
      <c r="D624" t="s">
        <v>491</v>
      </c>
      <c r="E624" s="134">
        <v>268.36</v>
      </c>
      <c r="F624" t="s">
        <v>2816</v>
      </c>
    </row>
    <row r="625" spans="1:6" x14ac:dyDescent="0.2">
      <c r="A625" t="s">
        <v>2814</v>
      </c>
      <c r="B625" t="s">
        <v>2907</v>
      </c>
      <c r="C625">
        <v>14123274</v>
      </c>
      <c r="D625" t="s">
        <v>492</v>
      </c>
      <c r="E625" s="134">
        <v>645.79999999999995</v>
      </c>
      <c r="F625" t="s">
        <v>2816</v>
      </c>
    </row>
    <row r="626" spans="1:6" x14ac:dyDescent="0.2">
      <c r="A626" t="s">
        <v>2814</v>
      </c>
      <c r="B626" t="s">
        <v>2907</v>
      </c>
      <c r="C626">
        <v>14123275</v>
      </c>
      <c r="D626" t="s">
        <v>493</v>
      </c>
      <c r="E626" s="134">
        <v>268.36</v>
      </c>
      <c r="F626" t="s">
        <v>2816</v>
      </c>
    </row>
    <row r="627" spans="1:6" x14ac:dyDescent="0.2">
      <c r="A627" t="s">
        <v>2814</v>
      </c>
      <c r="B627" t="s">
        <v>2907</v>
      </c>
      <c r="C627">
        <v>14123276</v>
      </c>
      <c r="D627" t="s">
        <v>494</v>
      </c>
      <c r="E627" s="134">
        <v>268.36</v>
      </c>
      <c r="F627" t="s">
        <v>2816</v>
      </c>
    </row>
    <row r="628" spans="1:6" x14ac:dyDescent="0.2">
      <c r="A628" t="s">
        <v>2814</v>
      </c>
      <c r="B628" t="s">
        <v>2907</v>
      </c>
      <c r="C628">
        <v>14123277</v>
      </c>
      <c r="D628" t="s">
        <v>495</v>
      </c>
      <c r="E628" s="134">
        <v>445.8</v>
      </c>
      <c r="F628" t="s">
        <v>2816</v>
      </c>
    </row>
    <row r="629" spans="1:6" x14ac:dyDescent="0.2">
      <c r="A629" t="s">
        <v>2814</v>
      </c>
      <c r="B629" t="s">
        <v>2907</v>
      </c>
      <c r="C629">
        <v>14123312</v>
      </c>
      <c r="D629" t="s">
        <v>496</v>
      </c>
      <c r="E629" s="134">
        <v>268.36</v>
      </c>
      <c r="F629" t="s">
        <v>2816</v>
      </c>
    </row>
    <row r="630" spans="1:6" x14ac:dyDescent="0.2">
      <c r="A630" t="s">
        <v>2814</v>
      </c>
      <c r="B630" t="s">
        <v>2907</v>
      </c>
      <c r="C630">
        <v>14123313</v>
      </c>
      <c r="D630" t="s">
        <v>497</v>
      </c>
      <c r="E630" s="134">
        <v>645.79999999999995</v>
      </c>
      <c r="F630" t="s">
        <v>2816</v>
      </c>
    </row>
    <row r="631" spans="1:6" x14ac:dyDescent="0.2">
      <c r="A631" t="s">
        <v>2814</v>
      </c>
      <c r="B631" t="s">
        <v>2907</v>
      </c>
      <c r="C631">
        <v>14123331</v>
      </c>
      <c r="D631" t="s">
        <v>500</v>
      </c>
      <c r="E631" s="134">
        <v>268.36</v>
      </c>
      <c r="F631" t="s">
        <v>2816</v>
      </c>
    </row>
    <row r="632" spans="1:6" x14ac:dyDescent="0.2">
      <c r="A632" t="s">
        <v>2814</v>
      </c>
      <c r="B632" t="s">
        <v>2907</v>
      </c>
      <c r="C632">
        <v>14123334</v>
      </c>
      <c r="D632" t="s">
        <v>502</v>
      </c>
      <c r="E632" s="134">
        <v>268.36</v>
      </c>
      <c r="F632" t="s">
        <v>2816</v>
      </c>
    </row>
    <row r="633" spans="1:6" x14ac:dyDescent="0.2">
      <c r="A633" t="s">
        <v>2814</v>
      </c>
      <c r="B633" t="s">
        <v>2907</v>
      </c>
      <c r="C633">
        <v>14123336</v>
      </c>
      <c r="D633" t="s">
        <v>503</v>
      </c>
      <c r="E633" s="134">
        <v>268.36</v>
      </c>
      <c r="F633" t="s">
        <v>2816</v>
      </c>
    </row>
    <row r="634" spans="1:6" x14ac:dyDescent="0.2">
      <c r="A634" t="s">
        <v>2814</v>
      </c>
      <c r="B634" t="s">
        <v>2907</v>
      </c>
      <c r="C634">
        <v>14123375</v>
      </c>
      <c r="D634" t="s">
        <v>504</v>
      </c>
      <c r="E634" s="134">
        <v>268.36</v>
      </c>
      <c r="F634" t="s">
        <v>2816</v>
      </c>
    </row>
    <row r="635" spans="1:6" x14ac:dyDescent="0.2">
      <c r="A635" t="s">
        <v>2814</v>
      </c>
      <c r="B635" t="s">
        <v>2907</v>
      </c>
      <c r="C635">
        <v>14123377</v>
      </c>
      <c r="D635" t="s">
        <v>505</v>
      </c>
      <c r="E635" s="134">
        <v>645.79999999999995</v>
      </c>
      <c r="F635" t="s">
        <v>2816</v>
      </c>
    </row>
    <row r="636" spans="1:6" x14ac:dyDescent="0.2">
      <c r="A636" t="s">
        <v>2814</v>
      </c>
      <c r="B636" t="s">
        <v>2907</v>
      </c>
      <c r="C636">
        <v>14123445</v>
      </c>
      <c r="D636" t="s">
        <v>506</v>
      </c>
      <c r="E636" s="134">
        <v>645.79999999999995</v>
      </c>
      <c r="F636" t="s">
        <v>2816</v>
      </c>
    </row>
    <row r="637" spans="1:6" x14ac:dyDescent="0.2">
      <c r="A637" t="s">
        <v>2814</v>
      </c>
      <c r="B637" t="s">
        <v>2907</v>
      </c>
      <c r="C637">
        <v>14123446</v>
      </c>
      <c r="D637" t="s">
        <v>507</v>
      </c>
      <c r="E637" s="134">
        <v>268.36</v>
      </c>
      <c r="F637" t="s">
        <v>2816</v>
      </c>
    </row>
    <row r="638" spans="1:6" x14ac:dyDescent="0.2">
      <c r="A638" t="s">
        <v>2814</v>
      </c>
      <c r="B638" t="s">
        <v>2907</v>
      </c>
      <c r="C638">
        <v>14123447</v>
      </c>
      <c r="D638" t="s">
        <v>508</v>
      </c>
      <c r="E638" s="134">
        <v>645.79999999999995</v>
      </c>
      <c r="F638" t="s">
        <v>2816</v>
      </c>
    </row>
    <row r="639" spans="1:6" x14ac:dyDescent="0.2">
      <c r="A639" t="s">
        <v>2814</v>
      </c>
      <c r="B639" t="s">
        <v>2907</v>
      </c>
      <c r="C639">
        <v>14123459</v>
      </c>
      <c r="D639" t="s">
        <v>509</v>
      </c>
      <c r="E639" s="134">
        <v>268.36</v>
      </c>
      <c r="F639" t="s">
        <v>2816</v>
      </c>
    </row>
    <row r="640" spans="1:6" x14ac:dyDescent="0.2">
      <c r="A640" t="s">
        <v>2814</v>
      </c>
      <c r="B640" t="s">
        <v>2907</v>
      </c>
      <c r="C640">
        <v>14123460</v>
      </c>
      <c r="D640" t="s">
        <v>510</v>
      </c>
      <c r="E640" s="134">
        <v>134.18</v>
      </c>
      <c r="F640" t="s">
        <v>2816</v>
      </c>
    </row>
    <row r="641" spans="1:6" x14ac:dyDescent="0.2">
      <c r="A641" t="s">
        <v>2814</v>
      </c>
      <c r="B641" t="s">
        <v>2907</v>
      </c>
      <c r="C641">
        <v>14123461</v>
      </c>
      <c r="D641" t="s">
        <v>511</v>
      </c>
      <c r="E641" s="134">
        <v>645.79999999999995</v>
      </c>
      <c r="F641" t="s">
        <v>2816</v>
      </c>
    </row>
    <row r="642" spans="1:6" x14ac:dyDescent="0.2">
      <c r="A642" t="s">
        <v>2814</v>
      </c>
      <c r="B642" t="s">
        <v>2907</v>
      </c>
      <c r="C642">
        <v>14123462</v>
      </c>
      <c r="D642" t="s">
        <v>517</v>
      </c>
      <c r="E642" s="134">
        <v>268.36</v>
      </c>
      <c r="F642" t="s">
        <v>2816</v>
      </c>
    </row>
    <row r="643" spans="1:6" x14ac:dyDescent="0.2">
      <c r="A643" t="s">
        <v>2814</v>
      </c>
      <c r="B643" t="s">
        <v>2907</v>
      </c>
      <c r="C643">
        <v>14123463</v>
      </c>
      <c r="D643" t="s">
        <v>512</v>
      </c>
      <c r="E643" s="134">
        <v>268.36</v>
      </c>
      <c r="F643" t="s">
        <v>2816</v>
      </c>
    </row>
    <row r="644" spans="1:6" x14ac:dyDescent="0.2">
      <c r="A644" t="s">
        <v>2814</v>
      </c>
      <c r="B644" t="s">
        <v>2907</v>
      </c>
      <c r="C644">
        <v>14123471</v>
      </c>
      <c r="D644" t="s">
        <v>513</v>
      </c>
      <c r="E644" s="134">
        <v>268.36</v>
      </c>
      <c r="F644" t="s">
        <v>2816</v>
      </c>
    </row>
    <row r="645" spans="1:6" x14ac:dyDescent="0.2">
      <c r="A645" t="s">
        <v>2814</v>
      </c>
      <c r="B645" t="s">
        <v>2907</v>
      </c>
      <c r="C645">
        <v>14123473</v>
      </c>
      <c r="D645" t="s">
        <v>514</v>
      </c>
      <c r="E645" s="134">
        <v>268.36</v>
      </c>
      <c r="F645" t="s">
        <v>2816</v>
      </c>
    </row>
    <row r="646" spans="1:6" x14ac:dyDescent="0.2">
      <c r="A646" t="s">
        <v>2814</v>
      </c>
      <c r="B646" t="s">
        <v>2907</v>
      </c>
      <c r="C646">
        <v>14123489</v>
      </c>
      <c r="D646" t="s">
        <v>516</v>
      </c>
      <c r="E646" s="134">
        <v>1559.6</v>
      </c>
      <c r="F646" t="s">
        <v>2816</v>
      </c>
    </row>
    <row r="647" spans="1:6" x14ac:dyDescent="0.2">
      <c r="A647" t="s">
        <v>2814</v>
      </c>
      <c r="B647" t="s">
        <v>2907</v>
      </c>
      <c r="C647">
        <v>14123514</v>
      </c>
      <c r="D647" t="s">
        <v>519</v>
      </c>
      <c r="E647" s="134">
        <v>645.79999999999995</v>
      </c>
      <c r="F647" t="s">
        <v>2816</v>
      </c>
    </row>
    <row r="648" spans="1:6" x14ac:dyDescent="0.2">
      <c r="A648" t="s">
        <v>2814</v>
      </c>
      <c r="B648" t="s">
        <v>2907</v>
      </c>
      <c r="C648">
        <v>14123516</v>
      </c>
      <c r="D648" t="s">
        <v>520</v>
      </c>
      <c r="E648" s="134">
        <v>645.79999999999995</v>
      </c>
      <c r="F648" t="s">
        <v>2816</v>
      </c>
    </row>
    <row r="649" spans="1:6" x14ac:dyDescent="0.2">
      <c r="A649" t="s">
        <v>2814</v>
      </c>
      <c r="B649" t="s">
        <v>2907</v>
      </c>
      <c r="C649">
        <v>14123519</v>
      </c>
      <c r="D649" t="s">
        <v>521</v>
      </c>
      <c r="E649" s="134">
        <v>268.36</v>
      </c>
      <c r="F649" t="s">
        <v>2816</v>
      </c>
    </row>
    <row r="650" spans="1:6" x14ac:dyDescent="0.2">
      <c r="A650" t="s">
        <v>2814</v>
      </c>
      <c r="B650" t="s">
        <v>2907</v>
      </c>
      <c r="C650">
        <v>14123522</v>
      </c>
      <c r="D650" t="s">
        <v>522</v>
      </c>
      <c r="E650" s="134">
        <v>445.8</v>
      </c>
      <c r="F650" t="s">
        <v>2816</v>
      </c>
    </row>
    <row r="651" spans="1:6" x14ac:dyDescent="0.2">
      <c r="A651" t="s">
        <v>2814</v>
      </c>
      <c r="B651" t="s">
        <v>2907</v>
      </c>
      <c r="C651">
        <v>14123523</v>
      </c>
      <c r="D651" t="s">
        <v>523</v>
      </c>
      <c r="E651" s="134">
        <v>645.79999999999995</v>
      </c>
      <c r="F651" t="s">
        <v>2816</v>
      </c>
    </row>
    <row r="652" spans="1:6" x14ac:dyDescent="0.2">
      <c r="A652" t="s">
        <v>2814</v>
      </c>
      <c r="B652" t="s">
        <v>2907</v>
      </c>
      <c r="C652">
        <v>14123526</v>
      </c>
      <c r="D652" t="s">
        <v>524</v>
      </c>
      <c r="E652" s="134">
        <v>645.79999999999995</v>
      </c>
      <c r="F652" t="s">
        <v>2816</v>
      </c>
    </row>
    <row r="653" spans="1:6" x14ac:dyDescent="0.2">
      <c r="A653" t="s">
        <v>2814</v>
      </c>
      <c r="B653" t="s">
        <v>2907</v>
      </c>
      <c r="C653">
        <v>14123527</v>
      </c>
      <c r="D653" t="s">
        <v>525</v>
      </c>
      <c r="E653" s="134">
        <v>268.36</v>
      </c>
      <c r="F653" t="s">
        <v>2816</v>
      </c>
    </row>
    <row r="654" spans="1:6" x14ac:dyDescent="0.2">
      <c r="A654" t="s">
        <v>2814</v>
      </c>
      <c r="B654" t="s">
        <v>2907</v>
      </c>
      <c r="C654">
        <v>14123528</v>
      </c>
      <c r="D654" t="s">
        <v>526</v>
      </c>
      <c r="E654" s="134">
        <v>268.36</v>
      </c>
      <c r="F654" t="s">
        <v>2816</v>
      </c>
    </row>
    <row r="655" spans="1:6" x14ac:dyDescent="0.2">
      <c r="A655" t="s">
        <v>2814</v>
      </c>
      <c r="B655" t="s">
        <v>2907</v>
      </c>
      <c r="C655">
        <v>14123530</v>
      </c>
      <c r="D655" t="s">
        <v>527</v>
      </c>
      <c r="E655" s="134">
        <v>268.36</v>
      </c>
      <c r="F655" t="s">
        <v>2816</v>
      </c>
    </row>
    <row r="656" spans="1:6" x14ac:dyDescent="0.2">
      <c r="A656" t="s">
        <v>2814</v>
      </c>
      <c r="B656" t="s">
        <v>2907</v>
      </c>
      <c r="C656">
        <v>14123536</v>
      </c>
      <c r="D656" t="s">
        <v>528</v>
      </c>
      <c r="E656" s="134">
        <v>268.36</v>
      </c>
      <c r="F656" t="s">
        <v>2816</v>
      </c>
    </row>
    <row r="657" spans="1:6" x14ac:dyDescent="0.2">
      <c r="A657" t="s">
        <v>2814</v>
      </c>
      <c r="B657" t="s">
        <v>2907</v>
      </c>
      <c r="C657">
        <v>14123541</v>
      </c>
      <c r="D657" t="s">
        <v>529</v>
      </c>
      <c r="E657" s="134">
        <v>645.79999999999995</v>
      </c>
      <c r="F657" t="s">
        <v>2816</v>
      </c>
    </row>
    <row r="658" spans="1:6" x14ac:dyDescent="0.2">
      <c r="A658" t="s">
        <v>2814</v>
      </c>
      <c r="B658" t="s">
        <v>2907</v>
      </c>
      <c r="C658">
        <v>14123557</v>
      </c>
      <c r="D658" t="s">
        <v>530</v>
      </c>
      <c r="E658" s="134">
        <v>445.8</v>
      </c>
      <c r="F658" t="s">
        <v>2816</v>
      </c>
    </row>
    <row r="659" spans="1:6" x14ac:dyDescent="0.2">
      <c r="A659" t="s">
        <v>2814</v>
      </c>
      <c r="B659" t="s">
        <v>2907</v>
      </c>
      <c r="C659">
        <v>14123559</v>
      </c>
      <c r="D659" t="s">
        <v>531</v>
      </c>
      <c r="E659" s="134">
        <v>268.36</v>
      </c>
      <c r="F659" t="s">
        <v>2816</v>
      </c>
    </row>
    <row r="660" spans="1:6" x14ac:dyDescent="0.2">
      <c r="A660" t="s">
        <v>2814</v>
      </c>
      <c r="B660" t="s">
        <v>2907</v>
      </c>
      <c r="C660">
        <v>14123562</v>
      </c>
      <c r="D660" t="s">
        <v>532</v>
      </c>
      <c r="E660" s="134">
        <v>645.79999999999995</v>
      </c>
      <c r="F660" t="s">
        <v>2816</v>
      </c>
    </row>
    <row r="661" spans="1:6" x14ac:dyDescent="0.2">
      <c r="A661" t="s">
        <v>2814</v>
      </c>
      <c r="B661" t="s">
        <v>2907</v>
      </c>
      <c r="C661">
        <v>14123568</v>
      </c>
      <c r="D661" t="s">
        <v>533</v>
      </c>
      <c r="E661" s="134">
        <v>268.36</v>
      </c>
      <c r="F661" t="s">
        <v>2816</v>
      </c>
    </row>
    <row r="662" spans="1:6" x14ac:dyDescent="0.2">
      <c r="A662" t="s">
        <v>2814</v>
      </c>
      <c r="B662" t="s">
        <v>2907</v>
      </c>
      <c r="C662">
        <v>14123569</v>
      </c>
      <c r="D662" t="s">
        <v>534</v>
      </c>
      <c r="E662" s="134">
        <v>645.79999999999995</v>
      </c>
      <c r="F662" t="s">
        <v>2816</v>
      </c>
    </row>
    <row r="663" spans="1:6" x14ac:dyDescent="0.2">
      <c r="A663" t="s">
        <v>2814</v>
      </c>
      <c r="B663" t="s">
        <v>2907</v>
      </c>
      <c r="C663">
        <v>14123570</v>
      </c>
      <c r="D663" t="s">
        <v>535</v>
      </c>
      <c r="E663" s="134">
        <v>645.79999999999995</v>
      </c>
      <c r="F663" t="s">
        <v>2816</v>
      </c>
    </row>
    <row r="664" spans="1:6" x14ac:dyDescent="0.2">
      <c r="A664" t="s">
        <v>2814</v>
      </c>
      <c r="B664" t="s">
        <v>2907</v>
      </c>
      <c r="C664">
        <v>14123571</v>
      </c>
      <c r="D664" t="s">
        <v>536</v>
      </c>
      <c r="E664" s="134">
        <v>268.36</v>
      </c>
      <c r="F664" t="s">
        <v>2816</v>
      </c>
    </row>
    <row r="665" spans="1:6" x14ac:dyDescent="0.2">
      <c r="A665" t="s">
        <v>2814</v>
      </c>
      <c r="B665" t="s">
        <v>2907</v>
      </c>
      <c r="C665">
        <v>14123573</v>
      </c>
      <c r="D665" t="s">
        <v>538</v>
      </c>
      <c r="E665" s="134">
        <v>268.36</v>
      </c>
      <c r="F665" t="s">
        <v>2816</v>
      </c>
    </row>
    <row r="666" spans="1:6" x14ac:dyDescent="0.2">
      <c r="A666" t="s">
        <v>2814</v>
      </c>
      <c r="B666" t="s">
        <v>2907</v>
      </c>
      <c r="C666">
        <v>14123591</v>
      </c>
      <c r="D666" t="s">
        <v>539</v>
      </c>
      <c r="E666" s="134">
        <v>645.79999999999995</v>
      </c>
      <c r="F666" t="s">
        <v>2816</v>
      </c>
    </row>
    <row r="667" spans="1:6" x14ac:dyDescent="0.2">
      <c r="A667" t="s">
        <v>2814</v>
      </c>
      <c r="B667" t="s">
        <v>2907</v>
      </c>
      <c r="C667">
        <v>14123629</v>
      </c>
      <c r="D667" t="s">
        <v>541</v>
      </c>
      <c r="E667" s="134">
        <v>134.18</v>
      </c>
      <c r="F667" t="s">
        <v>2816</v>
      </c>
    </row>
    <row r="668" spans="1:6" x14ac:dyDescent="0.2">
      <c r="A668" t="s">
        <v>2814</v>
      </c>
      <c r="B668" t="s">
        <v>2907</v>
      </c>
      <c r="C668">
        <v>14123634</v>
      </c>
      <c r="D668" t="s">
        <v>897</v>
      </c>
      <c r="E668" s="134">
        <v>445.8</v>
      </c>
      <c r="F668" t="s">
        <v>2816</v>
      </c>
    </row>
    <row r="669" spans="1:6" x14ac:dyDescent="0.2">
      <c r="A669" t="s">
        <v>2814</v>
      </c>
      <c r="B669" t="s">
        <v>2907</v>
      </c>
      <c r="C669">
        <v>14123635</v>
      </c>
      <c r="D669" t="s">
        <v>899</v>
      </c>
      <c r="E669" s="134">
        <v>268.36</v>
      </c>
      <c r="F669" t="s">
        <v>2816</v>
      </c>
    </row>
    <row r="670" spans="1:6" x14ac:dyDescent="0.2">
      <c r="A670" t="s">
        <v>2814</v>
      </c>
      <c r="B670" t="s">
        <v>2907</v>
      </c>
      <c r="C670">
        <v>14123640</v>
      </c>
      <c r="D670" t="s">
        <v>900</v>
      </c>
      <c r="E670" s="134">
        <v>645.79999999999995</v>
      </c>
      <c r="F670" t="s">
        <v>2816</v>
      </c>
    </row>
    <row r="671" spans="1:6" x14ac:dyDescent="0.2">
      <c r="A671" t="s">
        <v>2814</v>
      </c>
      <c r="B671" t="s">
        <v>2907</v>
      </c>
      <c r="C671">
        <v>14123642</v>
      </c>
      <c r="D671" t="s">
        <v>901</v>
      </c>
      <c r="E671" s="134">
        <v>445.8</v>
      </c>
      <c r="F671" t="s">
        <v>2816</v>
      </c>
    </row>
    <row r="672" spans="1:6" x14ac:dyDescent="0.2">
      <c r="A672" t="s">
        <v>2814</v>
      </c>
      <c r="B672" t="s">
        <v>2907</v>
      </c>
      <c r="C672">
        <v>14123649</v>
      </c>
      <c r="D672" t="s">
        <v>902</v>
      </c>
      <c r="E672" s="134">
        <v>268.36</v>
      </c>
      <c r="F672" t="s">
        <v>2816</v>
      </c>
    </row>
    <row r="673" spans="1:6" x14ac:dyDescent="0.2">
      <c r="A673" t="s">
        <v>2814</v>
      </c>
      <c r="B673" t="s">
        <v>2907</v>
      </c>
      <c r="C673">
        <v>14123651</v>
      </c>
      <c r="D673" t="s">
        <v>904</v>
      </c>
      <c r="E673" s="134">
        <v>268.36</v>
      </c>
      <c r="F673" t="s">
        <v>2816</v>
      </c>
    </row>
    <row r="674" spans="1:6" x14ac:dyDescent="0.2">
      <c r="A674" t="s">
        <v>2814</v>
      </c>
      <c r="B674" t="s">
        <v>2907</v>
      </c>
      <c r="C674">
        <v>14123652</v>
      </c>
      <c r="D674" t="s">
        <v>905</v>
      </c>
      <c r="E674" s="134">
        <v>645.79999999999995</v>
      </c>
      <c r="F674" t="s">
        <v>2816</v>
      </c>
    </row>
    <row r="675" spans="1:6" x14ac:dyDescent="0.2">
      <c r="A675" t="s">
        <v>2814</v>
      </c>
      <c r="B675" t="s">
        <v>2907</v>
      </c>
      <c r="C675">
        <v>14123654</v>
      </c>
      <c r="D675" t="s">
        <v>934</v>
      </c>
      <c r="E675" s="134">
        <v>268.36</v>
      </c>
      <c r="F675" t="s">
        <v>2816</v>
      </c>
    </row>
    <row r="676" spans="1:6" x14ac:dyDescent="0.2">
      <c r="A676" t="s">
        <v>2814</v>
      </c>
      <c r="B676" t="s">
        <v>2907</v>
      </c>
      <c r="C676">
        <v>14123656</v>
      </c>
      <c r="D676" t="s">
        <v>936</v>
      </c>
      <c r="E676" s="134">
        <v>645.79999999999995</v>
      </c>
      <c r="F676" t="s">
        <v>2816</v>
      </c>
    </row>
    <row r="677" spans="1:6" x14ac:dyDescent="0.2">
      <c r="A677" t="s">
        <v>2814</v>
      </c>
      <c r="B677" t="s">
        <v>2907</v>
      </c>
      <c r="C677">
        <v>14123657</v>
      </c>
      <c r="D677" t="s">
        <v>937</v>
      </c>
      <c r="E677" s="134">
        <v>645.79999999999995</v>
      </c>
      <c r="F677" t="s">
        <v>2816</v>
      </c>
    </row>
    <row r="678" spans="1:6" x14ac:dyDescent="0.2">
      <c r="A678" t="s">
        <v>2814</v>
      </c>
      <c r="B678" t="s">
        <v>2907</v>
      </c>
      <c r="C678">
        <v>14123696</v>
      </c>
      <c r="D678" t="s">
        <v>938</v>
      </c>
      <c r="E678" s="134">
        <v>1737.4</v>
      </c>
      <c r="F678" t="s">
        <v>2816</v>
      </c>
    </row>
    <row r="679" spans="1:6" x14ac:dyDescent="0.2">
      <c r="A679" t="s">
        <v>2814</v>
      </c>
      <c r="B679" t="s">
        <v>2907</v>
      </c>
      <c r="C679">
        <v>14123702</v>
      </c>
      <c r="D679" t="s">
        <v>940</v>
      </c>
      <c r="E679" s="134">
        <v>645.79999999999995</v>
      </c>
      <c r="F679" t="s">
        <v>2816</v>
      </c>
    </row>
    <row r="680" spans="1:6" x14ac:dyDescent="0.2">
      <c r="A680" t="s">
        <v>2814</v>
      </c>
      <c r="B680" t="s">
        <v>2907</v>
      </c>
      <c r="C680">
        <v>14123704</v>
      </c>
      <c r="D680" t="s">
        <v>942</v>
      </c>
      <c r="E680" s="134">
        <v>445.8</v>
      </c>
      <c r="F680" t="s">
        <v>2816</v>
      </c>
    </row>
    <row r="681" spans="1:6" x14ac:dyDescent="0.2">
      <c r="A681" t="s">
        <v>2814</v>
      </c>
      <c r="B681" t="s">
        <v>2907</v>
      </c>
      <c r="C681">
        <v>14123708</v>
      </c>
      <c r="D681" t="s">
        <v>945</v>
      </c>
      <c r="E681" s="134">
        <v>268.36</v>
      </c>
      <c r="F681" t="s">
        <v>2816</v>
      </c>
    </row>
    <row r="682" spans="1:6" x14ac:dyDescent="0.2">
      <c r="A682" t="s">
        <v>2814</v>
      </c>
      <c r="B682" t="s">
        <v>2907</v>
      </c>
      <c r="C682">
        <v>14123709</v>
      </c>
      <c r="D682" t="s">
        <v>946</v>
      </c>
      <c r="E682" s="134">
        <v>268.36</v>
      </c>
      <c r="F682" t="s">
        <v>2816</v>
      </c>
    </row>
    <row r="683" spans="1:6" x14ac:dyDescent="0.2">
      <c r="A683" t="s">
        <v>2814</v>
      </c>
      <c r="B683" t="s">
        <v>2907</v>
      </c>
      <c r="C683">
        <v>14123719</v>
      </c>
      <c r="D683" t="s">
        <v>953</v>
      </c>
      <c r="E683" s="134">
        <v>268.36</v>
      </c>
      <c r="F683" t="s">
        <v>2816</v>
      </c>
    </row>
    <row r="684" spans="1:6" x14ac:dyDescent="0.2">
      <c r="A684" t="s">
        <v>2814</v>
      </c>
      <c r="B684" t="s">
        <v>2907</v>
      </c>
      <c r="C684">
        <v>14123720</v>
      </c>
      <c r="D684" t="s">
        <v>955</v>
      </c>
      <c r="E684" s="134">
        <v>645.79999999999995</v>
      </c>
      <c r="F684" t="s">
        <v>2816</v>
      </c>
    </row>
    <row r="685" spans="1:6" x14ac:dyDescent="0.2">
      <c r="A685" t="s">
        <v>2814</v>
      </c>
      <c r="B685" t="s">
        <v>2907</v>
      </c>
      <c r="C685">
        <v>14123725</v>
      </c>
      <c r="D685" t="s">
        <v>956</v>
      </c>
      <c r="E685" s="134">
        <v>268.36</v>
      </c>
      <c r="F685" t="s">
        <v>2816</v>
      </c>
    </row>
    <row r="686" spans="1:6" x14ac:dyDescent="0.2">
      <c r="A686" t="s">
        <v>2814</v>
      </c>
      <c r="B686" t="s">
        <v>2907</v>
      </c>
      <c r="C686">
        <v>14123754</v>
      </c>
      <c r="D686" t="s">
        <v>957</v>
      </c>
      <c r="E686" s="134">
        <v>468.36</v>
      </c>
      <c r="F686" t="s">
        <v>2816</v>
      </c>
    </row>
    <row r="687" spans="1:6" x14ac:dyDescent="0.2">
      <c r="A687" t="s">
        <v>2814</v>
      </c>
      <c r="B687" t="s">
        <v>2907</v>
      </c>
      <c r="C687">
        <v>14123770</v>
      </c>
      <c r="D687" t="s">
        <v>959</v>
      </c>
      <c r="E687" s="134">
        <v>645.79999999999995</v>
      </c>
      <c r="F687" t="s">
        <v>2816</v>
      </c>
    </row>
    <row r="688" spans="1:6" x14ac:dyDescent="0.2">
      <c r="A688" t="s">
        <v>2814</v>
      </c>
      <c r="B688" t="s">
        <v>2907</v>
      </c>
      <c r="C688">
        <v>14123771</v>
      </c>
      <c r="D688" t="s">
        <v>960</v>
      </c>
      <c r="E688" s="134">
        <v>645.79999999999995</v>
      </c>
      <c r="F688" t="s">
        <v>2816</v>
      </c>
    </row>
    <row r="689" spans="1:6" x14ac:dyDescent="0.2">
      <c r="A689" t="s">
        <v>2814</v>
      </c>
      <c r="B689" t="s">
        <v>2907</v>
      </c>
      <c r="C689">
        <v>14123786</v>
      </c>
      <c r="D689" t="s">
        <v>961</v>
      </c>
      <c r="E689" s="134">
        <v>445.8</v>
      </c>
      <c r="F689" t="s">
        <v>2816</v>
      </c>
    </row>
    <row r="690" spans="1:6" x14ac:dyDescent="0.2">
      <c r="A690" t="s">
        <v>2814</v>
      </c>
      <c r="B690" t="s">
        <v>2907</v>
      </c>
      <c r="C690">
        <v>14123789</v>
      </c>
      <c r="D690" t="s">
        <v>964</v>
      </c>
      <c r="E690" s="134">
        <v>268.36</v>
      </c>
      <c r="F690" t="s">
        <v>2816</v>
      </c>
    </row>
    <row r="691" spans="1:6" x14ac:dyDescent="0.2">
      <c r="A691" t="s">
        <v>2814</v>
      </c>
      <c r="B691" t="s">
        <v>2907</v>
      </c>
      <c r="C691">
        <v>14123808</v>
      </c>
      <c r="D691" t="s">
        <v>965</v>
      </c>
      <c r="E691" s="134">
        <v>645.79999999999995</v>
      </c>
      <c r="F691" t="s">
        <v>2816</v>
      </c>
    </row>
    <row r="692" spans="1:6" x14ac:dyDescent="0.2">
      <c r="A692" t="s">
        <v>2814</v>
      </c>
      <c r="B692" t="s">
        <v>2907</v>
      </c>
      <c r="C692">
        <v>14123819</v>
      </c>
      <c r="D692" t="s">
        <v>967</v>
      </c>
      <c r="E692" s="134">
        <v>511.62</v>
      </c>
      <c r="F692" t="s">
        <v>2816</v>
      </c>
    </row>
    <row r="693" spans="1:6" x14ac:dyDescent="0.2">
      <c r="A693" t="s">
        <v>2814</v>
      </c>
      <c r="B693" t="s">
        <v>2907</v>
      </c>
      <c r="C693">
        <v>14123843</v>
      </c>
      <c r="D693" t="s">
        <v>970</v>
      </c>
      <c r="E693" s="134">
        <v>468.36</v>
      </c>
      <c r="F693" t="s">
        <v>2816</v>
      </c>
    </row>
    <row r="694" spans="1:6" x14ac:dyDescent="0.2">
      <c r="A694" t="s">
        <v>2814</v>
      </c>
      <c r="B694" t="s">
        <v>2907</v>
      </c>
      <c r="C694">
        <v>14123845</v>
      </c>
      <c r="D694" t="s">
        <v>973</v>
      </c>
      <c r="E694" s="134">
        <v>268.36</v>
      </c>
      <c r="F694" t="s">
        <v>2816</v>
      </c>
    </row>
    <row r="695" spans="1:6" x14ac:dyDescent="0.2">
      <c r="A695" t="s">
        <v>2814</v>
      </c>
      <c r="B695" t="s">
        <v>2907</v>
      </c>
      <c r="C695">
        <v>14123846</v>
      </c>
      <c r="D695" t="s">
        <v>974</v>
      </c>
      <c r="E695" s="134">
        <v>645.79999999999995</v>
      </c>
      <c r="F695" t="s">
        <v>2816</v>
      </c>
    </row>
    <row r="696" spans="1:6" x14ac:dyDescent="0.2">
      <c r="A696" t="s">
        <v>2814</v>
      </c>
      <c r="B696" t="s">
        <v>2907</v>
      </c>
      <c r="C696">
        <v>14123855</v>
      </c>
      <c r="D696" t="s">
        <v>975</v>
      </c>
      <c r="E696" s="134">
        <v>645.79999999999995</v>
      </c>
      <c r="F696" t="s">
        <v>2816</v>
      </c>
    </row>
    <row r="697" spans="1:6" x14ac:dyDescent="0.2">
      <c r="A697" t="s">
        <v>2814</v>
      </c>
      <c r="B697" t="s">
        <v>2907</v>
      </c>
      <c r="C697">
        <v>14123884</v>
      </c>
      <c r="D697" t="s">
        <v>976</v>
      </c>
      <c r="E697" s="134">
        <v>645.79999999999995</v>
      </c>
      <c r="F697" t="s">
        <v>2816</v>
      </c>
    </row>
    <row r="698" spans="1:6" x14ac:dyDescent="0.2">
      <c r="A698" t="s">
        <v>2814</v>
      </c>
      <c r="B698" t="s">
        <v>2907</v>
      </c>
      <c r="C698">
        <v>14123885</v>
      </c>
      <c r="D698" t="s">
        <v>978</v>
      </c>
      <c r="E698" s="134">
        <v>645.79999999999995</v>
      </c>
      <c r="F698" t="s">
        <v>2816</v>
      </c>
    </row>
    <row r="699" spans="1:6" x14ac:dyDescent="0.2">
      <c r="A699" t="s">
        <v>2814</v>
      </c>
      <c r="B699" t="s">
        <v>2907</v>
      </c>
      <c r="C699">
        <v>14123893</v>
      </c>
      <c r="D699" t="s">
        <v>979</v>
      </c>
      <c r="E699" s="134">
        <v>268.36</v>
      </c>
      <c r="F699" t="s">
        <v>2816</v>
      </c>
    </row>
    <row r="700" spans="1:6" x14ac:dyDescent="0.2">
      <c r="A700" t="s">
        <v>2814</v>
      </c>
      <c r="B700" t="s">
        <v>2907</v>
      </c>
      <c r="C700">
        <v>14123894</v>
      </c>
      <c r="D700" t="s">
        <v>981</v>
      </c>
      <c r="E700" s="134">
        <v>268.36</v>
      </c>
      <c r="F700" t="s">
        <v>2816</v>
      </c>
    </row>
    <row r="701" spans="1:6" x14ac:dyDescent="0.2">
      <c r="A701" t="s">
        <v>2814</v>
      </c>
      <c r="B701" t="s">
        <v>2907</v>
      </c>
      <c r="C701">
        <v>14123917</v>
      </c>
      <c r="D701" t="s">
        <v>989</v>
      </c>
      <c r="E701" s="134">
        <v>645.79999999999995</v>
      </c>
      <c r="F701" t="s">
        <v>2816</v>
      </c>
    </row>
    <row r="702" spans="1:6" x14ac:dyDescent="0.2">
      <c r="A702" t="s">
        <v>2814</v>
      </c>
      <c r="B702" t="s">
        <v>2907</v>
      </c>
      <c r="C702">
        <v>14123919</v>
      </c>
      <c r="D702" t="s">
        <v>992</v>
      </c>
      <c r="E702" s="134">
        <v>468.36</v>
      </c>
      <c r="F702" t="s">
        <v>2816</v>
      </c>
    </row>
    <row r="703" spans="1:6" x14ac:dyDescent="0.2">
      <c r="A703" t="s">
        <v>2814</v>
      </c>
      <c r="B703" t="s">
        <v>2907</v>
      </c>
      <c r="C703">
        <v>14123920</v>
      </c>
      <c r="D703" t="s">
        <v>993</v>
      </c>
      <c r="E703" s="134">
        <v>268.36</v>
      </c>
      <c r="F703" t="s">
        <v>2816</v>
      </c>
    </row>
    <row r="704" spans="1:6" x14ac:dyDescent="0.2">
      <c r="A704" t="s">
        <v>2814</v>
      </c>
      <c r="B704" t="s">
        <v>2907</v>
      </c>
      <c r="C704">
        <v>14123925</v>
      </c>
      <c r="D704" t="s">
        <v>994</v>
      </c>
      <c r="E704" s="134">
        <v>268.36</v>
      </c>
      <c r="F704" t="s">
        <v>2816</v>
      </c>
    </row>
    <row r="705" spans="1:6" x14ac:dyDescent="0.2">
      <c r="A705" t="s">
        <v>2814</v>
      </c>
      <c r="B705" t="s">
        <v>2907</v>
      </c>
      <c r="C705">
        <v>14123926</v>
      </c>
      <c r="D705" t="s">
        <v>995</v>
      </c>
      <c r="E705" s="134">
        <v>268.36</v>
      </c>
      <c r="F705" t="s">
        <v>2816</v>
      </c>
    </row>
    <row r="706" spans="1:6" x14ac:dyDescent="0.2">
      <c r="A706" t="s">
        <v>2814</v>
      </c>
      <c r="B706" t="s">
        <v>2907</v>
      </c>
      <c r="C706">
        <v>14100751</v>
      </c>
      <c r="D706" t="s">
        <v>320</v>
      </c>
      <c r="E706" s="134">
        <v>645.79999999999995</v>
      </c>
      <c r="F706" t="s">
        <v>2816</v>
      </c>
    </row>
    <row r="707" spans="1:6" x14ac:dyDescent="0.2">
      <c r="A707" t="s">
        <v>2814</v>
      </c>
      <c r="B707" t="s">
        <v>2907</v>
      </c>
      <c r="C707">
        <v>14103936</v>
      </c>
      <c r="D707" t="s">
        <v>291</v>
      </c>
      <c r="E707" s="134">
        <v>268.36</v>
      </c>
      <c r="F707" t="s">
        <v>2816</v>
      </c>
    </row>
    <row r="708" spans="1:6" x14ac:dyDescent="0.2">
      <c r="A708" t="s">
        <v>2814</v>
      </c>
      <c r="B708" t="s">
        <v>2907</v>
      </c>
      <c r="C708">
        <v>14104853</v>
      </c>
      <c r="D708" t="s">
        <v>181</v>
      </c>
      <c r="E708" s="134">
        <v>468.36</v>
      </c>
      <c r="F708" t="s">
        <v>2816</v>
      </c>
    </row>
    <row r="709" spans="1:6" x14ac:dyDescent="0.2">
      <c r="A709" t="s">
        <v>2814</v>
      </c>
      <c r="B709" t="s">
        <v>2907</v>
      </c>
      <c r="C709">
        <v>14104957</v>
      </c>
      <c r="D709" t="s">
        <v>303</v>
      </c>
      <c r="E709" s="134">
        <v>645.79999999999995</v>
      </c>
      <c r="F709" t="s">
        <v>2816</v>
      </c>
    </row>
    <row r="710" spans="1:6" x14ac:dyDescent="0.2">
      <c r="A710" t="s">
        <v>2814</v>
      </c>
      <c r="B710" t="s">
        <v>2907</v>
      </c>
      <c r="C710">
        <v>14106066</v>
      </c>
      <c r="D710" t="s">
        <v>49</v>
      </c>
      <c r="E710" s="134">
        <v>645.79999999999995</v>
      </c>
      <c r="F710" t="s">
        <v>2816</v>
      </c>
    </row>
    <row r="711" spans="1:6" x14ac:dyDescent="0.2">
      <c r="A711" t="s">
        <v>2814</v>
      </c>
      <c r="B711" t="s">
        <v>2907</v>
      </c>
      <c r="C711">
        <v>14107271</v>
      </c>
      <c r="D711" t="s">
        <v>60</v>
      </c>
      <c r="E711" s="134">
        <v>268.36</v>
      </c>
      <c r="F711" t="s">
        <v>2816</v>
      </c>
    </row>
    <row r="712" spans="1:6" x14ac:dyDescent="0.2">
      <c r="A712" t="s">
        <v>2814</v>
      </c>
      <c r="B712" t="s">
        <v>2907</v>
      </c>
      <c r="C712">
        <v>14109738</v>
      </c>
      <c r="D712" t="s">
        <v>93</v>
      </c>
      <c r="E712" s="134">
        <v>468.36</v>
      </c>
      <c r="F712" t="s">
        <v>2816</v>
      </c>
    </row>
    <row r="713" spans="1:6" x14ac:dyDescent="0.2">
      <c r="A713" t="s">
        <v>2814</v>
      </c>
      <c r="B713" t="s">
        <v>2907</v>
      </c>
      <c r="C713">
        <v>14109748</v>
      </c>
      <c r="D713" t="s">
        <v>94</v>
      </c>
      <c r="E713" s="134">
        <v>268.36</v>
      </c>
      <c r="F713" t="s">
        <v>2816</v>
      </c>
    </row>
    <row r="714" spans="1:6" x14ac:dyDescent="0.2">
      <c r="A714" t="s">
        <v>2814</v>
      </c>
      <c r="B714" t="s">
        <v>2907</v>
      </c>
      <c r="C714">
        <v>14109802</v>
      </c>
      <c r="D714" t="s">
        <v>95</v>
      </c>
      <c r="E714" s="134">
        <v>914.16</v>
      </c>
      <c r="F714" t="s">
        <v>2816</v>
      </c>
    </row>
    <row r="715" spans="1:6" x14ac:dyDescent="0.2">
      <c r="A715" t="s">
        <v>2814</v>
      </c>
      <c r="B715" t="s">
        <v>2907</v>
      </c>
      <c r="C715">
        <v>14109874</v>
      </c>
      <c r="D715" t="s">
        <v>97</v>
      </c>
      <c r="E715" s="134">
        <v>445.8</v>
      </c>
      <c r="F715" t="s">
        <v>2816</v>
      </c>
    </row>
    <row r="716" spans="1:6" x14ac:dyDescent="0.2">
      <c r="A716" t="s">
        <v>2814</v>
      </c>
      <c r="B716" t="s">
        <v>2907</v>
      </c>
      <c r="C716">
        <v>14110550</v>
      </c>
      <c r="D716" t="s">
        <v>103</v>
      </c>
      <c r="E716" s="134">
        <v>468.36</v>
      </c>
      <c r="F716" t="s">
        <v>2816</v>
      </c>
    </row>
    <row r="717" spans="1:6" x14ac:dyDescent="0.2">
      <c r="A717" t="s">
        <v>2814</v>
      </c>
      <c r="B717" t="s">
        <v>2907</v>
      </c>
      <c r="C717">
        <v>14110707</v>
      </c>
      <c r="D717" t="s">
        <v>267</v>
      </c>
      <c r="E717" s="134">
        <v>445.8</v>
      </c>
      <c r="F717" t="s">
        <v>2816</v>
      </c>
    </row>
    <row r="718" spans="1:6" x14ac:dyDescent="0.2">
      <c r="A718" t="s">
        <v>2814</v>
      </c>
      <c r="B718" t="s">
        <v>2907</v>
      </c>
      <c r="C718">
        <v>14110765</v>
      </c>
      <c r="D718" t="s">
        <v>105</v>
      </c>
      <c r="E718" s="134">
        <v>645.79999999999995</v>
      </c>
      <c r="F718" t="s">
        <v>2816</v>
      </c>
    </row>
    <row r="719" spans="1:6" x14ac:dyDescent="0.2">
      <c r="A719" t="s">
        <v>2814</v>
      </c>
      <c r="B719" t="s">
        <v>2907</v>
      </c>
      <c r="C719">
        <v>14110974</v>
      </c>
      <c r="D719" t="s">
        <v>107</v>
      </c>
      <c r="E719" s="134">
        <v>445.8</v>
      </c>
      <c r="F719" t="s">
        <v>2816</v>
      </c>
    </row>
    <row r="720" spans="1:6" x14ac:dyDescent="0.2">
      <c r="A720" t="s">
        <v>2814</v>
      </c>
      <c r="B720" t="s">
        <v>2907</v>
      </c>
      <c r="C720">
        <v>14111675</v>
      </c>
      <c r="D720" t="s">
        <v>112</v>
      </c>
      <c r="E720" s="134">
        <v>468.36</v>
      </c>
      <c r="F720" t="s">
        <v>2816</v>
      </c>
    </row>
    <row r="721" spans="1:6" x14ac:dyDescent="0.2">
      <c r="A721" t="s">
        <v>2814</v>
      </c>
      <c r="B721" t="s">
        <v>2907</v>
      </c>
      <c r="C721">
        <v>14113146</v>
      </c>
      <c r="D721" t="s">
        <v>124</v>
      </c>
      <c r="E721" s="134">
        <v>268.36</v>
      </c>
      <c r="F721" t="s">
        <v>2816</v>
      </c>
    </row>
    <row r="722" spans="1:6" x14ac:dyDescent="0.2">
      <c r="A722" t="s">
        <v>2814</v>
      </c>
      <c r="B722" t="s">
        <v>2907</v>
      </c>
      <c r="C722">
        <v>14113565</v>
      </c>
      <c r="D722" t="s">
        <v>129</v>
      </c>
      <c r="E722" s="134">
        <v>445.8</v>
      </c>
      <c r="F722" t="s">
        <v>2816</v>
      </c>
    </row>
    <row r="723" spans="1:6" x14ac:dyDescent="0.2">
      <c r="A723" t="s">
        <v>2814</v>
      </c>
      <c r="B723" t="s">
        <v>2907</v>
      </c>
      <c r="C723">
        <v>14113803</v>
      </c>
      <c r="D723" t="s">
        <v>296</v>
      </c>
      <c r="E723" s="134">
        <v>268.36</v>
      </c>
      <c r="F723" t="s">
        <v>2816</v>
      </c>
    </row>
    <row r="724" spans="1:6" x14ac:dyDescent="0.2">
      <c r="A724" t="s">
        <v>2814</v>
      </c>
      <c r="B724" t="s">
        <v>2907</v>
      </c>
      <c r="C724">
        <v>14114320</v>
      </c>
      <c r="D724" t="s">
        <v>312</v>
      </c>
      <c r="E724" s="134">
        <v>268.36</v>
      </c>
      <c r="F724" t="s">
        <v>2816</v>
      </c>
    </row>
    <row r="725" spans="1:6" x14ac:dyDescent="0.2">
      <c r="A725" t="s">
        <v>2814</v>
      </c>
      <c r="B725" t="s">
        <v>2907</v>
      </c>
      <c r="C725">
        <v>14114737</v>
      </c>
      <c r="D725" t="s">
        <v>139</v>
      </c>
      <c r="E725" s="134">
        <v>268.36</v>
      </c>
      <c r="F725" t="s">
        <v>2816</v>
      </c>
    </row>
    <row r="726" spans="1:6" x14ac:dyDescent="0.2">
      <c r="A726" t="s">
        <v>2814</v>
      </c>
      <c r="B726" t="s">
        <v>2907</v>
      </c>
      <c r="C726">
        <v>14115244</v>
      </c>
      <c r="D726" t="s">
        <v>141</v>
      </c>
      <c r="E726" s="134">
        <v>268.36</v>
      </c>
      <c r="F726" t="s">
        <v>2816</v>
      </c>
    </row>
    <row r="727" spans="1:6" x14ac:dyDescent="0.2">
      <c r="A727" t="s">
        <v>2814</v>
      </c>
      <c r="B727" t="s">
        <v>2907</v>
      </c>
      <c r="C727">
        <v>14115304</v>
      </c>
      <c r="D727" t="s">
        <v>142</v>
      </c>
      <c r="E727" s="134">
        <v>268.36</v>
      </c>
      <c r="F727" t="s">
        <v>2816</v>
      </c>
    </row>
    <row r="728" spans="1:6" x14ac:dyDescent="0.2">
      <c r="A728" t="s">
        <v>2814</v>
      </c>
      <c r="B728" t="s">
        <v>2907</v>
      </c>
      <c r="C728">
        <v>14115435</v>
      </c>
      <c r="D728" t="s">
        <v>143</v>
      </c>
      <c r="E728" s="134">
        <v>445.8</v>
      </c>
      <c r="F728" t="s">
        <v>2816</v>
      </c>
    </row>
    <row r="729" spans="1:6" x14ac:dyDescent="0.2">
      <c r="A729" t="s">
        <v>2814</v>
      </c>
      <c r="B729" t="s">
        <v>2907</v>
      </c>
      <c r="C729">
        <v>14115820</v>
      </c>
      <c r="D729" t="s">
        <v>148</v>
      </c>
      <c r="E729" s="134">
        <v>445.8</v>
      </c>
      <c r="F729" t="s">
        <v>2816</v>
      </c>
    </row>
    <row r="730" spans="1:6" x14ac:dyDescent="0.2">
      <c r="A730" t="s">
        <v>2814</v>
      </c>
      <c r="B730" t="s">
        <v>2907</v>
      </c>
      <c r="C730">
        <v>14116352</v>
      </c>
      <c r="D730" t="s">
        <v>159</v>
      </c>
      <c r="E730" s="134">
        <v>268.36</v>
      </c>
      <c r="F730" t="s">
        <v>2816</v>
      </c>
    </row>
    <row r="731" spans="1:6" x14ac:dyDescent="0.2">
      <c r="A731" t="s">
        <v>2814</v>
      </c>
      <c r="B731" t="s">
        <v>2907</v>
      </c>
      <c r="C731">
        <v>14116643</v>
      </c>
      <c r="D731" t="s">
        <v>292</v>
      </c>
      <c r="E731" s="134">
        <v>645.79999999999995</v>
      </c>
      <c r="F731" t="s">
        <v>2816</v>
      </c>
    </row>
    <row r="732" spans="1:6" x14ac:dyDescent="0.2">
      <c r="A732" t="s">
        <v>2814</v>
      </c>
      <c r="B732" t="s">
        <v>2907</v>
      </c>
      <c r="C732">
        <v>14116860</v>
      </c>
      <c r="D732" t="s">
        <v>170</v>
      </c>
      <c r="E732" s="134">
        <v>268.36</v>
      </c>
      <c r="F732" t="s">
        <v>2816</v>
      </c>
    </row>
    <row r="733" spans="1:6" x14ac:dyDescent="0.2">
      <c r="A733" t="s">
        <v>2814</v>
      </c>
      <c r="B733" t="s">
        <v>2907</v>
      </c>
      <c r="C733">
        <v>14117158</v>
      </c>
      <c r="D733" t="s">
        <v>172</v>
      </c>
      <c r="E733" s="134">
        <v>268.36</v>
      </c>
      <c r="F733" t="s">
        <v>2816</v>
      </c>
    </row>
    <row r="734" spans="1:6" x14ac:dyDescent="0.2">
      <c r="A734" t="s">
        <v>2814</v>
      </c>
      <c r="B734" t="s">
        <v>2907</v>
      </c>
      <c r="C734">
        <v>14117508</v>
      </c>
      <c r="D734" t="s">
        <v>313</v>
      </c>
      <c r="E734" s="134">
        <v>645.79999999999995</v>
      </c>
      <c r="F734" t="s">
        <v>2816</v>
      </c>
    </row>
    <row r="735" spans="1:6" x14ac:dyDescent="0.2">
      <c r="A735" t="s">
        <v>2814</v>
      </c>
      <c r="B735" t="s">
        <v>2907</v>
      </c>
      <c r="C735">
        <v>14118341</v>
      </c>
      <c r="D735" t="s">
        <v>195</v>
      </c>
      <c r="E735" s="134">
        <v>268.36</v>
      </c>
      <c r="F735" t="s">
        <v>2816</v>
      </c>
    </row>
    <row r="736" spans="1:6" x14ac:dyDescent="0.2">
      <c r="A736" t="s">
        <v>2814</v>
      </c>
      <c r="B736" t="s">
        <v>2907</v>
      </c>
      <c r="C736">
        <v>14118501</v>
      </c>
      <c r="D736" t="s">
        <v>199</v>
      </c>
      <c r="E736" s="134">
        <v>445.8</v>
      </c>
      <c r="F736" t="s">
        <v>2816</v>
      </c>
    </row>
    <row r="737" spans="1:6" x14ac:dyDescent="0.2">
      <c r="A737" t="s">
        <v>2814</v>
      </c>
      <c r="B737" t="s">
        <v>2907</v>
      </c>
      <c r="C737">
        <v>14118505</v>
      </c>
      <c r="D737" t="s">
        <v>349</v>
      </c>
      <c r="E737" s="134">
        <v>268.36</v>
      </c>
      <c r="F737" t="s">
        <v>2816</v>
      </c>
    </row>
    <row r="738" spans="1:6" x14ac:dyDescent="0.2">
      <c r="A738" t="s">
        <v>2814</v>
      </c>
      <c r="B738" t="s">
        <v>2907</v>
      </c>
      <c r="C738">
        <v>14118773</v>
      </c>
      <c r="D738" t="s">
        <v>210</v>
      </c>
      <c r="E738" s="134">
        <v>268.36</v>
      </c>
      <c r="F738" t="s">
        <v>2816</v>
      </c>
    </row>
    <row r="739" spans="1:6" x14ac:dyDescent="0.2">
      <c r="A739" t="s">
        <v>2814</v>
      </c>
      <c r="B739" t="s">
        <v>2907</v>
      </c>
      <c r="C739">
        <v>14118958</v>
      </c>
      <c r="D739" t="s">
        <v>367</v>
      </c>
      <c r="E739" s="134">
        <v>645.79999999999995</v>
      </c>
      <c r="F739" t="s">
        <v>2816</v>
      </c>
    </row>
    <row r="740" spans="1:6" x14ac:dyDescent="0.2">
      <c r="A740" t="s">
        <v>2814</v>
      </c>
      <c r="B740" t="s">
        <v>2907</v>
      </c>
      <c r="C740">
        <v>14119958</v>
      </c>
      <c r="D740" t="s">
        <v>270</v>
      </c>
      <c r="E740" s="134">
        <v>645.79999999999995</v>
      </c>
      <c r="F740" t="s">
        <v>2816</v>
      </c>
    </row>
    <row r="741" spans="1:6" x14ac:dyDescent="0.2">
      <c r="A741" t="s">
        <v>2814</v>
      </c>
      <c r="B741" t="s">
        <v>2907</v>
      </c>
      <c r="C741">
        <v>14120091</v>
      </c>
      <c r="D741" t="s">
        <v>275</v>
      </c>
      <c r="E741" s="134">
        <v>268.36</v>
      </c>
      <c r="F741" t="s">
        <v>2816</v>
      </c>
    </row>
    <row r="742" spans="1:6" x14ac:dyDescent="0.2">
      <c r="A742" t="s">
        <v>2814</v>
      </c>
      <c r="B742" t="s">
        <v>2907</v>
      </c>
      <c r="C742">
        <v>14120351</v>
      </c>
      <c r="D742" t="s">
        <v>285</v>
      </c>
      <c r="E742" s="134">
        <v>445.8</v>
      </c>
      <c r="F742" t="s">
        <v>2816</v>
      </c>
    </row>
    <row r="743" spans="1:6" x14ac:dyDescent="0.2">
      <c r="A743" t="s">
        <v>2814</v>
      </c>
      <c r="B743" t="s">
        <v>2907</v>
      </c>
      <c r="C743">
        <v>14120489</v>
      </c>
      <c r="D743" t="s">
        <v>288</v>
      </c>
      <c r="E743" s="134">
        <v>134.18</v>
      </c>
      <c r="F743" t="s">
        <v>2816</v>
      </c>
    </row>
    <row r="744" spans="1:6" x14ac:dyDescent="0.2">
      <c r="A744" t="s">
        <v>2814</v>
      </c>
      <c r="B744" t="s">
        <v>2907</v>
      </c>
      <c r="C744">
        <v>14120611</v>
      </c>
      <c r="D744" t="s">
        <v>289</v>
      </c>
      <c r="E744" s="134">
        <v>445.8</v>
      </c>
      <c r="F744" t="s">
        <v>2816</v>
      </c>
    </row>
    <row r="745" spans="1:6" x14ac:dyDescent="0.2">
      <c r="A745" t="s">
        <v>2814</v>
      </c>
      <c r="B745" t="s">
        <v>2907</v>
      </c>
      <c r="C745">
        <v>14120613</v>
      </c>
      <c r="D745" t="s">
        <v>290</v>
      </c>
      <c r="E745" s="134">
        <v>445.8</v>
      </c>
      <c r="F745" t="s">
        <v>2816</v>
      </c>
    </row>
    <row r="746" spans="1:6" x14ac:dyDescent="0.2">
      <c r="A746" t="s">
        <v>2814</v>
      </c>
      <c r="B746" t="s">
        <v>2907</v>
      </c>
      <c r="C746">
        <v>14120655</v>
      </c>
      <c r="D746" t="s">
        <v>293</v>
      </c>
      <c r="E746" s="134">
        <v>445.8</v>
      </c>
      <c r="F746" t="s">
        <v>2816</v>
      </c>
    </row>
    <row r="747" spans="1:6" x14ac:dyDescent="0.2">
      <c r="A747" t="s">
        <v>2814</v>
      </c>
      <c r="B747" t="s">
        <v>2907</v>
      </c>
      <c r="C747">
        <v>14120668</v>
      </c>
      <c r="D747" t="s">
        <v>294</v>
      </c>
      <c r="E747" s="134">
        <v>645.79999999999995</v>
      </c>
      <c r="F747" t="s">
        <v>2816</v>
      </c>
    </row>
    <row r="748" spans="1:6" x14ac:dyDescent="0.2">
      <c r="A748" t="s">
        <v>2814</v>
      </c>
      <c r="B748" t="s">
        <v>2907</v>
      </c>
      <c r="C748">
        <v>14120788</v>
      </c>
      <c r="D748" t="s">
        <v>297</v>
      </c>
      <c r="E748" s="134">
        <v>268.36</v>
      </c>
      <c r="F748" t="s">
        <v>2816</v>
      </c>
    </row>
    <row r="749" spans="1:6" x14ac:dyDescent="0.2">
      <c r="A749" t="s">
        <v>2814</v>
      </c>
      <c r="B749" t="s">
        <v>2907</v>
      </c>
      <c r="C749">
        <v>14120789</v>
      </c>
      <c r="D749" t="s">
        <v>298</v>
      </c>
      <c r="E749" s="134">
        <v>645.79999999999995</v>
      </c>
      <c r="F749" t="s">
        <v>2816</v>
      </c>
    </row>
    <row r="750" spans="1:6" x14ac:dyDescent="0.2">
      <c r="A750" t="s">
        <v>2814</v>
      </c>
      <c r="B750" t="s">
        <v>2907</v>
      </c>
      <c r="C750">
        <v>14120806</v>
      </c>
      <c r="D750" t="s">
        <v>299</v>
      </c>
      <c r="E750" s="134">
        <v>268.36</v>
      </c>
      <c r="F750" t="s">
        <v>2816</v>
      </c>
    </row>
    <row r="751" spans="1:6" x14ac:dyDescent="0.2">
      <c r="A751" t="s">
        <v>2814</v>
      </c>
      <c r="B751" t="s">
        <v>2907</v>
      </c>
      <c r="C751">
        <v>14120807</v>
      </c>
      <c r="D751" t="s">
        <v>300</v>
      </c>
      <c r="E751" s="134">
        <v>268.36</v>
      </c>
      <c r="F751" t="s">
        <v>2816</v>
      </c>
    </row>
    <row r="752" spans="1:6" x14ac:dyDescent="0.2">
      <c r="A752" t="s">
        <v>2814</v>
      </c>
      <c r="B752" t="s">
        <v>2907</v>
      </c>
      <c r="C752">
        <v>14120850</v>
      </c>
      <c r="D752" t="s">
        <v>301</v>
      </c>
      <c r="E752" s="134">
        <v>645.79999999999995</v>
      </c>
      <c r="F752" t="s">
        <v>2816</v>
      </c>
    </row>
    <row r="753" spans="1:6" x14ac:dyDescent="0.2">
      <c r="A753" t="s">
        <v>2814</v>
      </c>
      <c r="B753" t="s">
        <v>2907</v>
      </c>
      <c r="C753">
        <v>14120885</v>
      </c>
      <c r="D753" t="s">
        <v>302</v>
      </c>
      <c r="E753" s="134">
        <v>268.36</v>
      </c>
      <c r="F753" t="s">
        <v>2816</v>
      </c>
    </row>
    <row r="754" spans="1:6" x14ac:dyDescent="0.2">
      <c r="A754" t="s">
        <v>2814</v>
      </c>
      <c r="B754" t="s">
        <v>2907</v>
      </c>
      <c r="C754">
        <v>14120925</v>
      </c>
      <c r="D754" t="s">
        <v>304</v>
      </c>
      <c r="E754" s="134">
        <v>268.36</v>
      </c>
      <c r="F754" t="s">
        <v>2816</v>
      </c>
    </row>
    <row r="755" spans="1:6" x14ac:dyDescent="0.2">
      <c r="A755" t="s">
        <v>2814</v>
      </c>
      <c r="B755" t="s">
        <v>2907</v>
      </c>
      <c r="C755">
        <v>14121013</v>
      </c>
      <c r="D755" t="s">
        <v>305</v>
      </c>
      <c r="E755" s="134">
        <v>645.79999999999995</v>
      </c>
      <c r="F755" t="s">
        <v>2816</v>
      </c>
    </row>
    <row r="756" spans="1:6" x14ac:dyDescent="0.2">
      <c r="A756" t="s">
        <v>2814</v>
      </c>
      <c r="B756" t="s">
        <v>2907</v>
      </c>
      <c r="C756">
        <v>14121015</v>
      </c>
      <c r="D756" t="s">
        <v>306</v>
      </c>
      <c r="E756" s="134">
        <v>268.36</v>
      </c>
      <c r="F756" t="s">
        <v>2816</v>
      </c>
    </row>
    <row r="757" spans="1:6" x14ac:dyDescent="0.2">
      <c r="A757" t="s">
        <v>2814</v>
      </c>
      <c r="B757" t="s">
        <v>2907</v>
      </c>
      <c r="C757">
        <v>14121103</v>
      </c>
      <c r="D757" t="s">
        <v>307</v>
      </c>
      <c r="E757" s="134">
        <v>645.79999999999995</v>
      </c>
      <c r="F757" t="s">
        <v>2816</v>
      </c>
    </row>
    <row r="758" spans="1:6" x14ac:dyDescent="0.2">
      <c r="A758" t="s">
        <v>2814</v>
      </c>
      <c r="B758" t="s">
        <v>2907</v>
      </c>
      <c r="C758">
        <v>14121104</v>
      </c>
      <c r="D758" t="s">
        <v>308</v>
      </c>
      <c r="E758" s="134">
        <v>268.36</v>
      </c>
      <c r="F758" t="s">
        <v>2816</v>
      </c>
    </row>
    <row r="759" spans="1:6" x14ac:dyDescent="0.2">
      <c r="A759" t="s">
        <v>2814</v>
      </c>
      <c r="B759" t="s">
        <v>2907</v>
      </c>
      <c r="C759">
        <v>14121116</v>
      </c>
      <c r="D759" t="s">
        <v>314</v>
      </c>
      <c r="E759" s="134">
        <v>645.79999999999995</v>
      </c>
      <c r="F759" t="s">
        <v>2816</v>
      </c>
    </row>
    <row r="760" spans="1:6" x14ac:dyDescent="0.2">
      <c r="A760" t="s">
        <v>2814</v>
      </c>
      <c r="B760" t="s">
        <v>2907</v>
      </c>
      <c r="C760">
        <v>14121152</v>
      </c>
      <c r="D760" t="s">
        <v>315</v>
      </c>
      <c r="E760" s="134">
        <v>268.36</v>
      </c>
      <c r="F760" t="s">
        <v>2816</v>
      </c>
    </row>
    <row r="761" spans="1:6" x14ac:dyDescent="0.2">
      <c r="A761" t="s">
        <v>2814</v>
      </c>
      <c r="B761" t="s">
        <v>2907</v>
      </c>
      <c r="C761">
        <v>14121158</v>
      </c>
      <c r="D761" t="s">
        <v>317</v>
      </c>
      <c r="E761" s="134">
        <v>268.36</v>
      </c>
      <c r="F761" t="s">
        <v>2816</v>
      </c>
    </row>
    <row r="762" spans="1:6" x14ac:dyDescent="0.2">
      <c r="A762" t="s">
        <v>2814</v>
      </c>
      <c r="B762" t="s">
        <v>2907</v>
      </c>
      <c r="C762">
        <v>14121159</v>
      </c>
      <c r="D762" t="s">
        <v>318</v>
      </c>
      <c r="E762" s="134">
        <v>311.62</v>
      </c>
      <c r="F762" t="s">
        <v>2816</v>
      </c>
    </row>
    <row r="763" spans="1:6" x14ac:dyDescent="0.2">
      <c r="A763" t="s">
        <v>2814</v>
      </c>
      <c r="B763" t="s">
        <v>2907</v>
      </c>
      <c r="C763">
        <v>14121193</v>
      </c>
      <c r="D763" t="s">
        <v>319</v>
      </c>
      <c r="E763" s="134">
        <v>511.62</v>
      </c>
      <c r="F763" t="s">
        <v>2816</v>
      </c>
    </row>
    <row r="764" spans="1:6" x14ac:dyDescent="0.2">
      <c r="A764" t="s">
        <v>2814</v>
      </c>
      <c r="B764" t="s">
        <v>2907</v>
      </c>
      <c r="C764">
        <v>14121235</v>
      </c>
      <c r="D764" t="s">
        <v>321</v>
      </c>
      <c r="E764" s="134">
        <v>645.79999999999995</v>
      </c>
      <c r="F764" t="s">
        <v>2816</v>
      </c>
    </row>
    <row r="765" spans="1:6" x14ac:dyDescent="0.2">
      <c r="A765" t="s">
        <v>2814</v>
      </c>
      <c r="B765" t="s">
        <v>2907</v>
      </c>
      <c r="C765">
        <v>14121238</v>
      </c>
      <c r="D765" t="s">
        <v>322</v>
      </c>
      <c r="E765" s="134">
        <v>268.36</v>
      </c>
      <c r="F765" t="s">
        <v>2816</v>
      </c>
    </row>
    <row r="766" spans="1:6" x14ac:dyDescent="0.2">
      <c r="A766" t="s">
        <v>2814</v>
      </c>
      <c r="B766" t="s">
        <v>2907</v>
      </c>
      <c r="C766">
        <v>14121239</v>
      </c>
      <c r="D766" t="s">
        <v>323</v>
      </c>
      <c r="E766" s="134">
        <v>445.8</v>
      </c>
      <c r="F766" t="s">
        <v>2816</v>
      </c>
    </row>
    <row r="767" spans="1:6" x14ac:dyDescent="0.2">
      <c r="A767" t="s">
        <v>2814</v>
      </c>
      <c r="B767" t="s">
        <v>2907</v>
      </c>
      <c r="C767">
        <v>14121266</v>
      </c>
      <c r="D767" t="s">
        <v>324</v>
      </c>
      <c r="E767" s="134">
        <v>645.79999999999995</v>
      </c>
      <c r="F767" t="s">
        <v>2816</v>
      </c>
    </row>
    <row r="768" spans="1:6" x14ac:dyDescent="0.2">
      <c r="A768" t="s">
        <v>2814</v>
      </c>
      <c r="B768" t="s">
        <v>2907</v>
      </c>
      <c r="C768">
        <v>14121271</v>
      </c>
      <c r="D768" t="s">
        <v>325</v>
      </c>
      <c r="E768" s="134">
        <v>445.8</v>
      </c>
      <c r="F768" t="s">
        <v>2816</v>
      </c>
    </row>
    <row r="769" spans="1:6" x14ac:dyDescent="0.2">
      <c r="A769" t="s">
        <v>2814</v>
      </c>
      <c r="B769" t="s">
        <v>2907</v>
      </c>
      <c r="C769">
        <v>14121328</v>
      </c>
      <c r="D769" t="s">
        <v>326</v>
      </c>
      <c r="E769" s="134">
        <v>645.79999999999995</v>
      </c>
      <c r="F769" t="s">
        <v>2816</v>
      </c>
    </row>
    <row r="770" spans="1:6" x14ac:dyDescent="0.2">
      <c r="A770" t="s">
        <v>2814</v>
      </c>
      <c r="B770" t="s">
        <v>2907</v>
      </c>
      <c r="C770">
        <v>14121398</v>
      </c>
      <c r="D770" t="s">
        <v>327</v>
      </c>
      <c r="E770" s="134">
        <v>645.79999999999995</v>
      </c>
      <c r="F770" t="s">
        <v>2816</v>
      </c>
    </row>
    <row r="771" spans="1:6" x14ac:dyDescent="0.2">
      <c r="A771" t="s">
        <v>2814</v>
      </c>
      <c r="B771" t="s">
        <v>2907</v>
      </c>
      <c r="C771">
        <v>14121522</v>
      </c>
      <c r="D771" t="s">
        <v>331</v>
      </c>
      <c r="E771" s="134">
        <v>645.79999999999995</v>
      </c>
      <c r="F771" t="s">
        <v>2816</v>
      </c>
    </row>
    <row r="772" spans="1:6" x14ac:dyDescent="0.2">
      <c r="A772" t="s">
        <v>2814</v>
      </c>
      <c r="B772" t="s">
        <v>2907</v>
      </c>
      <c r="C772">
        <v>14121523</v>
      </c>
      <c r="D772" t="s">
        <v>332</v>
      </c>
      <c r="E772" s="134">
        <v>134.18</v>
      </c>
      <c r="F772" t="s">
        <v>2816</v>
      </c>
    </row>
    <row r="773" spans="1:6" x14ac:dyDescent="0.2">
      <c r="A773" t="s">
        <v>2814</v>
      </c>
      <c r="B773" t="s">
        <v>2907</v>
      </c>
      <c r="C773">
        <v>14121543</v>
      </c>
      <c r="D773" t="s">
        <v>333</v>
      </c>
      <c r="E773" s="134">
        <v>645.79999999999995</v>
      </c>
      <c r="F773" t="s">
        <v>2816</v>
      </c>
    </row>
    <row r="774" spans="1:6" x14ac:dyDescent="0.2">
      <c r="A774" t="s">
        <v>2814</v>
      </c>
      <c r="B774" t="s">
        <v>2907</v>
      </c>
      <c r="C774">
        <v>14121545</v>
      </c>
      <c r="D774" t="s">
        <v>334</v>
      </c>
      <c r="E774" s="134">
        <v>268.36</v>
      </c>
      <c r="F774" t="s">
        <v>2816</v>
      </c>
    </row>
    <row r="775" spans="1:6" x14ac:dyDescent="0.2">
      <c r="A775" t="s">
        <v>2814</v>
      </c>
      <c r="B775" t="s">
        <v>2907</v>
      </c>
      <c r="C775">
        <v>14121598</v>
      </c>
      <c r="D775" t="s">
        <v>338</v>
      </c>
      <c r="E775" s="134">
        <v>645.79999999999995</v>
      </c>
      <c r="F775" t="s">
        <v>2816</v>
      </c>
    </row>
    <row r="776" spans="1:6" x14ac:dyDescent="0.2">
      <c r="A776" t="s">
        <v>2814</v>
      </c>
      <c r="B776" t="s">
        <v>2907</v>
      </c>
      <c r="C776">
        <v>14121600</v>
      </c>
      <c r="D776" t="s">
        <v>339</v>
      </c>
      <c r="E776" s="134">
        <v>268.36</v>
      </c>
      <c r="F776" t="s">
        <v>2816</v>
      </c>
    </row>
    <row r="777" spans="1:6" x14ac:dyDescent="0.2">
      <c r="A777" t="s">
        <v>2814</v>
      </c>
      <c r="B777" t="s">
        <v>2907</v>
      </c>
      <c r="C777">
        <v>14121677</v>
      </c>
      <c r="D777" t="s">
        <v>343</v>
      </c>
      <c r="E777" s="134">
        <v>445.8</v>
      </c>
      <c r="F777" t="s">
        <v>2816</v>
      </c>
    </row>
    <row r="778" spans="1:6" x14ac:dyDescent="0.2">
      <c r="A778" t="s">
        <v>2814</v>
      </c>
      <c r="B778" t="s">
        <v>2907</v>
      </c>
      <c r="C778">
        <v>14121728</v>
      </c>
      <c r="D778" t="s">
        <v>345</v>
      </c>
      <c r="E778" s="134">
        <v>445.8</v>
      </c>
      <c r="F778" t="s">
        <v>2816</v>
      </c>
    </row>
    <row r="779" spans="1:6" x14ac:dyDescent="0.2">
      <c r="A779" t="s">
        <v>2814</v>
      </c>
      <c r="B779" t="s">
        <v>2907</v>
      </c>
      <c r="C779">
        <v>14121733</v>
      </c>
      <c r="D779" t="s">
        <v>346</v>
      </c>
      <c r="E779" s="134">
        <v>645.79999999999995</v>
      </c>
      <c r="F779" t="s">
        <v>2816</v>
      </c>
    </row>
    <row r="780" spans="1:6" x14ac:dyDescent="0.2">
      <c r="A780" t="s">
        <v>2814</v>
      </c>
      <c r="B780" t="s">
        <v>2907</v>
      </c>
      <c r="C780">
        <v>14121756</v>
      </c>
      <c r="D780" t="s">
        <v>350</v>
      </c>
      <c r="E780" s="134">
        <v>445.8</v>
      </c>
      <c r="F780" t="s">
        <v>2816</v>
      </c>
    </row>
    <row r="781" spans="1:6" x14ac:dyDescent="0.2">
      <c r="A781" t="s">
        <v>2814</v>
      </c>
      <c r="B781" t="s">
        <v>2907</v>
      </c>
      <c r="C781">
        <v>14121784</v>
      </c>
      <c r="D781" t="s">
        <v>352</v>
      </c>
      <c r="E781" s="134">
        <v>445.8</v>
      </c>
      <c r="F781" t="s">
        <v>2816</v>
      </c>
    </row>
    <row r="782" spans="1:6" x14ac:dyDescent="0.2">
      <c r="A782" t="s">
        <v>2814</v>
      </c>
      <c r="B782" t="s">
        <v>2907</v>
      </c>
      <c r="C782">
        <v>14121785</v>
      </c>
      <c r="D782" t="s">
        <v>353</v>
      </c>
      <c r="E782" s="134">
        <v>445.8</v>
      </c>
      <c r="F782" t="s">
        <v>2816</v>
      </c>
    </row>
    <row r="783" spans="1:6" x14ac:dyDescent="0.2">
      <c r="A783" t="s">
        <v>2814</v>
      </c>
      <c r="B783" t="s">
        <v>2907</v>
      </c>
      <c r="C783">
        <v>14121791</v>
      </c>
      <c r="D783" t="s">
        <v>354</v>
      </c>
      <c r="E783" s="134">
        <v>268.36</v>
      </c>
      <c r="F783" t="s">
        <v>2816</v>
      </c>
    </row>
    <row r="784" spans="1:6" x14ac:dyDescent="0.2">
      <c r="A784" t="s">
        <v>2814</v>
      </c>
      <c r="B784" t="s">
        <v>2907</v>
      </c>
      <c r="C784">
        <v>14121809</v>
      </c>
      <c r="D784" t="s">
        <v>355</v>
      </c>
      <c r="E784" s="134">
        <v>268.36</v>
      </c>
      <c r="F784" t="s">
        <v>2816</v>
      </c>
    </row>
    <row r="785" spans="1:6" x14ac:dyDescent="0.2">
      <c r="A785" t="s">
        <v>2814</v>
      </c>
      <c r="B785" t="s">
        <v>2907</v>
      </c>
      <c r="C785">
        <v>14121811</v>
      </c>
      <c r="D785" t="s">
        <v>356</v>
      </c>
      <c r="E785" s="134">
        <v>645.79999999999995</v>
      </c>
      <c r="F785" t="s">
        <v>2816</v>
      </c>
    </row>
    <row r="786" spans="1:6" x14ac:dyDescent="0.2">
      <c r="A786" t="s">
        <v>2814</v>
      </c>
      <c r="B786" t="s">
        <v>2907</v>
      </c>
      <c r="C786">
        <v>14121821</v>
      </c>
      <c r="D786" t="s">
        <v>357</v>
      </c>
      <c r="E786" s="134">
        <v>445.8</v>
      </c>
      <c r="F786" t="s">
        <v>2816</v>
      </c>
    </row>
    <row r="787" spans="1:6" x14ac:dyDescent="0.2">
      <c r="A787" t="s">
        <v>2814</v>
      </c>
      <c r="B787" t="s">
        <v>2907</v>
      </c>
      <c r="C787">
        <v>14121856</v>
      </c>
      <c r="D787" t="s">
        <v>358</v>
      </c>
      <c r="E787" s="134">
        <v>445.8</v>
      </c>
      <c r="F787" t="s">
        <v>2816</v>
      </c>
    </row>
    <row r="788" spans="1:6" x14ac:dyDescent="0.2">
      <c r="A788" t="s">
        <v>2814</v>
      </c>
      <c r="B788" t="s">
        <v>2907</v>
      </c>
      <c r="C788">
        <v>14121859</v>
      </c>
      <c r="D788" t="s">
        <v>359</v>
      </c>
      <c r="E788" s="134">
        <v>645.79999999999995</v>
      </c>
      <c r="F788" t="s">
        <v>2816</v>
      </c>
    </row>
    <row r="789" spans="1:6" x14ac:dyDescent="0.2">
      <c r="A789" t="s">
        <v>2814</v>
      </c>
      <c r="B789" t="s">
        <v>2907</v>
      </c>
      <c r="C789">
        <v>14121869</v>
      </c>
      <c r="D789" t="s">
        <v>361</v>
      </c>
      <c r="E789" s="134">
        <v>645.79999999999995</v>
      </c>
      <c r="F789" t="s">
        <v>2816</v>
      </c>
    </row>
    <row r="790" spans="1:6" x14ac:dyDescent="0.2">
      <c r="A790" t="s">
        <v>2814</v>
      </c>
      <c r="B790" t="s">
        <v>2907</v>
      </c>
      <c r="C790">
        <v>14121964</v>
      </c>
      <c r="D790" t="s">
        <v>368</v>
      </c>
      <c r="E790" s="134">
        <v>645.79999999999995</v>
      </c>
      <c r="F790" t="s">
        <v>2816</v>
      </c>
    </row>
    <row r="791" spans="1:6" x14ac:dyDescent="0.2">
      <c r="A791" t="s">
        <v>2814</v>
      </c>
      <c r="B791" t="s">
        <v>2907</v>
      </c>
      <c r="C791">
        <v>14121985</v>
      </c>
      <c r="D791" t="s">
        <v>369</v>
      </c>
      <c r="E791" s="134">
        <v>645.79999999999995</v>
      </c>
      <c r="F791" t="s">
        <v>2816</v>
      </c>
    </row>
    <row r="792" spans="1:6" x14ac:dyDescent="0.2">
      <c r="A792" t="s">
        <v>2814</v>
      </c>
      <c r="B792" t="s">
        <v>2907</v>
      </c>
      <c r="C792">
        <v>14122033</v>
      </c>
      <c r="D792" t="s">
        <v>371</v>
      </c>
      <c r="E792" s="134">
        <v>268.36</v>
      </c>
      <c r="F792" t="s">
        <v>2816</v>
      </c>
    </row>
    <row r="793" spans="1:6" x14ac:dyDescent="0.2">
      <c r="A793" t="s">
        <v>2814</v>
      </c>
      <c r="B793" t="s">
        <v>2907</v>
      </c>
      <c r="C793">
        <v>14122035</v>
      </c>
      <c r="D793" t="s">
        <v>373</v>
      </c>
      <c r="E793" s="134">
        <v>268.36</v>
      </c>
      <c r="F793" t="s">
        <v>2816</v>
      </c>
    </row>
    <row r="794" spans="1:6" x14ac:dyDescent="0.2">
      <c r="A794" t="s">
        <v>2814</v>
      </c>
      <c r="B794" t="s">
        <v>2907</v>
      </c>
      <c r="C794">
        <v>14122067</v>
      </c>
      <c r="D794" t="s">
        <v>374</v>
      </c>
      <c r="E794" s="134">
        <v>645.79999999999995</v>
      </c>
      <c r="F794" t="s">
        <v>2816</v>
      </c>
    </row>
    <row r="795" spans="1:6" x14ac:dyDescent="0.2">
      <c r="A795" t="s">
        <v>2814</v>
      </c>
      <c r="B795" t="s">
        <v>2907</v>
      </c>
      <c r="C795">
        <v>14122072</v>
      </c>
      <c r="D795" t="s">
        <v>375</v>
      </c>
      <c r="E795" s="134">
        <v>468.36</v>
      </c>
      <c r="F795" t="s">
        <v>2816</v>
      </c>
    </row>
    <row r="796" spans="1:6" x14ac:dyDescent="0.2">
      <c r="A796" t="s">
        <v>2814</v>
      </c>
      <c r="B796" t="s">
        <v>2907</v>
      </c>
      <c r="C796">
        <v>14122073</v>
      </c>
      <c r="D796" t="s">
        <v>376</v>
      </c>
      <c r="E796" s="134">
        <v>645.79999999999995</v>
      </c>
      <c r="F796" t="s">
        <v>2816</v>
      </c>
    </row>
    <row r="797" spans="1:6" x14ac:dyDescent="0.2">
      <c r="A797" t="s">
        <v>2814</v>
      </c>
      <c r="B797" t="s">
        <v>2907</v>
      </c>
      <c r="C797">
        <v>14122095</v>
      </c>
      <c r="D797" t="s">
        <v>380</v>
      </c>
      <c r="E797" s="134">
        <v>645.79999999999995</v>
      </c>
      <c r="F797" t="s">
        <v>2816</v>
      </c>
    </row>
    <row r="798" spans="1:6" x14ac:dyDescent="0.2">
      <c r="A798" t="s">
        <v>2814</v>
      </c>
      <c r="B798" t="s">
        <v>2907</v>
      </c>
      <c r="C798">
        <v>14122096</v>
      </c>
      <c r="D798" t="s">
        <v>381</v>
      </c>
      <c r="E798" s="134">
        <v>645.79999999999995</v>
      </c>
      <c r="F798" t="s">
        <v>2816</v>
      </c>
    </row>
    <row r="799" spans="1:6" x14ac:dyDescent="0.2">
      <c r="A799" t="s">
        <v>2814</v>
      </c>
      <c r="B799" t="s">
        <v>2907</v>
      </c>
      <c r="C799">
        <v>14122113</v>
      </c>
      <c r="D799" t="s">
        <v>383</v>
      </c>
      <c r="E799" s="134">
        <v>268.36</v>
      </c>
      <c r="F799" t="s">
        <v>2816</v>
      </c>
    </row>
    <row r="800" spans="1:6" x14ac:dyDescent="0.2">
      <c r="A800" t="s">
        <v>2814</v>
      </c>
      <c r="B800" t="s">
        <v>2907</v>
      </c>
      <c r="C800">
        <v>14122135</v>
      </c>
      <c r="D800" t="s">
        <v>385</v>
      </c>
      <c r="E800" s="134">
        <v>445.8</v>
      </c>
      <c r="F800" t="s">
        <v>2816</v>
      </c>
    </row>
    <row r="801" spans="1:6" x14ac:dyDescent="0.2">
      <c r="A801" t="s">
        <v>2814</v>
      </c>
      <c r="B801" t="s">
        <v>2907</v>
      </c>
      <c r="C801">
        <v>14122136</v>
      </c>
      <c r="D801" t="s">
        <v>386</v>
      </c>
      <c r="E801" s="134">
        <v>268.36</v>
      </c>
      <c r="F801" t="s">
        <v>2816</v>
      </c>
    </row>
    <row r="802" spans="1:6" x14ac:dyDescent="0.2">
      <c r="A802" t="s">
        <v>2814</v>
      </c>
      <c r="B802" t="s">
        <v>2907</v>
      </c>
      <c r="C802">
        <v>14122137</v>
      </c>
      <c r="D802" t="s">
        <v>387</v>
      </c>
      <c r="E802" s="134">
        <v>645.79999999999995</v>
      </c>
      <c r="F802" t="s">
        <v>2816</v>
      </c>
    </row>
    <row r="803" spans="1:6" x14ac:dyDescent="0.2">
      <c r="A803" t="s">
        <v>2814</v>
      </c>
      <c r="B803" t="s">
        <v>2907</v>
      </c>
      <c r="C803">
        <v>14122148</v>
      </c>
      <c r="D803" t="s">
        <v>388</v>
      </c>
      <c r="E803" s="134">
        <v>645.79999999999995</v>
      </c>
      <c r="F803" t="s">
        <v>2816</v>
      </c>
    </row>
    <row r="804" spans="1:6" x14ac:dyDescent="0.2">
      <c r="A804" t="s">
        <v>2814</v>
      </c>
      <c r="B804" t="s">
        <v>2907</v>
      </c>
      <c r="C804">
        <v>14122158</v>
      </c>
      <c r="D804" t="s">
        <v>390</v>
      </c>
      <c r="E804" s="134">
        <v>511.62</v>
      </c>
      <c r="F804" t="s">
        <v>2816</v>
      </c>
    </row>
    <row r="805" spans="1:6" x14ac:dyDescent="0.2">
      <c r="A805" t="s">
        <v>2814</v>
      </c>
      <c r="B805" t="s">
        <v>2907</v>
      </c>
      <c r="C805">
        <v>14122160</v>
      </c>
      <c r="D805" t="s">
        <v>391</v>
      </c>
      <c r="E805" s="134">
        <v>645.79999999999995</v>
      </c>
      <c r="F805" t="s">
        <v>2816</v>
      </c>
    </row>
    <row r="806" spans="1:6" x14ac:dyDescent="0.2">
      <c r="A806" t="s">
        <v>2814</v>
      </c>
      <c r="B806" t="s">
        <v>2907</v>
      </c>
      <c r="C806">
        <v>14100843</v>
      </c>
      <c r="D806" t="s">
        <v>221</v>
      </c>
      <c r="E806" s="134">
        <v>268.36</v>
      </c>
      <c r="F806" t="s">
        <v>2816</v>
      </c>
    </row>
    <row r="807" spans="1:6" x14ac:dyDescent="0.2">
      <c r="A807" t="s">
        <v>2814</v>
      </c>
      <c r="B807" t="s">
        <v>2907</v>
      </c>
      <c r="C807">
        <v>14100858</v>
      </c>
      <c r="D807" t="s">
        <v>261</v>
      </c>
      <c r="E807" s="134">
        <v>645.79999999999995</v>
      </c>
      <c r="F807" t="s">
        <v>2816</v>
      </c>
    </row>
    <row r="808" spans="1:6" x14ac:dyDescent="0.2">
      <c r="A808" t="s">
        <v>2814</v>
      </c>
      <c r="B808" t="s">
        <v>2907</v>
      </c>
      <c r="C808">
        <v>14100897</v>
      </c>
      <c r="D808" t="s">
        <v>249</v>
      </c>
      <c r="E808" s="134">
        <v>645.79999999999995</v>
      </c>
      <c r="F808" t="s">
        <v>2816</v>
      </c>
    </row>
    <row r="809" spans="1:6" x14ac:dyDescent="0.2">
      <c r="A809" t="s">
        <v>2814</v>
      </c>
      <c r="B809" t="s">
        <v>2907</v>
      </c>
      <c r="C809">
        <v>14104839</v>
      </c>
      <c r="D809" t="s">
        <v>224</v>
      </c>
      <c r="E809" s="134">
        <v>268.36</v>
      </c>
      <c r="F809" t="s">
        <v>2816</v>
      </c>
    </row>
    <row r="810" spans="1:6" x14ac:dyDescent="0.2">
      <c r="A810" t="s">
        <v>2814</v>
      </c>
      <c r="B810" t="s">
        <v>2907</v>
      </c>
      <c r="C810">
        <v>14108775</v>
      </c>
      <c r="D810" t="s">
        <v>178</v>
      </c>
      <c r="E810" s="134">
        <v>268.36</v>
      </c>
      <c r="F810" t="s">
        <v>2816</v>
      </c>
    </row>
    <row r="811" spans="1:6" x14ac:dyDescent="0.2">
      <c r="A811" t="s">
        <v>2814</v>
      </c>
      <c r="B811" t="s">
        <v>2907</v>
      </c>
      <c r="C811">
        <v>14108828</v>
      </c>
      <c r="D811" t="s">
        <v>225</v>
      </c>
      <c r="E811" s="134">
        <v>645.79999999999995</v>
      </c>
      <c r="F811" t="s">
        <v>2816</v>
      </c>
    </row>
    <row r="812" spans="1:6" x14ac:dyDescent="0.2">
      <c r="A812" t="s">
        <v>2814</v>
      </c>
      <c r="B812" t="s">
        <v>2907</v>
      </c>
      <c r="C812">
        <v>14109648</v>
      </c>
      <c r="D812" t="s">
        <v>211</v>
      </c>
      <c r="E812" s="134">
        <v>645.79999999999995</v>
      </c>
      <c r="F812" t="s">
        <v>2816</v>
      </c>
    </row>
    <row r="813" spans="1:6" x14ac:dyDescent="0.2">
      <c r="A813" t="s">
        <v>2814</v>
      </c>
      <c r="B813" t="s">
        <v>2907</v>
      </c>
      <c r="C813">
        <v>14111678</v>
      </c>
      <c r="D813" t="s">
        <v>283</v>
      </c>
      <c r="E813" s="134">
        <v>468.36</v>
      </c>
      <c r="F813" t="s">
        <v>2816</v>
      </c>
    </row>
    <row r="814" spans="1:6" x14ac:dyDescent="0.2">
      <c r="A814" t="s">
        <v>2814</v>
      </c>
      <c r="B814" t="s">
        <v>2907</v>
      </c>
      <c r="C814">
        <v>14112124</v>
      </c>
      <c r="D814" t="s">
        <v>250</v>
      </c>
      <c r="E814" s="134">
        <v>445.8</v>
      </c>
      <c r="F814" t="s">
        <v>2816</v>
      </c>
    </row>
    <row r="815" spans="1:6" x14ac:dyDescent="0.2">
      <c r="A815" t="s">
        <v>2814</v>
      </c>
      <c r="B815" t="s">
        <v>2907</v>
      </c>
      <c r="C815">
        <v>14112197</v>
      </c>
      <c r="D815" t="s">
        <v>242</v>
      </c>
      <c r="E815" s="134">
        <v>445.8</v>
      </c>
      <c r="F815" t="s">
        <v>2816</v>
      </c>
    </row>
    <row r="816" spans="1:6" x14ac:dyDescent="0.2">
      <c r="A816" t="s">
        <v>2814</v>
      </c>
      <c r="B816" t="s">
        <v>2907</v>
      </c>
      <c r="C816">
        <v>14112730</v>
      </c>
      <c r="D816" t="s">
        <v>280</v>
      </c>
      <c r="E816" s="134">
        <v>645.79999999999995</v>
      </c>
      <c r="F816" t="s">
        <v>2816</v>
      </c>
    </row>
    <row r="817" spans="1:6" x14ac:dyDescent="0.2">
      <c r="A817" t="s">
        <v>2814</v>
      </c>
      <c r="B817" t="s">
        <v>2907</v>
      </c>
      <c r="C817">
        <v>14113056</v>
      </c>
      <c r="D817" t="s">
        <v>234</v>
      </c>
      <c r="E817" s="134">
        <v>268.36</v>
      </c>
      <c r="F817" t="s">
        <v>2816</v>
      </c>
    </row>
    <row r="818" spans="1:6" x14ac:dyDescent="0.2">
      <c r="A818" t="s">
        <v>2814</v>
      </c>
      <c r="B818" t="s">
        <v>2907</v>
      </c>
      <c r="C818">
        <v>14113198</v>
      </c>
      <c r="D818" t="s">
        <v>212</v>
      </c>
      <c r="E818" s="134">
        <v>311.62</v>
      </c>
      <c r="F818" t="s">
        <v>2816</v>
      </c>
    </row>
    <row r="819" spans="1:6" x14ac:dyDescent="0.2">
      <c r="A819" t="s">
        <v>2814</v>
      </c>
      <c r="B819" t="s">
        <v>2907</v>
      </c>
      <c r="C819">
        <v>14117156</v>
      </c>
      <c r="D819" t="s">
        <v>239</v>
      </c>
      <c r="E819" s="134">
        <v>645.79999999999995</v>
      </c>
      <c r="F819" t="s">
        <v>2816</v>
      </c>
    </row>
    <row r="820" spans="1:6" x14ac:dyDescent="0.2">
      <c r="A820" t="s">
        <v>2814</v>
      </c>
      <c r="B820" t="s">
        <v>2907</v>
      </c>
      <c r="C820">
        <v>14117157</v>
      </c>
      <c r="D820" t="s">
        <v>244</v>
      </c>
      <c r="E820" s="134">
        <v>645.79999999999995</v>
      </c>
      <c r="F820" t="s">
        <v>2816</v>
      </c>
    </row>
    <row r="821" spans="1:6" x14ac:dyDescent="0.2">
      <c r="A821" t="s">
        <v>2814</v>
      </c>
      <c r="B821" t="s">
        <v>2907</v>
      </c>
      <c r="C821">
        <v>14117509</v>
      </c>
      <c r="D821" t="s">
        <v>235</v>
      </c>
      <c r="E821" s="134">
        <v>645.79999999999995</v>
      </c>
      <c r="F821" t="s">
        <v>2816</v>
      </c>
    </row>
    <row r="822" spans="1:6" x14ac:dyDescent="0.2">
      <c r="A822" t="s">
        <v>2814</v>
      </c>
      <c r="B822" t="s">
        <v>2907</v>
      </c>
      <c r="C822">
        <v>14118028</v>
      </c>
      <c r="D822" t="s">
        <v>185</v>
      </c>
      <c r="E822" s="134">
        <v>645.79999999999995</v>
      </c>
      <c r="F822" t="s">
        <v>2816</v>
      </c>
    </row>
    <row r="823" spans="1:6" x14ac:dyDescent="0.2">
      <c r="A823" t="s">
        <v>2814</v>
      </c>
      <c r="B823" t="s">
        <v>2907</v>
      </c>
      <c r="C823">
        <v>14118184</v>
      </c>
      <c r="D823" t="s">
        <v>237</v>
      </c>
      <c r="E823" s="134">
        <v>645.79999999999995</v>
      </c>
      <c r="F823" t="s">
        <v>2816</v>
      </c>
    </row>
    <row r="824" spans="1:6" x14ac:dyDescent="0.2">
      <c r="A824" t="s">
        <v>2814</v>
      </c>
      <c r="B824" t="s">
        <v>2907</v>
      </c>
      <c r="C824">
        <v>14118225</v>
      </c>
      <c r="D824" t="s">
        <v>271</v>
      </c>
      <c r="E824" s="134">
        <v>645.79999999999995</v>
      </c>
      <c r="F824" t="s">
        <v>2816</v>
      </c>
    </row>
    <row r="825" spans="1:6" x14ac:dyDescent="0.2">
      <c r="A825" t="s">
        <v>2814</v>
      </c>
      <c r="B825" t="s">
        <v>2907</v>
      </c>
      <c r="C825">
        <v>14118620</v>
      </c>
      <c r="D825" t="s">
        <v>201</v>
      </c>
      <c r="E825" s="134">
        <v>268.36</v>
      </c>
      <c r="F825" t="s">
        <v>2816</v>
      </c>
    </row>
    <row r="826" spans="1:6" x14ac:dyDescent="0.2">
      <c r="A826" t="s">
        <v>2814</v>
      </c>
      <c r="B826" t="s">
        <v>2907</v>
      </c>
      <c r="C826">
        <v>14118621</v>
      </c>
      <c r="D826" t="s">
        <v>202</v>
      </c>
      <c r="E826" s="134">
        <v>511.62</v>
      </c>
      <c r="F826" t="s">
        <v>2816</v>
      </c>
    </row>
    <row r="827" spans="1:6" x14ac:dyDescent="0.2">
      <c r="A827" t="s">
        <v>2814</v>
      </c>
      <c r="B827" t="s">
        <v>2907</v>
      </c>
      <c r="C827">
        <v>14118622</v>
      </c>
      <c r="D827" t="s">
        <v>203</v>
      </c>
      <c r="E827" s="134">
        <v>645.79999999999995</v>
      </c>
      <c r="F827" t="s">
        <v>2816</v>
      </c>
    </row>
    <row r="828" spans="1:6" x14ac:dyDescent="0.2">
      <c r="A828" t="s">
        <v>2814</v>
      </c>
      <c r="B828" t="s">
        <v>2907</v>
      </c>
      <c r="C828">
        <v>14118627</v>
      </c>
      <c r="D828" t="s">
        <v>204</v>
      </c>
      <c r="E828" s="134">
        <v>645.79999999999995</v>
      </c>
      <c r="F828" t="s">
        <v>2816</v>
      </c>
    </row>
    <row r="829" spans="1:6" x14ac:dyDescent="0.2">
      <c r="A829" t="s">
        <v>2814</v>
      </c>
      <c r="B829" t="s">
        <v>2907</v>
      </c>
      <c r="C829">
        <v>14118660</v>
      </c>
      <c r="D829" t="s">
        <v>206</v>
      </c>
      <c r="E829" s="134">
        <v>445.8</v>
      </c>
      <c r="F829" t="s">
        <v>2816</v>
      </c>
    </row>
    <row r="830" spans="1:6" x14ac:dyDescent="0.2">
      <c r="A830" t="s">
        <v>2814</v>
      </c>
      <c r="B830" t="s">
        <v>2907</v>
      </c>
      <c r="C830">
        <v>14118663</v>
      </c>
      <c r="D830" t="s">
        <v>207</v>
      </c>
      <c r="E830" s="134">
        <v>645.79999999999995</v>
      </c>
      <c r="F830" t="s">
        <v>2816</v>
      </c>
    </row>
    <row r="831" spans="1:6" x14ac:dyDescent="0.2">
      <c r="A831" t="s">
        <v>2814</v>
      </c>
      <c r="B831" t="s">
        <v>2907</v>
      </c>
      <c r="C831">
        <v>14118745</v>
      </c>
      <c r="D831" t="s">
        <v>209</v>
      </c>
      <c r="E831" s="134">
        <v>268.36</v>
      </c>
      <c r="F831" t="s">
        <v>2816</v>
      </c>
    </row>
    <row r="832" spans="1:6" x14ac:dyDescent="0.2">
      <c r="A832" t="s">
        <v>2814</v>
      </c>
      <c r="B832" t="s">
        <v>2907</v>
      </c>
      <c r="C832">
        <v>14118809</v>
      </c>
      <c r="D832" t="s">
        <v>213</v>
      </c>
      <c r="E832" s="134">
        <v>645.79999999999995</v>
      </c>
      <c r="F832" t="s">
        <v>2816</v>
      </c>
    </row>
    <row r="833" spans="1:6" x14ac:dyDescent="0.2">
      <c r="A833" t="s">
        <v>2814</v>
      </c>
      <c r="B833" t="s">
        <v>2907</v>
      </c>
      <c r="C833">
        <v>14118811</v>
      </c>
      <c r="D833" t="s">
        <v>214</v>
      </c>
      <c r="E833" s="134">
        <v>268.36</v>
      </c>
      <c r="F833" t="s">
        <v>2816</v>
      </c>
    </row>
    <row r="834" spans="1:6" x14ac:dyDescent="0.2">
      <c r="A834" t="s">
        <v>2814</v>
      </c>
      <c r="B834" t="s">
        <v>2907</v>
      </c>
      <c r="C834">
        <v>14118849</v>
      </c>
      <c r="D834" t="s">
        <v>216</v>
      </c>
      <c r="E834" s="134">
        <v>445.8</v>
      </c>
      <c r="F834" t="s">
        <v>2816</v>
      </c>
    </row>
    <row r="835" spans="1:6" x14ac:dyDescent="0.2">
      <c r="A835" t="s">
        <v>2814</v>
      </c>
      <c r="B835" t="s">
        <v>2907</v>
      </c>
      <c r="C835">
        <v>14118887</v>
      </c>
      <c r="D835" t="s">
        <v>217</v>
      </c>
      <c r="E835" s="134">
        <v>445.8</v>
      </c>
      <c r="F835" t="s">
        <v>2816</v>
      </c>
    </row>
    <row r="836" spans="1:6" x14ac:dyDescent="0.2">
      <c r="A836" t="s">
        <v>2814</v>
      </c>
      <c r="B836" t="s">
        <v>2907</v>
      </c>
      <c r="C836">
        <v>14118889</v>
      </c>
      <c r="D836" t="s">
        <v>218</v>
      </c>
      <c r="E836" s="134">
        <v>268.36</v>
      </c>
      <c r="F836" t="s">
        <v>2816</v>
      </c>
    </row>
    <row r="837" spans="1:6" x14ac:dyDescent="0.2">
      <c r="A837" t="s">
        <v>2814</v>
      </c>
      <c r="B837" t="s">
        <v>2907</v>
      </c>
      <c r="C837">
        <v>14118892</v>
      </c>
      <c r="D837" t="s">
        <v>219</v>
      </c>
      <c r="E837" s="134">
        <v>468.36</v>
      </c>
      <c r="F837" t="s">
        <v>2816</v>
      </c>
    </row>
    <row r="838" spans="1:6" x14ac:dyDescent="0.2">
      <c r="A838" t="s">
        <v>2814</v>
      </c>
      <c r="B838" t="s">
        <v>2907</v>
      </c>
      <c r="C838">
        <v>14118893</v>
      </c>
      <c r="D838" t="s">
        <v>220</v>
      </c>
      <c r="E838" s="134">
        <v>445.8</v>
      </c>
      <c r="F838" t="s">
        <v>2816</v>
      </c>
    </row>
    <row r="839" spans="1:6" x14ac:dyDescent="0.2">
      <c r="A839" t="s">
        <v>2814</v>
      </c>
      <c r="B839" t="s">
        <v>2907</v>
      </c>
      <c r="C839">
        <v>14118956</v>
      </c>
      <c r="D839" t="s">
        <v>222</v>
      </c>
      <c r="E839" s="134">
        <v>268.36</v>
      </c>
      <c r="F839" t="s">
        <v>2816</v>
      </c>
    </row>
    <row r="840" spans="1:6" x14ac:dyDescent="0.2">
      <c r="A840" t="s">
        <v>2814</v>
      </c>
      <c r="B840" t="s">
        <v>2907</v>
      </c>
      <c r="C840">
        <v>14118957</v>
      </c>
      <c r="D840" t="s">
        <v>223</v>
      </c>
      <c r="E840" s="134">
        <v>645.79999999999995</v>
      </c>
      <c r="F840" t="s">
        <v>2816</v>
      </c>
    </row>
    <row r="841" spans="1:6" x14ac:dyDescent="0.2">
      <c r="A841" t="s">
        <v>2814</v>
      </c>
      <c r="B841" t="s">
        <v>2907</v>
      </c>
      <c r="C841">
        <v>14119018</v>
      </c>
      <c r="D841" t="s">
        <v>228</v>
      </c>
      <c r="E841" s="134">
        <v>268.36</v>
      </c>
      <c r="F841" t="s">
        <v>2816</v>
      </c>
    </row>
    <row r="842" spans="1:6" x14ac:dyDescent="0.2">
      <c r="A842" t="s">
        <v>2814</v>
      </c>
      <c r="B842" t="s">
        <v>2907</v>
      </c>
      <c r="C842">
        <v>14119057</v>
      </c>
      <c r="D842" t="s">
        <v>229</v>
      </c>
      <c r="E842" s="134">
        <v>268.36</v>
      </c>
      <c r="F842" t="s">
        <v>2816</v>
      </c>
    </row>
    <row r="843" spans="1:6" x14ac:dyDescent="0.2">
      <c r="A843" t="s">
        <v>2814</v>
      </c>
      <c r="B843" t="s">
        <v>2907</v>
      </c>
      <c r="C843">
        <v>14119076</v>
      </c>
      <c r="D843" t="s">
        <v>230</v>
      </c>
      <c r="E843" s="134">
        <v>268.36</v>
      </c>
      <c r="F843" t="s">
        <v>2816</v>
      </c>
    </row>
    <row r="844" spans="1:6" x14ac:dyDescent="0.2">
      <c r="A844" t="s">
        <v>2814</v>
      </c>
      <c r="B844" t="s">
        <v>2907</v>
      </c>
      <c r="C844">
        <v>14119153</v>
      </c>
      <c r="D844" t="s">
        <v>231</v>
      </c>
      <c r="E844" s="134">
        <v>268.36</v>
      </c>
      <c r="F844" t="s">
        <v>2816</v>
      </c>
    </row>
    <row r="845" spans="1:6" x14ac:dyDescent="0.2">
      <c r="A845" t="s">
        <v>2814</v>
      </c>
      <c r="B845" t="s">
        <v>2907</v>
      </c>
      <c r="C845">
        <v>14119155</v>
      </c>
      <c r="D845" t="s">
        <v>233</v>
      </c>
      <c r="E845" s="134">
        <v>268.36</v>
      </c>
      <c r="F845" t="s">
        <v>2816</v>
      </c>
    </row>
    <row r="846" spans="1:6" x14ac:dyDescent="0.2">
      <c r="A846" t="s">
        <v>2814</v>
      </c>
      <c r="B846" t="s">
        <v>2907</v>
      </c>
      <c r="C846">
        <v>14119175</v>
      </c>
      <c r="D846" t="s">
        <v>236</v>
      </c>
      <c r="E846" s="134">
        <v>268.36</v>
      </c>
      <c r="F846" t="s">
        <v>2816</v>
      </c>
    </row>
    <row r="847" spans="1:6" x14ac:dyDescent="0.2">
      <c r="A847" t="s">
        <v>2814</v>
      </c>
      <c r="B847" t="s">
        <v>2907</v>
      </c>
      <c r="C847">
        <v>14119271</v>
      </c>
      <c r="D847" t="s">
        <v>238</v>
      </c>
      <c r="E847" s="134">
        <v>268.36</v>
      </c>
      <c r="F847" t="s">
        <v>2816</v>
      </c>
    </row>
    <row r="848" spans="1:6" x14ac:dyDescent="0.2">
      <c r="A848" t="s">
        <v>2814</v>
      </c>
      <c r="B848" t="s">
        <v>2907</v>
      </c>
      <c r="C848">
        <v>14119324</v>
      </c>
      <c r="D848" t="s">
        <v>241</v>
      </c>
      <c r="E848" s="134">
        <v>268.36</v>
      </c>
      <c r="F848" t="s">
        <v>2816</v>
      </c>
    </row>
    <row r="849" spans="1:6" x14ac:dyDescent="0.2">
      <c r="A849" t="s">
        <v>2814</v>
      </c>
      <c r="B849" t="s">
        <v>2907</v>
      </c>
      <c r="C849">
        <v>14119357</v>
      </c>
      <c r="D849" t="s">
        <v>243</v>
      </c>
      <c r="E849" s="134">
        <v>645.79999999999995</v>
      </c>
      <c r="F849" t="s">
        <v>2816</v>
      </c>
    </row>
    <row r="850" spans="1:6" x14ac:dyDescent="0.2">
      <c r="A850" t="s">
        <v>2814</v>
      </c>
      <c r="B850" t="s">
        <v>2907</v>
      </c>
      <c r="C850">
        <v>14119437</v>
      </c>
      <c r="D850" t="s">
        <v>245</v>
      </c>
      <c r="E850" s="134">
        <v>645.79999999999995</v>
      </c>
      <c r="F850" t="s">
        <v>2816</v>
      </c>
    </row>
    <row r="851" spans="1:6" x14ac:dyDescent="0.2">
      <c r="A851" t="s">
        <v>2814</v>
      </c>
      <c r="B851" t="s">
        <v>2907</v>
      </c>
      <c r="C851">
        <v>14119481</v>
      </c>
      <c r="D851" t="s">
        <v>246</v>
      </c>
      <c r="E851" s="134">
        <v>311.62</v>
      </c>
      <c r="F851" t="s">
        <v>2816</v>
      </c>
    </row>
    <row r="852" spans="1:6" x14ac:dyDescent="0.2">
      <c r="A852" t="s">
        <v>2814</v>
      </c>
      <c r="B852" t="s">
        <v>2907</v>
      </c>
      <c r="C852">
        <v>14119482</v>
      </c>
      <c r="D852" t="s">
        <v>247</v>
      </c>
      <c r="E852" s="134">
        <v>645.79999999999995</v>
      </c>
      <c r="F852" t="s">
        <v>2816</v>
      </c>
    </row>
    <row r="853" spans="1:6" x14ac:dyDescent="0.2">
      <c r="A853" t="s">
        <v>2814</v>
      </c>
      <c r="B853" t="s">
        <v>2907</v>
      </c>
      <c r="C853">
        <v>14119517</v>
      </c>
      <c r="D853" t="s">
        <v>251</v>
      </c>
      <c r="E853" s="134">
        <v>645.79999999999995</v>
      </c>
      <c r="F853" t="s">
        <v>2816</v>
      </c>
    </row>
    <row r="854" spans="1:6" x14ac:dyDescent="0.2">
      <c r="A854" t="s">
        <v>2814</v>
      </c>
      <c r="B854" t="s">
        <v>2907</v>
      </c>
      <c r="C854">
        <v>14119539</v>
      </c>
      <c r="D854" t="s">
        <v>252</v>
      </c>
      <c r="E854" s="134">
        <v>645.79999999999995</v>
      </c>
      <c r="F854" t="s">
        <v>2816</v>
      </c>
    </row>
    <row r="855" spans="1:6" x14ac:dyDescent="0.2">
      <c r="A855" t="s">
        <v>2814</v>
      </c>
      <c r="B855" t="s">
        <v>2907</v>
      </c>
      <c r="C855">
        <v>14119540</v>
      </c>
      <c r="D855" t="s">
        <v>253</v>
      </c>
      <c r="E855" s="134">
        <v>645.79999999999995</v>
      </c>
      <c r="F855" t="s">
        <v>2816</v>
      </c>
    </row>
    <row r="856" spans="1:6" x14ac:dyDescent="0.2">
      <c r="A856" t="s">
        <v>2814</v>
      </c>
      <c r="B856" t="s">
        <v>2907</v>
      </c>
      <c r="C856">
        <v>14119598</v>
      </c>
      <c r="D856" t="s">
        <v>254</v>
      </c>
      <c r="E856" s="134">
        <v>268.36</v>
      </c>
      <c r="F856" t="s">
        <v>2816</v>
      </c>
    </row>
    <row r="857" spans="1:6" x14ac:dyDescent="0.2">
      <c r="A857" t="s">
        <v>2814</v>
      </c>
      <c r="B857" t="s">
        <v>2907</v>
      </c>
      <c r="C857">
        <v>14119701</v>
      </c>
      <c r="D857" t="s">
        <v>256</v>
      </c>
      <c r="E857" s="134">
        <v>2332.8000000000002</v>
      </c>
      <c r="F857" t="s">
        <v>2816</v>
      </c>
    </row>
    <row r="858" spans="1:6" x14ac:dyDescent="0.2">
      <c r="A858" t="s">
        <v>2814</v>
      </c>
      <c r="B858" t="s">
        <v>2907</v>
      </c>
      <c r="C858">
        <v>14119751</v>
      </c>
      <c r="D858" t="s">
        <v>257</v>
      </c>
      <c r="E858" s="134">
        <v>645.79999999999995</v>
      </c>
      <c r="F858" t="s">
        <v>2816</v>
      </c>
    </row>
    <row r="859" spans="1:6" x14ac:dyDescent="0.2">
      <c r="A859" t="s">
        <v>2814</v>
      </c>
      <c r="B859" t="s">
        <v>2907</v>
      </c>
      <c r="C859">
        <v>14119785</v>
      </c>
      <c r="D859" t="s">
        <v>258</v>
      </c>
      <c r="E859" s="134">
        <v>645.79999999999995</v>
      </c>
      <c r="F859" t="s">
        <v>2816</v>
      </c>
    </row>
    <row r="860" spans="1:6" x14ac:dyDescent="0.2">
      <c r="A860" t="s">
        <v>2814</v>
      </c>
      <c r="B860" t="s">
        <v>2907</v>
      </c>
      <c r="C860">
        <v>14119787</v>
      </c>
      <c r="D860" t="s">
        <v>260</v>
      </c>
      <c r="E860" s="134">
        <v>645.79999999999995</v>
      </c>
      <c r="F860" t="s">
        <v>2816</v>
      </c>
    </row>
    <row r="861" spans="1:6" x14ac:dyDescent="0.2">
      <c r="A861" t="s">
        <v>2814</v>
      </c>
      <c r="B861" t="s">
        <v>2907</v>
      </c>
      <c r="C861">
        <v>14119825</v>
      </c>
      <c r="D861" t="s">
        <v>262</v>
      </c>
      <c r="E861" s="134">
        <v>645.79999999999995</v>
      </c>
      <c r="F861" t="s">
        <v>2816</v>
      </c>
    </row>
    <row r="862" spans="1:6" x14ac:dyDescent="0.2">
      <c r="A862" t="s">
        <v>2814</v>
      </c>
      <c r="B862" t="s">
        <v>2907</v>
      </c>
      <c r="C862">
        <v>14119837</v>
      </c>
      <c r="D862" t="s">
        <v>264</v>
      </c>
      <c r="E862" s="134">
        <v>645.79999999999995</v>
      </c>
      <c r="F862" t="s">
        <v>2816</v>
      </c>
    </row>
    <row r="863" spans="1:6" x14ac:dyDescent="0.2">
      <c r="A863" t="s">
        <v>2814</v>
      </c>
      <c r="B863" t="s">
        <v>2907</v>
      </c>
      <c r="C863">
        <v>14119839</v>
      </c>
      <c r="D863" t="s">
        <v>265</v>
      </c>
      <c r="E863" s="134">
        <v>268.36</v>
      </c>
      <c r="F863" t="s">
        <v>2816</v>
      </c>
    </row>
    <row r="864" spans="1:6" x14ac:dyDescent="0.2">
      <c r="A864" t="s">
        <v>2814</v>
      </c>
      <c r="B864" t="s">
        <v>2907</v>
      </c>
      <c r="C864">
        <v>14119890</v>
      </c>
      <c r="D864" t="s">
        <v>266</v>
      </c>
      <c r="E864" s="134">
        <v>268.36</v>
      </c>
      <c r="F864" t="s">
        <v>2816</v>
      </c>
    </row>
    <row r="865" spans="1:6" x14ac:dyDescent="0.2">
      <c r="A865" t="s">
        <v>2814</v>
      </c>
      <c r="B865" t="s">
        <v>2907</v>
      </c>
      <c r="C865">
        <v>14119956</v>
      </c>
      <c r="D865" t="s">
        <v>269</v>
      </c>
      <c r="E865" s="134">
        <v>268.36</v>
      </c>
      <c r="F865" t="s">
        <v>2816</v>
      </c>
    </row>
    <row r="866" spans="1:6" x14ac:dyDescent="0.2">
      <c r="A866" t="s">
        <v>2814</v>
      </c>
      <c r="B866" t="s">
        <v>2907</v>
      </c>
      <c r="C866">
        <v>14120041</v>
      </c>
      <c r="D866" t="s">
        <v>272</v>
      </c>
      <c r="E866" s="134">
        <v>445.8</v>
      </c>
      <c r="F866" t="s">
        <v>2816</v>
      </c>
    </row>
    <row r="867" spans="1:6" x14ac:dyDescent="0.2">
      <c r="A867" t="s">
        <v>2814</v>
      </c>
      <c r="B867" t="s">
        <v>2907</v>
      </c>
      <c r="C867">
        <v>14120044</v>
      </c>
      <c r="D867" t="s">
        <v>273</v>
      </c>
      <c r="E867" s="134">
        <v>645.79999999999995</v>
      </c>
      <c r="F867" t="s">
        <v>2816</v>
      </c>
    </row>
    <row r="868" spans="1:6" x14ac:dyDescent="0.2">
      <c r="A868" t="s">
        <v>2814</v>
      </c>
      <c r="B868" t="s">
        <v>2907</v>
      </c>
      <c r="C868">
        <v>14120106</v>
      </c>
      <c r="D868" t="s">
        <v>277</v>
      </c>
      <c r="E868" s="134">
        <v>511.62</v>
      </c>
      <c r="F868" t="s">
        <v>2816</v>
      </c>
    </row>
    <row r="869" spans="1:6" x14ac:dyDescent="0.2">
      <c r="A869" t="s">
        <v>2814</v>
      </c>
      <c r="B869" t="s">
        <v>2907</v>
      </c>
      <c r="C869">
        <v>14120121</v>
      </c>
      <c r="D869" t="s">
        <v>278</v>
      </c>
      <c r="E869" s="134">
        <v>645.79999999999995</v>
      </c>
      <c r="F869" t="s">
        <v>2816</v>
      </c>
    </row>
    <row r="870" spans="1:6" x14ac:dyDescent="0.2">
      <c r="A870" t="s">
        <v>2814</v>
      </c>
      <c r="B870" t="s">
        <v>2907</v>
      </c>
      <c r="C870">
        <v>14120196</v>
      </c>
      <c r="D870" t="s">
        <v>279</v>
      </c>
      <c r="E870" s="134">
        <v>268.36</v>
      </c>
      <c r="F870" t="s">
        <v>2816</v>
      </c>
    </row>
    <row r="871" spans="1:6" x14ac:dyDescent="0.2">
      <c r="A871" t="s">
        <v>2814</v>
      </c>
      <c r="B871" t="s">
        <v>2907</v>
      </c>
      <c r="C871">
        <v>14120270</v>
      </c>
      <c r="D871" t="s">
        <v>281</v>
      </c>
      <c r="E871" s="134">
        <v>645.79999999999995</v>
      </c>
      <c r="F871" t="s">
        <v>2816</v>
      </c>
    </row>
    <row r="872" spans="1:6" x14ac:dyDescent="0.2">
      <c r="A872" t="s">
        <v>2814</v>
      </c>
      <c r="B872" t="s">
        <v>2907</v>
      </c>
      <c r="C872">
        <v>14120276</v>
      </c>
      <c r="D872" t="s">
        <v>282</v>
      </c>
      <c r="E872" s="134">
        <v>645.79999999999995</v>
      </c>
      <c r="F872" t="s">
        <v>2816</v>
      </c>
    </row>
    <row r="873" spans="1:6" x14ac:dyDescent="0.2">
      <c r="A873" t="s">
        <v>2814</v>
      </c>
      <c r="B873" t="s">
        <v>2907</v>
      </c>
      <c r="C873">
        <v>14120349</v>
      </c>
      <c r="D873" t="s">
        <v>284</v>
      </c>
      <c r="E873" s="134">
        <v>268.36</v>
      </c>
      <c r="F873" t="s">
        <v>2816</v>
      </c>
    </row>
    <row r="874" spans="1:6" x14ac:dyDescent="0.2">
      <c r="A874" t="s">
        <v>2814</v>
      </c>
      <c r="B874" t="s">
        <v>2907</v>
      </c>
      <c r="C874">
        <v>14120415</v>
      </c>
      <c r="D874" t="s">
        <v>286</v>
      </c>
      <c r="E874" s="134">
        <v>645.79999999999995</v>
      </c>
      <c r="F874" t="s">
        <v>2816</v>
      </c>
    </row>
    <row r="875" spans="1:6" x14ac:dyDescent="0.2">
      <c r="A875" t="s">
        <v>2814</v>
      </c>
      <c r="B875" t="s">
        <v>2907</v>
      </c>
      <c r="C875">
        <v>14101142</v>
      </c>
      <c r="D875" t="s">
        <v>906</v>
      </c>
      <c r="E875" s="134">
        <v>268.36</v>
      </c>
      <c r="F875" t="s">
        <v>2816</v>
      </c>
    </row>
    <row r="876" spans="1:6" x14ac:dyDescent="0.2">
      <c r="A876" t="s">
        <v>2814</v>
      </c>
      <c r="B876" t="s">
        <v>2907</v>
      </c>
      <c r="C876">
        <v>14101145</v>
      </c>
      <c r="D876" t="s">
        <v>908</v>
      </c>
      <c r="E876" s="134">
        <v>645.79999999999995</v>
      </c>
      <c r="F876" t="s">
        <v>2816</v>
      </c>
    </row>
    <row r="877" spans="1:6" x14ac:dyDescent="0.2">
      <c r="A877" t="s">
        <v>2814</v>
      </c>
      <c r="B877" t="s">
        <v>2907</v>
      </c>
      <c r="C877">
        <v>14103700</v>
      </c>
      <c r="D877" t="s">
        <v>910</v>
      </c>
      <c r="E877" s="134">
        <v>645.79999999999995</v>
      </c>
      <c r="F877" t="s">
        <v>2816</v>
      </c>
    </row>
    <row r="878" spans="1:6" x14ac:dyDescent="0.2">
      <c r="A878" t="s">
        <v>2814</v>
      </c>
      <c r="B878" t="s">
        <v>2907</v>
      </c>
      <c r="C878">
        <v>14109275</v>
      </c>
      <c r="D878" t="s">
        <v>912</v>
      </c>
      <c r="E878" s="134">
        <v>645.79999999999995</v>
      </c>
      <c r="F878" t="s">
        <v>2816</v>
      </c>
    </row>
    <row r="879" spans="1:6" x14ac:dyDescent="0.2">
      <c r="A879" t="s">
        <v>2814</v>
      </c>
      <c r="B879" t="s">
        <v>2907</v>
      </c>
      <c r="C879">
        <v>14109276</v>
      </c>
      <c r="D879" t="s">
        <v>914</v>
      </c>
      <c r="E879" s="134">
        <v>645.79999999999995</v>
      </c>
      <c r="F879" t="s">
        <v>2816</v>
      </c>
    </row>
    <row r="880" spans="1:6" x14ac:dyDescent="0.2">
      <c r="A880" t="s">
        <v>2814</v>
      </c>
      <c r="B880" t="s">
        <v>2907</v>
      </c>
      <c r="C880">
        <v>14100714</v>
      </c>
      <c r="D880" t="s">
        <v>6</v>
      </c>
      <c r="E880" s="134">
        <v>645.79999999999995</v>
      </c>
      <c r="F880" t="s">
        <v>2816</v>
      </c>
    </row>
    <row r="881" spans="1:6" x14ac:dyDescent="0.2">
      <c r="A881" t="s">
        <v>2814</v>
      </c>
      <c r="B881" t="s">
        <v>2907</v>
      </c>
      <c r="C881">
        <v>14100718</v>
      </c>
      <c r="D881" t="s">
        <v>8</v>
      </c>
      <c r="E881" s="134">
        <v>268.36</v>
      </c>
      <c r="F881" t="s">
        <v>2816</v>
      </c>
    </row>
    <row r="882" spans="1:6" x14ac:dyDescent="0.2">
      <c r="A882" t="s">
        <v>2814</v>
      </c>
      <c r="B882" t="s">
        <v>2907</v>
      </c>
      <c r="C882">
        <v>14100721</v>
      </c>
      <c r="D882" t="s">
        <v>9</v>
      </c>
      <c r="E882" s="134">
        <v>268.36</v>
      </c>
      <c r="F882" t="s">
        <v>2816</v>
      </c>
    </row>
    <row r="883" spans="1:6" x14ac:dyDescent="0.2">
      <c r="A883" t="s">
        <v>2814</v>
      </c>
      <c r="B883" t="s">
        <v>2907</v>
      </c>
      <c r="C883">
        <v>14100724</v>
      </c>
      <c r="D883" t="s">
        <v>10</v>
      </c>
      <c r="E883" s="134">
        <v>645.79999999999995</v>
      </c>
      <c r="F883" t="s">
        <v>2816</v>
      </c>
    </row>
    <row r="884" spans="1:6" x14ac:dyDescent="0.2">
      <c r="A884" t="s">
        <v>2814</v>
      </c>
      <c r="B884" t="s">
        <v>2907</v>
      </c>
      <c r="C884">
        <v>14100725</v>
      </c>
      <c r="D884" t="s">
        <v>11</v>
      </c>
      <c r="E884" s="134">
        <v>268.36</v>
      </c>
      <c r="F884" t="s">
        <v>2816</v>
      </c>
    </row>
    <row r="885" spans="1:6" x14ac:dyDescent="0.2">
      <c r="A885" t="s">
        <v>2814</v>
      </c>
      <c r="B885" t="s">
        <v>2907</v>
      </c>
      <c r="C885">
        <v>14100726</v>
      </c>
      <c r="D885" t="s">
        <v>12</v>
      </c>
      <c r="E885" s="134">
        <v>645.79999999999995</v>
      </c>
      <c r="F885" t="s">
        <v>2816</v>
      </c>
    </row>
    <row r="886" spans="1:6" x14ac:dyDescent="0.2">
      <c r="A886" t="s">
        <v>2814</v>
      </c>
      <c r="B886" t="s">
        <v>2907</v>
      </c>
      <c r="C886">
        <v>14100727</v>
      </c>
      <c r="D886" t="s">
        <v>13</v>
      </c>
      <c r="E886" s="134">
        <v>268.36</v>
      </c>
      <c r="F886" t="s">
        <v>2816</v>
      </c>
    </row>
    <row r="887" spans="1:6" x14ac:dyDescent="0.2">
      <c r="A887" t="s">
        <v>2814</v>
      </c>
      <c r="B887" t="s">
        <v>2907</v>
      </c>
      <c r="C887">
        <v>14100729</v>
      </c>
      <c r="D887" t="s">
        <v>14</v>
      </c>
      <c r="E887" s="134">
        <v>268.36</v>
      </c>
      <c r="F887" t="s">
        <v>2816</v>
      </c>
    </row>
    <row r="888" spans="1:6" x14ac:dyDescent="0.2">
      <c r="A888" t="s">
        <v>2814</v>
      </c>
      <c r="B888" t="s">
        <v>2907</v>
      </c>
      <c r="C888">
        <v>14100731</v>
      </c>
      <c r="D888" t="s">
        <v>15</v>
      </c>
      <c r="E888" s="134">
        <v>268.36</v>
      </c>
      <c r="F888" t="s">
        <v>2816</v>
      </c>
    </row>
    <row r="889" spans="1:6" x14ac:dyDescent="0.2">
      <c r="A889" t="s">
        <v>2814</v>
      </c>
      <c r="B889" t="s">
        <v>2907</v>
      </c>
      <c r="C889">
        <v>14100732</v>
      </c>
      <c r="D889" t="s">
        <v>16</v>
      </c>
      <c r="E889" s="134">
        <v>645.79999999999995</v>
      </c>
      <c r="F889" t="s">
        <v>2816</v>
      </c>
    </row>
    <row r="890" spans="1:6" x14ac:dyDescent="0.2">
      <c r="A890" t="s">
        <v>2814</v>
      </c>
      <c r="B890" t="s">
        <v>2907</v>
      </c>
      <c r="C890">
        <v>14100733</v>
      </c>
      <c r="D890" t="s">
        <v>17</v>
      </c>
      <c r="E890" s="134">
        <v>268.36</v>
      </c>
      <c r="F890" t="s">
        <v>2816</v>
      </c>
    </row>
    <row r="891" spans="1:6" x14ac:dyDescent="0.2">
      <c r="A891" t="s">
        <v>2814</v>
      </c>
      <c r="B891" t="s">
        <v>2907</v>
      </c>
      <c r="C891">
        <v>14100740</v>
      </c>
      <c r="D891" t="s">
        <v>18</v>
      </c>
      <c r="E891" s="134">
        <v>268.36</v>
      </c>
      <c r="F891" t="s">
        <v>2816</v>
      </c>
    </row>
    <row r="892" spans="1:6" x14ac:dyDescent="0.2">
      <c r="A892" t="s">
        <v>2814</v>
      </c>
      <c r="B892" t="s">
        <v>2907</v>
      </c>
      <c r="C892">
        <v>14100787</v>
      </c>
      <c r="D892" t="s">
        <v>20</v>
      </c>
      <c r="E892" s="134">
        <v>268.36</v>
      </c>
      <c r="F892" t="s">
        <v>2816</v>
      </c>
    </row>
    <row r="893" spans="1:6" x14ac:dyDescent="0.2">
      <c r="A893" t="s">
        <v>2814</v>
      </c>
      <c r="B893" t="s">
        <v>2907</v>
      </c>
      <c r="C893">
        <v>14100795</v>
      </c>
      <c r="D893" t="s">
        <v>21</v>
      </c>
      <c r="E893" s="134">
        <v>468.36</v>
      </c>
      <c r="F893" t="s">
        <v>2816</v>
      </c>
    </row>
    <row r="894" spans="1:6" x14ac:dyDescent="0.2">
      <c r="A894" t="s">
        <v>2814</v>
      </c>
      <c r="B894" t="s">
        <v>2907</v>
      </c>
      <c r="C894">
        <v>14100798</v>
      </c>
      <c r="D894" t="s">
        <v>22</v>
      </c>
      <c r="E894" s="134">
        <v>645.79999999999995</v>
      </c>
      <c r="F894" t="s">
        <v>2816</v>
      </c>
    </row>
    <row r="895" spans="1:6" x14ac:dyDescent="0.2">
      <c r="A895" t="s">
        <v>2814</v>
      </c>
      <c r="B895" t="s">
        <v>2907</v>
      </c>
      <c r="C895">
        <v>14100807</v>
      </c>
      <c r="D895" t="s">
        <v>23</v>
      </c>
      <c r="E895" s="134">
        <v>645.79999999999995</v>
      </c>
      <c r="F895" t="s">
        <v>2816</v>
      </c>
    </row>
    <row r="896" spans="1:6" x14ac:dyDescent="0.2">
      <c r="A896" t="s">
        <v>2814</v>
      </c>
      <c r="B896" t="s">
        <v>2907</v>
      </c>
      <c r="C896">
        <v>14100823</v>
      </c>
      <c r="D896" t="s">
        <v>274</v>
      </c>
      <c r="E896" s="134">
        <v>645.79999999999995</v>
      </c>
      <c r="F896" t="s">
        <v>2816</v>
      </c>
    </row>
    <row r="897" spans="1:6" x14ac:dyDescent="0.2">
      <c r="A897" t="s">
        <v>2814</v>
      </c>
      <c r="B897" t="s">
        <v>2907</v>
      </c>
      <c r="C897">
        <v>14100863</v>
      </c>
      <c r="D897" t="s">
        <v>25</v>
      </c>
      <c r="E897" s="134">
        <v>645.79999999999995</v>
      </c>
      <c r="F897" t="s">
        <v>2816</v>
      </c>
    </row>
    <row r="898" spans="1:6" x14ac:dyDescent="0.2">
      <c r="A898" t="s">
        <v>2814</v>
      </c>
      <c r="B898" t="s">
        <v>2907</v>
      </c>
      <c r="C898">
        <v>14100902</v>
      </c>
      <c r="D898" t="s">
        <v>347</v>
      </c>
      <c r="E898" s="134">
        <v>445.8</v>
      </c>
      <c r="F898" t="s">
        <v>2816</v>
      </c>
    </row>
    <row r="899" spans="1:6" x14ac:dyDescent="0.2">
      <c r="A899" t="s">
        <v>2814</v>
      </c>
      <c r="B899" t="s">
        <v>2907</v>
      </c>
      <c r="C899">
        <v>14101881</v>
      </c>
      <c r="D899" t="s">
        <v>26</v>
      </c>
      <c r="E899" s="134">
        <v>268.36</v>
      </c>
      <c r="F899" t="s">
        <v>2816</v>
      </c>
    </row>
    <row r="900" spans="1:6" x14ac:dyDescent="0.2">
      <c r="A900" t="s">
        <v>2814</v>
      </c>
      <c r="B900" t="s">
        <v>2907</v>
      </c>
      <c r="C900">
        <v>14101984</v>
      </c>
      <c r="D900" t="s">
        <v>27</v>
      </c>
      <c r="E900" s="134">
        <v>268.36</v>
      </c>
      <c r="F900" t="s">
        <v>2816</v>
      </c>
    </row>
    <row r="901" spans="1:6" x14ac:dyDescent="0.2">
      <c r="A901" t="s">
        <v>2814</v>
      </c>
      <c r="B901" t="s">
        <v>2907</v>
      </c>
      <c r="C901">
        <v>14102288</v>
      </c>
      <c r="D901" t="s">
        <v>29</v>
      </c>
      <c r="E901" s="134">
        <v>645.79999999999995</v>
      </c>
      <c r="F901" t="s">
        <v>2816</v>
      </c>
    </row>
    <row r="902" spans="1:6" x14ac:dyDescent="0.2">
      <c r="A902" t="s">
        <v>2814</v>
      </c>
      <c r="B902" t="s">
        <v>2907</v>
      </c>
      <c r="C902">
        <v>14102701</v>
      </c>
      <c r="D902" t="s">
        <v>30</v>
      </c>
      <c r="E902" s="134">
        <v>268.36</v>
      </c>
      <c r="F902" t="s">
        <v>2816</v>
      </c>
    </row>
    <row r="903" spans="1:6" x14ac:dyDescent="0.2">
      <c r="A903" t="s">
        <v>2814</v>
      </c>
      <c r="B903" t="s">
        <v>2907</v>
      </c>
      <c r="C903">
        <v>14102730</v>
      </c>
      <c r="D903" t="s">
        <v>31</v>
      </c>
      <c r="E903" s="134">
        <v>645.79999999999995</v>
      </c>
      <c r="F903" t="s">
        <v>2816</v>
      </c>
    </row>
    <row r="904" spans="1:6" x14ac:dyDescent="0.2">
      <c r="A904" t="s">
        <v>2814</v>
      </c>
      <c r="B904" t="s">
        <v>2907</v>
      </c>
      <c r="C904">
        <v>14102875</v>
      </c>
      <c r="D904" t="s">
        <v>32</v>
      </c>
      <c r="E904" s="134">
        <v>268.36</v>
      </c>
      <c r="F904" t="s">
        <v>2816</v>
      </c>
    </row>
    <row r="905" spans="1:6" x14ac:dyDescent="0.2">
      <c r="A905" t="s">
        <v>2814</v>
      </c>
      <c r="B905" t="s">
        <v>2907</v>
      </c>
      <c r="C905">
        <v>14102890</v>
      </c>
      <c r="D905" t="s">
        <v>33</v>
      </c>
      <c r="E905" s="134">
        <v>468.36</v>
      </c>
      <c r="F905" t="s">
        <v>2816</v>
      </c>
    </row>
    <row r="906" spans="1:6" x14ac:dyDescent="0.2">
      <c r="A906" t="s">
        <v>2814</v>
      </c>
      <c r="B906" t="s">
        <v>2907</v>
      </c>
      <c r="C906">
        <v>14103061</v>
      </c>
      <c r="D906" t="s">
        <v>392</v>
      </c>
      <c r="E906" s="134">
        <v>645.79999999999995</v>
      </c>
      <c r="F906" t="s">
        <v>2816</v>
      </c>
    </row>
    <row r="907" spans="1:6" x14ac:dyDescent="0.2">
      <c r="A907" t="s">
        <v>2814</v>
      </c>
      <c r="B907" t="s">
        <v>2907</v>
      </c>
      <c r="C907">
        <v>14103106</v>
      </c>
      <c r="D907" t="s">
        <v>34</v>
      </c>
      <c r="E907" s="134">
        <v>268.36</v>
      </c>
      <c r="F907" t="s">
        <v>2816</v>
      </c>
    </row>
    <row r="908" spans="1:6" x14ac:dyDescent="0.2">
      <c r="A908" t="s">
        <v>2814</v>
      </c>
      <c r="B908" t="s">
        <v>2907</v>
      </c>
      <c r="C908">
        <v>14103183</v>
      </c>
      <c r="D908" t="s">
        <v>35</v>
      </c>
      <c r="E908" s="134">
        <v>268.36</v>
      </c>
      <c r="F908" t="s">
        <v>2816</v>
      </c>
    </row>
    <row r="909" spans="1:6" x14ac:dyDescent="0.2">
      <c r="A909" t="s">
        <v>2814</v>
      </c>
      <c r="B909" t="s">
        <v>2907</v>
      </c>
      <c r="C909">
        <v>14103335</v>
      </c>
      <c r="D909" t="s">
        <v>36</v>
      </c>
      <c r="E909" s="134">
        <v>645.79999999999995</v>
      </c>
      <c r="F909" t="s">
        <v>2816</v>
      </c>
    </row>
    <row r="910" spans="1:6" x14ac:dyDescent="0.2">
      <c r="A910" t="s">
        <v>2814</v>
      </c>
      <c r="B910" t="s">
        <v>2907</v>
      </c>
      <c r="C910">
        <v>14103679</v>
      </c>
      <c r="D910" t="s">
        <v>37</v>
      </c>
      <c r="E910" s="134">
        <v>268.36</v>
      </c>
      <c r="F910" t="s">
        <v>2816</v>
      </c>
    </row>
    <row r="911" spans="1:6" x14ac:dyDescent="0.2">
      <c r="A911" t="s">
        <v>2814</v>
      </c>
      <c r="B911" t="s">
        <v>2907</v>
      </c>
      <c r="C911">
        <v>14103952</v>
      </c>
      <c r="D911" t="s">
        <v>38</v>
      </c>
      <c r="E911" s="134">
        <v>645.79999999999995</v>
      </c>
      <c r="F911" t="s">
        <v>2816</v>
      </c>
    </row>
    <row r="912" spans="1:6" x14ac:dyDescent="0.2">
      <c r="A912" t="s">
        <v>2814</v>
      </c>
      <c r="B912" t="s">
        <v>2907</v>
      </c>
      <c r="C912">
        <v>14104315</v>
      </c>
      <c r="D912" t="s">
        <v>328</v>
      </c>
      <c r="E912" s="134">
        <v>445.8</v>
      </c>
      <c r="F912" t="s">
        <v>2816</v>
      </c>
    </row>
    <row r="913" spans="1:6" x14ac:dyDescent="0.2">
      <c r="A913" t="s">
        <v>2814</v>
      </c>
      <c r="B913" t="s">
        <v>2907</v>
      </c>
      <c r="C913">
        <v>14104316</v>
      </c>
      <c r="D913" t="s">
        <v>39</v>
      </c>
      <c r="E913" s="134">
        <v>268.36</v>
      </c>
      <c r="F913" t="s">
        <v>2816</v>
      </c>
    </row>
    <row r="914" spans="1:6" x14ac:dyDescent="0.2">
      <c r="A914" t="s">
        <v>2814</v>
      </c>
      <c r="B914" t="s">
        <v>2907</v>
      </c>
      <c r="C914">
        <v>14104599</v>
      </c>
      <c r="D914" t="s">
        <v>40</v>
      </c>
      <c r="E914" s="134">
        <v>134.18</v>
      </c>
      <c r="F914" t="s">
        <v>2816</v>
      </c>
    </row>
    <row r="915" spans="1:6" x14ac:dyDescent="0.2">
      <c r="A915" t="s">
        <v>2814</v>
      </c>
      <c r="B915" t="s">
        <v>2907</v>
      </c>
      <c r="C915">
        <v>14104822</v>
      </c>
      <c r="D915" t="s">
        <v>41</v>
      </c>
      <c r="E915" s="134">
        <v>268.36</v>
      </c>
      <c r="F915" t="s">
        <v>2816</v>
      </c>
    </row>
    <row r="916" spans="1:6" x14ac:dyDescent="0.2">
      <c r="A916" t="s">
        <v>2814</v>
      </c>
      <c r="B916" t="s">
        <v>2907</v>
      </c>
      <c r="C916">
        <v>14104932</v>
      </c>
      <c r="D916" t="s">
        <v>42</v>
      </c>
      <c r="E916" s="134">
        <v>268.36</v>
      </c>
      <c r="F916" t="s">
        <v>2816</v>
      </c>
    </row>
    <row r="917" spans="1:6" x14ac:dyDescent="0.2">
      <c r="A917" t="s">
        <v>2814</v>
      </c>
      <c r="B917" t="s">
        <v>2907</v>
      </c>
      <c r="C917">
        <v>14104971</v>
      </c>
      <c r="D917" t="s">
        <v>43</v>
      </c>
      <c r="E917" s="134">
        <v>268.36</v>
      </c>
      <c r="F917" t="s">
        <v>2816</v>
      </c>
    </row>
    <row r="918" spans="1:6" x14ac:dyDescent="0.2">
      <c r="A918" t="s">
        <v>2814</v>
      </c>
      <c r="B918" t="s">
        <v>2907</v>
      </c>
      <c r="C918">
        <v>14105437</v>
      </c>
      <c r="D918" t="s">
        <v>44</v>
      </c>
      <c r="E918" s="134">
        <v>645.79999999999995</v>
      </c>
      <c r="F918" t="s">
        <v>2816</v>
      </c>
    </row>
    <row r="919" spans="1:6" x14ac:dyDescent="0.2">
      <c r="A919" t="s">
        <v>2814</v>
      </c>
      <c r="B919" t="s">
        <v>2907</v>
      </c>
      <c r="C919">
        <v>14105531</v>
      </c>
      <c r="D919" t="s">
        <v>45</v>
      </c>
      <c r="E919" s="134">
        <v>445.8</v>
      </c>
      <c r="F919" t="s">
        <v>2816</v>
      </c>
    </row>
    <row r="920" spans="1:6" x14ac:dyDescent="0.2">
      <c r="A920" t="s">
        <v>2814</v>
      </c>
      <c r="B920" t="s">
        <v>2907</v>
      </c>
      <c r="C920">
        <v>14105586</v>
      </c>
      <c r="D920" t="s">
        <v>46</v>
      </c>
      <c r="E920" s="134">
        <v>645.79999999999995</v>
      </c>
      <c r="F920" t="s">
        <v>2816</v>
      </c>
    </row>
    <row r="921" spans="1:6" x14ac:dyDescent="0.2">
      <c r="A921" t="s">
        <v>2814</v>
      </c>
      <c r="B921" t="s">
        <v>2907</v>
      </c>
      <c r="C921">
        <v>14105645</v>
      </c>
      <c r="D921" t="s">
        <v>160</v>
      </c>
      <c r="E921" s="134">
        <v>268.36</v>
      </c>
      <c r="F921" t="s">
        <v>2816</v>
      </c>
    </row>
    <row r="922" spans="1:6" x14ac:dyDescent="0.2">
      <c r="A922" t="s">
        <v>2814</v>
      </c>
      <c r="B922" t="s">
        <v>2907</v>
      </c>
      <c r="C922">
        <v>14106033</v>
      </c>
      <c r="D922" t="s">
        <v>47</v>
      </c>
      <c r="E922" s="134">
        <v>645.79999999999995</v>
      </c>
      <c r="F922" t="s">
        <v>2816</v>
      </c>
    </row>
    <row r="923" spans="1:6" x14ac:dyDescent="0.2">
      <c r="A923" t="s">
        <v>2814</v>
      </c>
      <c r="B923" t="s">
        <v>2907</v>
      </c>
      <c r="C923">
        <v>14106233</v>
      </c>
      <c r="D923" t="s">
        <v>340</v>
      </c>
      <c r="E923" s="134">
        <v>511.62</v>
      </c>
      <c r="F923" t="s">
        <v>2816</v>
      </c>
    </row>
    <row r="924" spans="1:6" x14ac:dyDescent="0.2">
      <c r="A924" t="s">
        <v>2814</v>
      </c>
      <c r="B924" t="s">
        <v>2907</v>
      </c>
      <c r="C924">
        <v>14106368</v>
      </c>
      <c r="D924" t="s">
        <v>50</v>
      </c>
      <c r="E924" s="134">
        <v>268.36</v>
      </c>
      <c r="F924" t="s">
        <v>2816</v>
      </c>
    </row>
    <row r="925" spans="1:6" x14ac:dyDescent="0.2">
      <c r="A925" t="s">
        <v>2814</v>
      </c>
      <c r="B925" t="s">
        <v>2907</v>
      </c>
      <c r="C925">
        <v>14106438</v>
      </c>
      <c r="D925" t="s">
        <v>51</v>
      </c>
      <c r="E925" s="134">
        <v>268.36</v>
      </c>
      <c r="F925" t="s">
        <v>2816</v>
      </c>
    </row>
    <row r="926" spans="1:6" x14ac:dyDescent="0.2">
      <c r="A926" t="s">
        <v>2814</v>
      </c>
      <c r="B926" t="s">
        <v>2907</v>
      </c>
      <c r="C926">
        <v>14106949</v>
      </c>
      <c r="D926" t="s">
        <v>53</v>
      </c>
      <c r="E926" s="134">
        <v>645.79999999999995</v>
      </c>
      <c r="F926" t="s">
        <v>2816</v>
      </c>
    </row>
    <row r="927" spans="1:6" x14ac:dyDescent="0.2">
      <c r="A927" t="s">
        <v>2814</v>
      </c>
      <c r="B927" t="s">
        <v>2907</v>
      </c>
      <c r="C927">
        <v>14106980</v>
      </c>
      <c r="D927" t="s">
        <v>54</v>
      </c>
      <c r="E927" s="134">
        <v>1022.8</v>
      </c>
      <c r="F927" t="s">
        <v>2816</v>
      </c>
    </row>
    <row r="928" spans="1:6" x14ac:dyDescent="0.2">
      <c r="A928" t="s">
        <v>2814</v>
      </c>
      <c r="B928" t="s">
        <v>2907</v>
      </c>
      <c r="C928">
        <v>14107081</v>
      </c>
      <c r="D928" t="s">
        <v>55</v>
      </c>
      <c r="E928" s="134">
        <v>268.36</v>
      </c>
      <c r="F928" t="s">
        <v>2816</v>
      </c>
    </row>
    <row r="929" spans="1:6" x14ac:dyDescent="0.2">
      <c r="A929" t="s">
        <v>2814</v>
      </c>
      <c r="B929" t="s">
        <v>2907</v>
      </c>
      <c r="C929">
        <v>14107167</v>
      </c>
      <c r="D929" t="s">
        <v>56</v>
      </c>
      <c r="E929" s="134">
        <v>268.36</v>
      </c>
      <c r="F929" t="s">
        <v>2816</v>
      </c>
    </row>
    <row r="930" spans="1:6" x14ac:dyDescent="0.2">
      <c r="A930" t="s">
        <v>2814</v>
      </c>
      <c r="B930" t="s">
        <v>2907</v>
      </c>
      <c r="C930">
        <v>14107206</v>
      </c>
      <c r="D930" t="s">
        <v>58</v>
      </c>
      <c r="E930" s="134">
        <v>268.36</v>
      </c>
      <c r="F930" t="s">
        <v>2816</v>
      </c>
    </row>
    <row r="931" spans="1:6" x14ac:dyDescent="0.2">
      <c r="A931" t="s">
        <v>2814</v>
      </c>
      <c r="B931" t="s">
        <v>2907</v>
      </c>
      <c r="C931">
        <v>14107217</v>
      </c>
      <c r="D931" t="s">
        <v>59</v>
      </c>
      <c r="E931" s="134">
        <v>134.18</v>
      </c>
      <c r="F931" t="s">
        <v>2816</v>
      </c>
    </row>
    <row r="932" spans="1:6" x14ac:dyDescent="0.2">
      <c r="A932" t="s">
        <v>2814</v>
      </c>
      <c r="B932" t="s">
        <v>2907</v>
      </c>
      <c r="C932">
        <v>14107293</v>
      </c>
      <c r="D932" t="s">
        <v>191</v>
      </c>
      <c r="E932" s="134">
        <v>268.36</v>
      </c>
      <c r="F932" t="s">
        <v>2816</v>
      </c>
    </row>
    <row r="933" spans="1:6" x14ac:dyDescent="0.2">
      <c r="A933" t="s">
        <v>2814</v>
      </c>
      <c r="B933" t="s">
        <v>2907</v>
      </c>
      <c r="C933">
        <v>14107393</v>
      </c>
      <c r="D933" t="s">
        <v>61</v>
      </c>
      <c r="E933" s="134">
        <v>268.36</v>
      </c>
      <c r="F933" t="s">
        <v>2816</v>
      </c>
    </row>
    <row r="934" spans="1:6" x14ac:dyDescent="0.2">
      <c r="A934" t="s">
        <v>2814</v>
      </c>
      <c r="B934" t="s">
        <v>2907</v>
      </c>
      <c r="C934">
        <v>14107484</v>
      </c>
      <c r="D934" t="s">
        <v>62</v>
      </c>
      <c r="E934" s="134">
        <v>645.79999999999995</v>
      </c>
      <c r="F934" t="s">
        <v>2816</v>
      </c>
    </row>
    <row r="935" spans="1:6" x14ac:dyDescent="0.2">
      <c r="A935" t="s">
        <v>2814</v>
      </c>
      <c r="B935" t="s">
        <v>2907</v>
      </c>
      <c r="C935">
        <v>14107552</v>
      </c>
      <c r="D935" t="s">
        <v>63</v>
      </c>
      <c r="E935" s="134">
        <v>268.36</v>
      </c>
      <c r="F935" t="s">
        <v>2816</v>
      </c>
    </row>
    <row r="936" spans="1:6" x14ac:dyDescent="0.2">
      <c r="A936" t="s">
        <v>2814</v>
      </c>
      <c r="B936" t="s">
        <v>2907</v>
      </c>
      <c r="C936">
        <v>14107735</v>
      </c>
      <c r="D936" t="s">
        <v>64</v>
      </c>
      <c r="E936" s="134">
        <v>645.79999999999995</v>
      </c>
      <c r="F936" t="s">
        <v>2816</v>
      </c>
    </row>
    <row r="937" spans="1:6" x14ac:dyDescent="0.2">
      <c r="A937" t="s">
        <v>2814</v>
      </c>
      <c r="B937" t="s">
        <v>2907</v>
      </c>
      <c r="C937">
        <v>14107754</v>
      </c>
      <c r="D937" t="s">
        <v>65</v>
      </c>
      <c r="E937" s="134">
        <v>645.79999999999995</v>
      </c>
      <c r="F937" t="s">
        <v>2816</v>
      </c>
    </row>
    <row r="938" spans="1:6" x14ac:dyDescent="0.2">
      <c r="A938" t="s">
        <v>2814</v>
      </c>
      <c r="B938" t="s">
        <v>2907</v>
      </c>
      <c r="C938">
        <v>14107840</v>
      </c>
      <c r="D938" t="s">
        <v>66</v>
      </c>
      <c r="E938" s="134">
        <v>645.79999999999995</v>
      </c>
      <c r="F938" t="s">
        <v>2816</v>
      </c>
    </row>
    <row r="939" spans="1:6" x14ac:dyDescent="0.2">
      <c r="A939" t="s">
        <v>2814</v>
      </c>
      <c r="B939" t="s">
        <v>2907</v>
      </c>
      <c r="C939">
        <v>14107967</v>
      </c>
      <c r="D939" t="s">
        <v>67</v>
      </c>
      <c r="E939" s="134">
        <v>268.36</v>
      </c>
      <c r="F939" t="s">
        <v>2816</v>
      </c>
    </row>
    <row r="940" spans="1:6" x14ac:dyDescent="0.2">
      <c r="A940" t="s">
        <v>2814</v>
      </c>
      <c r="B940" t="s">
        <v>2907</v>
      </c>
      <c r="C940">
        <v>14107978</v>
      </c>
      <c r="D940" t="s">
        <v>68</v>
      </c>
      <c r="E940" s="134">
        <v>645.79999999999995</v>
      </c>
      <c r="F940" t="s">
        <v>2816</v>
      </c>
    </row>
    <row r="941" spans="1:6" x14ac:dyDescent="0.2">
      <c r="A941" t="s">
        <v>2814</v>
      </c>
      <c r="B941" t="s">
        <v>2907</v>
      </c>
      <c r="C941">
        <v>14108111</v>
      </c>
      <c r="D941" t="s">
        <v>69</v>
      </c>
      <c r="E941" s="134">
        <v>268.36</v>
      </c>
      <c r="F941" t="s">
        <v>2816</v>
      </c>
    </row>
    <row r="942" spans="1:6" x14ac:dyDescent="0.2">
      <c r="A942" t="s">
        <v>2814</v>
      </c>
      <c r="B942" t="s">
        <v>2907</v>
      </c>
      <c r="C942">
        <v>14108150</v>
      </c>
      <c r="D942" t="s">
        <v>70</v>
      </c>
      <c r="E942" s="134">
        <v>645.79999999999995</v>
      </c>
      <c r="F942" t="s">
        <v>2816</v>
      </c>
    </row>
    <row r="943" spans="1:6" x14ac:dyDescent="0.2">
      <c r="A943" t="s">
        <v>2814</v>
      </c>
      <c r="B943" t="s">
        <v>2907</v>
      </c>
      <c r="C943">
        <v>14108222</v>
      </c>
      <c r="D943" t="s">
        <v>71</v>
      </c>
      <c r="E943" s="134">
        <v>268.36</v>
      </c>
      <c r="F943" t="s">
        <v>2816</v>
      </c>
    </row>
    <row r="944" spans="1:6" x14ac:dyDescent="0.2">
      <c r="A944" t="s">
        <v>2814</v>
      </c>
      <c r="B944" t="s">
        <v>2907</v>
      </c>
      <c r="C944">
        <v>14108267</v>
      </c>
      <c r="D944" t="s">
        <v>72</v>
      </c>
      <c r="E944" s="134">
        <v>445.8</v>
      </c>
      <c r="F944" t="s">
        <v>2816</v>
      </c>
    </row>
    <row r="945" spans="1:6" x14ac:dyDescent="0.2">
      <c r="A945" t="s">
        <v>2814</v>
      </c>
      <c r="B945" t="s">
        <v>2907</v>
      </c>
      <c r="C945">
        <v>14108271</v>
      </c>
      <c r="D945" t="s">
        <v>73</v>
      </c>
      <c r="E945" s="134">
        <v>645.79999999999995</v>
      </c>
      <c r="F945" t="s">
        <v>2816</v>
      </c>
    </row>
    <row r="946" spans="1:6" x14ac:dyDescent="0.2">
      <c r="A946" t="s">
        <v>2814</v>
      </c>
      <c r="B946" t="s">
        <v>2907</v>
      </c>
      <c r="C946">
        <v>14108483</v>
      </c>
      <c r="D946" t="s">
        <v>76</v>
      </c>
      <c r="E946" s="134">
        <v>445.8</v>
      </c>
      <c r="F946" t="s">
        <v>2816</v>
      </c>
    </row>
    <row r="947" spans="1:6" x14ac:dyDescent="0.2">
      <c r="A947" t="s">
        <v>2814</v>
      </c>
      <c r="B947" t="s">
        <v>2907</v>
      </c>
      <c r="C947">
        <v>14108552</v>
      </c>
      <c r="D947" t="s">
        <v>309</v>
      </c>
      <c r="E947" s="134">
        <v>268.36</v>
      </c>
      <c r="F947" t="s">
        <v>2816</v>
      </c>
    </row>
    <row r="948" spans="1:6" x14ac:dyDescent="0.2">
      <c r="A948" t="s">
        <v>2814</v>
      </c>
      <c r="B948" t="s">
        <v>2907</v>
      </c>
      <c r="C948">
        <v>14108571</v>
      </c>
      <c r="D948" t="s">
        <v>77</v>
      </c>
      <c r="E948" s="134">
        <v>268.36</v>
      </c>
      <c r="F948" t="s">
        <v>2816</v>
      </c>
    </row>
    <row r="949" spans="1:6" x14ac:dyDescent="0.2">
      <c r="A949" t="s">
        <v>2814</v>
      </c>
      <c r="B949" t="s">
        <v>2907</v>
      </c>
      <c r="C949">
        <v>14108916</v>
      </c>
      <c r="D949" t="s">
        <v>79</v>
      </c>
      <c r="E949" s="134">
        <v>268.36</v>
      </c>
      <c r="F949" t="s">
        <v>2816</v>
      </c>
    </row>
    <row r="950" spans="1:6" x14ac:dyDescent="0.2">
      <c r="A950" t="s">
        <v>2814</v>
      </c>
      <c r="B950" t="s">
        <v>2907</v>
      </c>
      <c r="C950">
        <v>14109032</v>
      </c>
      <c r="D950" t="s">
        <v>80</v>
      </c>
      <c r="E950" s="134">
        <v>268.36</v>
      </c>
      <c r="F950" t="s">
        <v>2816</v>
      </c>
    </row>
    <row r="951" spans="1:6" x14ac:dyDescent="0.2">
      <c r="A951" t="s">
        <v>2814</v>
      </c>
      <c r="B951" t="s">
        <v>2907</v>
      </c>
      <c r="C951">
        <v>14109097</v>
      </c>
      <c r="D951" t="s">
        <v>81</v>
      </c>
      <c r="E951" s="134">
        <v>645.79999999999995</v>
      </c>
      <c r="F951" t="s">
        <v>2816</v>
      </c>
    </row>
    <row r="952" spans="1:6" x14ac:dyDescent="0.2">
      <c r="A952" t="s">
        <v>2814</v>
      </c>
      <c r="B952" t="s">
        <v>2907</v>
      </c>
      <c r="C952">
        <v>14109131</v>
      </c>
      <c r="D952" t="s">
        <v>82</v>
      </c>
      <c r="E952" s="134">
        <v>268.36</v>
      </c>
      <c r="F952" t="s">
        <v>2816</v>
      </c>
    </row>
    <row r="953" spans="1:6" x14ac:dyDescent="0.2">
      <c r="A953" t="s">
        <v>2814</v>
      </c>
      <c r="B953" t="s">
        <v>2907</v>
      </c>
      <c r="C953">
        <v>14109133</v>
      </c>
      <c r="D953" t="s">
        <v>83</v>
      </c>
      <c r="E953" s="134">
        <v>645.79999999999995</v>
      </c>
      <c r="F953" t="s">
        <v>2816</v>
      </c>
    </row>
    <row r="954" spans="1:6" x14ac:dyDescent="0.2">
      <c r="A954" t="s">
        <v>2814</v>
      </c>
      <c r="B954" t="s">
        <v>2907</v>
      </c>
      <c r="C954">
        <v>14109134</v>
      </c>
      <c r="D954" t="s">
        <v>84</v>
      </c>
      <c r="E954" s="134">
        <v>268.36</v>
      </c>
      <c r="F954" t="s">
        <v>2816</v>
      </c>
    </row>
    <row r="955" spans="1:6" x14ac:dyDescent="0.2">
      <c r="A955" t="s">
        <v>2814</v>
      </c>
      <c r="B955" t="s">
        <v>2907</v>
      </c>
      <c r="C955">
        <v>14109378</v>
      </c>
      <c r="D955" t="s">
        <v>85</v>
      </c>
      <c r="E955" s="134">
        <v>645.79999999999995</v>
      </c>
      <c r="F955" t="s">
        <v>2816</v>
      </c>
    </row>
    <row r="956" spans="1:6" x14ac:dyDescent="0.2">
      <c r="A956" t="s">
        <v>2814</v>
      </c>
      <c r="B956" t="s">
        <v>2907</v>
      </c>
      <c r="C956">
        <v>14109430</v>
      </c>
      <c r="D956" t="s">
        <v>87</v>
      </c>
      <c r="E956" s="134">
        <v>268.36</v>
      </c>
      <c r="F956" t="s">
        <v>2816</v>
      </c>
    </row>
    <row r="957" spans="1:6" x14ac:dyDescent="0.2">
      <c r="A957" t="s">
        <v>2814</v>
      </c>
      <c r="B957" t="s">
        <v>2907</v>
      </c>
      <c r="C957">
        <v>14109435</v>
      </c>
      <c r="D957" t="s">
        <v>88</v>
      </c>
      <c r="E957" s="134">
        <v>645.79999999999995</v>
      </c>
      <c r="F957" t="s">
        <v>2816</v>
      </c>
    </row>
    <row r="958" spans="1:6" x14ac:dyDescent="0.2">
      <c r="A958" t="s">
        <v>2814</v>
      </c>
      <c r="B958" t="s">
        <v>2907</v>
      </c>
      <c r="C958">
        <v>14109436</v>
      </c>
      <c r="D958" t="s">
        <v>364</v>
      </c>
      <c r="E958" s="134">
        <v>645.79999999999995</v>
      </c>
      <c r="F958" t="s">
        <v>2816</v>
      </c>
    </row>
    <row r="959" spans="1:6" x14ac:dyDescent="0.2">
      <c r="A959" t="s">
        <v>2814</v>
      </c>
      <c r="B959" t="s">
        <v>2907</v>
      </c>
      <c r="C959">
        <v>14109664</v>
      </c>
      <c r="D959" t="s">
        <v>89</v>
      </c>
      <c r="E959" s="134">
        <v>445.8</v>
      </c>
      <c r="F959" t="s">
        <v>2816</v>
      </c>
    </row>
    <row r="960" spans="1:6" x14ac:dyDescent="0.2">
      <c r="A960" t="s">
        <v>2814</v>
      </c>
      <c r="B960" t="s">
        <v>2907</v>
      </c>
      <c r="C960">
        <v>14109674</v>
      </c>
      <c r="D960" t="s">
        <v>90</v>
      </c>
      <c r="E960" s="134">
        <v>268.36</v>
      </c>
      <c r="F960" t="s">
        <v>2816</v>
      </c>
    </row>
    <row r="961" spans="1:6" x14ac:dyDescent="0.2">
      <c r="A961" t="s">
        <v>2814</v>
      </c>
      <c r="B961" t="s">
        <v>2907</v>
      </c>
      <c r="C961">
        <v>14109707</v>
      </c>
      <c r="D961" t="s">
        <v>92</v>
      </c>
      <c r="E961" s="134">
        <v>645.79999999999995</v>
      </c>
      <c r="F961" t="s">
        <v>2816</v>
      </c>
    </row>
    <row r="962" spans="1:6" x14ac:dyDescent="0.2">
      <c r="A962" t="s">
        <v>2814</v>
      </c>
      <c r="B962" t="s">
        <v>2907</v>
      </c>
      <c r="C962">
        <v>14109948</v>
      </c>
      <c r="D962" t="s">
        <v>165</v>
      </c>
      <c r="E962" s="134">
        <v>445.8</v>
      </c>
      <c r="F962" t="s">
        <v>2816</v>
      </c>
    </row>
    <row r="963" spans="1:6" x14ac:dyDescent="0.2">
      <c r="A963" t="s">
        <v>2814</v>
      </c>
      <c r="B963" t="s">
        <v>2907</v>
      </c>
      <c r="C963">
        <v>14110039</v>
      </c>
      <c r="D963" t="s">
        <v>98</v>
      </c>
      <c r="E963" s="134">
        <v>645.79999999999995</v>
      </c>
      <c r="F963" t="s">
        <v>2816</v>
      </c>
    </row>
    <row r="964" spans="1:6" x14ac:dyDescent="0.2">
      <c r="A964" t="s">
        <v>2814</v>
      </c>
      <c r="B964" t="s">
        <v>2907</v>
      </c>
      <c r="C964">
        <v>14110040</v>
      </c>
      <c r="D964" t="s">
        <v>99</v>
      </c>
      <c r="E964" s="134">
        <v>645.79999999999995</v>
      </c>
      <c r="F964" t="s">
        <v>2816</v>
      </c>
    </row>
    <row r="965" spans="1:6" x14ac:dyDescent="0.2">
      <c r="A965" t="s">
        <v>2814</v>
      </c>
      <c r="B965" t="s">
        <v>2907</v>
      </c>
      <c r="C965">
        <v>14110042</v>
      </c>
      <c r="D965" t="s">
        <v>329</v>
      </c>
      <c r="E965" s="134">
        <v>645.79999999999995</v>
      </c>
      <c r="F965" t="s">
        <v>2816</v>
      </c>
    </row>
    <row r="966" spans="1:6" x14ac:dyDescent="0.2">
      <c r="A966" t="s">
        <v>2814</v>
      </c>
      <c r="B966" t="s">
        <v>2907</v>
      </c>
      <c r="C966">
        <v>14110044</v>
      </c>
      <c r="D966" t="s">
        <v>145</v>
      </c>
      <c r="E966" s="134">
        <v>645.79999999999995</v>
      </c>
      <c r="F966" t="s">
        <v>2816</v>
      </c>
    </row>
    <row r="967" spans="1:6" x14ac:dyDescent="0.2">
      <c r="A967" t="s">
        <v>2814</v>
      </c>
      <c r="B967" t="s">
        <v>2907</v>
      </c>
      <c r="C967">
        <v>14110339</v>
      </c>
      <c r="D967" t="s">
        <v>101</v>
      </c>
      <c r="E967" s="134">
        <v>268.36</v>
      </c>
      <c r="F967" t="s">
        <v>2816</v>
      </c>
    </row>
    <row r="968" spans="1:6" x14ac:dyDescent="0.2">
      <c r="A968" t="s">
        <v>2814</v>
      </c>
      <c r="B968" t="s">
        <v>2907</v>
      </c>
      <c r="C968">
        <v>14110465</v>
      </c>
      <c r="D968" t="s">
        <v>102</v>
      </c>
      <c r="E968" s="134">
        <v>268.36</v>
      </c>
      <c r="F968" t="s">
        <v>2816</v>
      </c>
    </row>
    <row r="969" spans="1:6" x14ac:dyDescent="0.2">
      <c r="A969" t="s">
        <v>2814</v>
      </c>
      <c r="B969" t="s">
        <v>2907</v>
      </c>
      <c r="C969">
        <v>14110512</v>
      </c>
      <c r="D969" t="s">
        <v>183</v>
      </c>
      <c r="E969" s="134">
        <v>445.8</v>
      </c>
      <c r="F969" t="s">
        <v>2816</v>
      </c>
    </row>
    <row r="970" spans="1:6" x14ac:dyDescent="0.2">
      <c r="A970" t="s">
        <v>2814</v>
      </c>
      <c r="B970" t="s">
        <v>2907</v>
      </c>
      <c r="C970">
        <v>14110761</v>
      </c>
      <c r="D970" t="s">
        <v>104</v>
      </c>
      <c r="E970" s="134">
        <v>268.36</v>
      </c>
      <c r="F970" t="s">
        <v>2816</v>
      </c>
    </row>
    <row r="971" spans="1:6" x14ac:dyDescent="0.2">
      <c r="A971" t="s">
        <v>2814</v>
      </c>
      <c r="B971" t="s">
        <v>2907</v>
      </c>
      <c r="C971">
        <v>14110929</v>
      </c>
      <c r="D971" t="s">
        <v>179</v>
      </c>
      <c r="E971" s="134">
        <v>645.79999999999995</v>
      </c>
      <c r="F971" t="s">
        <v>2816</v>
      </c>
    </row>
    <row r="972" spans="1:6" x14ac:dyDescent="0.2">
      <c r="A972" t="s">
        <v>2814</v>
      </c>
      <c r="B972" t="s">
        <v>2907</v>
      </c>
      <c r="C972">
        <v>14110973</v>
      </c>
      <c r="D972" t="s">
        <v>106</v>
      </c>
      <c r="E972" s="134">
        <v>268.36</v>
      </c>
      <c r="F972" t="s">
        <v>2816</v>
      </c>
    </row>
    <row r="973" spans="1:6" x14ac:dyDescent="0.2">
      <c r="A973" t="s">
        <v>2814</v>
      </c>
      <c r="B973" t="s">
        <v>2907</v>
      </c>
      <c r="C973">
        <v>14110978</v>
      </c>
      <c r="D973" t="s">
        <v>108</v>
      </c>
      <c r="E973" s="134">
        <v>645.79999999999995</v>
      </c>
      <c r="F973" t="s">
        <v>2816</v>
      </c>
    </row>
    <row r="974" spans="1:6" x14ac:dyDescent="0.2">
      <c r="A974" t="s">
        <v>2814</v>
      </c>
      <c r="B974" t="s">
        <v>2907</v>
      </c>
      <c r="C974">
        <v>14111143</v>
      </c>
      <c r="D974" t="s">
        <v>109</v>
      </c>
      <c r="E974" s="134">
        <v>445.8</v>
      </c>
      <c r="F974" t="s">
        <v>2816</v>
      </c>
    </row>
    <row r="975" spans="1:6" x14ac:dyDescent="0.2">
      <c r="A975" t="s">
        <v>2814</v>
      </c>
      <c r="B975" t="s">
        <v>2907</v>
      </c>
      <c r="C975">
        <v>14111266</v>
      </c>
      <c r="D975" t="s">
        <v>110</v>
      </c>
      <c r="E975" s="134">
        <v>268.36</v>
      </c>
      <c r="F975" t="s">
        <v>2816</v>
      </c>
    </row>
    <row r="976" spans="1:6" x14ac:dyDescent="0.2">
      <c r="A976" t="s">
        <v>2814</v>
      </c>
      <c r="B976" t="s">
        <v>2907</v>
      </c>
      <c r="C976">
        <v>14111557</v>
      </c>
      <c r="D976" t="s">
        <v>111</v>
      </c>
      <c r="E976" s="134">
        <v>645.79999999999995</v>
      </c>
      <c r="F976" t="s">
        <v>2816</v>
      </c>
    </row>
    <row r="977" spans="1:6" x14ac:dyDescent="0.2">
      <c r="A977" t="s">
        <v>2814</v>
      </c>
      <c r="B977" t="s">
        <v>2907</v>
      </c>
      <c r="C977">
        <v>14111754</v>
      </c>
      <c r="D977" t="s">
        <v>311</v>
      </c>
      <c r="E977" s="134">
        <v>268.36</v>
      </c>
      <c r="F977" t="s">
        <v>2816</v>
      </c>
    </row>
    <row r="978" spans="1:6" x14ac:dyDescent="0.2">
      <c r="A978" t="s">
        <v>2814</v>
      </c>
      <c r="B978" t="s">
        <v>2907</v>
      </c>
      <c r="C978">
        <v>14112026</v>
      </c>
      <c r="D978" t="s">
        <v>113</v>
      </c>
      <c r="E978" s="134">
        <v>268.36</v>
      </c>
      <c r="F978" t="s">
        <v>2816</v>
      </c>
    </row>
    <row r="979" spans="1:6" x14ac:dyDescent="0.2">
      <c r="A979" t="s">
        <v>2814</v>
      </c>
      <c r="B979" t="s">
        <v>2907</v>
      </c>
      <c r="C979">
        <v>14112174</v>
      </c>
      <c r="D979" t="s">
        <v>114</v>
      </c>
      <c r="E979" s="134">
        <v>134.18</v>
      </c>
      <c r="F979" t="s">
        <v>2816</v>
      </c>
    </row>
    <row r="980" spans="1:6" x14ac:dyDescent="0.2">
      <c r="A980" t="s">
        <v>2814</v>
      </c>
      <c r="B980" t="s">
        <v>2907</v>
      </c>
      <c r="C980">
        <v>14112292</v>
      </c>
      <c r="D980" t="s">
        <v>190</v>
      </c>
      <c r="E980" s="134">
        <v>268.36</v>
      </c>
      <c r="F980" t="s">
        <v>2816</v>
      </c>
    </row>
    <row r="981" spans="1:6" x14ac:dyDescent="0.2">
      <c r="A981" t="s">
        <v>2814</v>
      </c>
      <c r="B981" t="s">
        <v>2907</v>
      </c>
      <c r="C981">
        <v>14112449</v>
      </c>
      <c r="D981" t="s">
        <v>192</v>
      </c>
      <c r="E981" s="134">
        <v>645.79999999999995</v>
      </c>
      <c r="F981" t="s">
        <v>2816</v>
      </c>
    </row>
    <row r="982" spans="1:6" x14ac:dyDescent="0.2">
      <c r="A982" t="s">
        <v>2814</v>
      </c>
      <c r="B982" t="s">
        <v>2907</v>
      </c>
      <c r="C982">
        <v>14112595</v>
      </c>
      <c r="D982" t="s">
        <v>365</v>
      </c>
      <c r="E982" s="134">
        <v>645.79999999999995</v>
      </c>
      <c r="F982" t="s">
        <v>2816</v>
      </c>
    </row>
    <row r="983" spans="1:6" x14ac:dyDescent="0.2">
      <c r="A983" t="s">
        <v>2814</v>
      </c>
      <c r="B983" t="s">
        <v>2907</v>
      </c>
      <c r="C983">
        <v>14112597</v>
      </c>
      <c r="D983" t="s">
        <v>117</v>
      </c>
      <c r="E983" s="134">
        <v>645.79999999999995</v>
      </c>
      <c r="F983" t="s">
        <v>2816</v>
      </c>
    </row>
    <row r="984" spans="1:6" x14ac:dyDescent="0.2">
      <c r="A984" t="s">
        <v>2814</v>
      </c>
      <c r="B984" t="s">
        <v>2907</v>
      </c>
      <c r="C984">
        <v>14112602</v>
      </c>
      <c r="D984" t="s">
        <v>118</v>
      </c>
      <c r="E984" s="134">
        <v>645.79999999999995</v>
      </c>
      <c r="F984" t="s">
        <v>2816</v>
      </c>
    </row>
    <row r="985" spans="1:6" x14ac:dyDescent="0.2">
      <c r="A985" t="s">
        <v>2814</v>
      </c>
      <c r="B985" t="s">
        <v>2907</v>
      </c>
      <c r="C985">
        <v>14112603</v>
      </c>
      <c r="D985" t="s">
        <v>119</v>
      </c>
      <c r="E985" s="134">
        <v>645.79999999999995</v>
      </c>
      <c r="F985" t="s">
        <v>2816</v>
      </c>
    </row>
    <row r="986" spans="1:6" x14ac:dyDescent="0.2">
      <c r="A986" t="s">
        <v>2814</v>
      </c>
      <c r="B986" t="s">
        <v>2907</v>
      </c>
      <c r="C986">
        <v>14112605</v>
      </c>
      <c r="D986" t="s">
        <v>120</v>
      </c>
      <c r="E986" s="134">
        <v>268.36</v>
      </c>
      <c r="F986" t="s">
        <v>2816</v>
      </c>
    </row>
    <row r="987" spans="1:6" x14ac:dyDescent="0.2">
      <c r="A987" t="s">
        <v>2814</v>
      </c>
      <c r="B987" t="s">
        <v>2907</v>
      </c>
      <c r="C987">
        <v>14112630</v>
      </c>
      <c r="D987" t="s">
        <v>121</v>
      </c>
      <c r="E987" s="134">
        <v>268.36</v>
      </c>
      <c r="F987" t="s">
        <v>2816</v>
      </c>
    </row>
    <row r="988" spans="1:6" x14ac:dyDescent="0.2">
      <c r="A988" t="s">
        <v>2814</v>
      </c>
      <c r="B988" t="s">
        <v>2907</v>
      </c>
      <c r="C988">
        <v>14112757</v>
      </c>
      <c r="D988" t="s">
        <v>348</v>
      </c>
      <c r="E988" s="134">
        <v>645.79999999999995</v>
      </c>
      <c r="F988" t="s">
        <v>2816</v>
      </c>
    </row>
    <row r="989" spans="1:6" x14ac:dyDescent="0.2">
      <c r="A989" t="s">
        <v>2814</v>
      </c>
      <c r="B989" t="s">
        <v>2907</v>
      </c>
      <c r="C989">
        <v>14113054</v>
      </c>
      <c r="D989" t="s">
        <v>122</v>
      </c>
      <c r="E989" s="134">
        <v>645.79999999999995</v>
      </c>
      <c r="F989" t="s">
        <v>2816</v>
      </c>
    </row>
    <row r="990" spans="1:6" x14ac:dyDescent="0.2">
      <c r="A990" t="s">
        <v>2814</v>
      </c>
      <c r="B990" t="s">
        <v>2907</v>
      </c>
      <c r="C990">
        <v>14113140</v>
      </c>
      <c r="D990" t="s">
        <v>123</v>
      </c>
      <c r="E990" s="134">
        <v>645.79999999999995</v>
      </c>
      <c r="F990" t="s">
        <v>2816</v>
      </c>
    </row>
    <row r="991" spans="1:6" x14ac:dyDescent="0.2">
      <c r="A991" t="s">
        <v>2814</v>
      </c>
      <c r="B991" t="s">
        <v>2907</v>
      </c>
      <c r="C991">
        <v>14113200</v>
      </c>
      <c r="D991" t="s">
        <v>125</v>
      </c>
      <c r="E991" s="134">
        <v>645.79999999999995</v>
      </c>
      <c r="F991" t="s">
        <v>2816</v>
      </c>
    </row>
    <row r="992" spans="1:6" x14ac:dyDescent="0.2">
      <c r="A992" t="s">
        <v>2814</v>
      </c>
      <c r="B992" t="s">
        <v>2907</v>
      </c>
      <c r="C992">
        <v>14113311</v>
      </c>
      <c r="D992" t="s">
        <v>126</v>
      </c>
      <c r="E992" s="134">
        <v>268.36</v>
      </c>
      <c r="F992" t="s">
        <v>2816</v>
      </c>
    </row>
    <row r="993" spans="1:6" x14ac:dyDescent="0.2">
      <c r="A993" t="s">
        <v>2814</v>
      </c>
      <c r="B993" t="s">
        <v>2907</v>
      </c>
      <c r="C993">
        <v>14113320</v>
      </c>
      <c r="D993" t="s">
        <v>127</v>
      </c>
      <c r="E993" s="134">
        <v>268.36</v>
      </c>
      <c r="F993" t="s">
        <v>2816</v>
      </c>
    </row>
    <row r="994" spans="1:6" x14ac:dyDescent="0.2">
      <c r="A994" t="s">
        <v>2814</v>
      </c>
      <c r="B994" t="s">
        <v>2907</v>
      </c>
      <c r="C994">
        <v>14113349</v>
      </c>
      <c r="D994" t="s">
        <v>128</v>
      </c>
      <c r="E994" s="134">
        <v>268.36</v>
      </c>
      <c r="F994" t="s">
        <v>2816</v>
      </c>
    </row>
    <row r="995" spans="1:6" x14ac:dyDescent="0.2">
      <c r="A995" t="s">
        <v>2814</v>
      </c>
      <c r="B995" t="s">
        <v>2907</v>
      </c>
      <c r="C995">
        <v>14113562</v>
      </c>
      <c r="D995" t="s">
        <v>393</v>
      </c>
      <c r="E995" s="134">
        <v>445.8</v>
      </c>
      <c r="F995" t="s">
        <v>2816</v>
      </c>
    </row>
    <row r="996" spans="1:6" x14ac:dyDescent="0.2">
      <c r="A996" t="s">
        <v>2814</v>
      </c>
      <c r="B996" t="s">
        <v>2907</v>
      </c>
      <c r="C996">
        <v>14113619</v>
      </c>
      <c r="D996" t="s">
        <v>130</v>
      </c>
      <c r="E996" s="134">
        <v>645.79999999999995</v>
      </c>
      <c r="F996" t="s">
        <v>2816</v>
      </c>
    </row>
    <row r="997" spans="1:6" x14ac:dyDescent="0.2">
      <c r="A997" t="s">
        <v>2814</v>
      </c>
      <c r="B997" t="s">
        <v>2907</v>
      </c>
      <c r="C997">
        <v>14113837</v>
      </c>
      <c r="D997" t="s">
        <v>131</v>
      </c>
      <c r="E997" s="134">
        <v>445.8</v>
      </c>
      <c r="F997" t="s">
        <v>2816</v>
      </c>
    </row>
    <row r="998" spans="1:6" x14ac:dyDescent="0.2">
      <c r="A998" t="s">
        <v>2814</v>
      </c>
      <c r="B998" t="s">
        <v>2907</v>
      </c>
      <c r="C998">
        <v>14114030</v>
      </c>
      <c r="D998" t="s">
        <v>132</v>
      </c>
      <c r="E998" s="134">
        <v>645.79999999999995</v>
      </c>
      <c r="F998" t="s">
        <v>2816</v>
      </c>
    </row>
    <row r="999" spans="1:6" x14ac:dyDescent="0.2">
      <c r="A999" t="s">
        <v>2814</v>
      </c>
      <c r="B999" t="s">
        <v>2907</v>
      </c>
      <c r="C999">
        <v>14114037</v>
      </c>
      <c r="D999" t="s">
        <v>180</v>
      </c>
      <c r="E999" s="134">
        <v>445.8</v>
      </c>
      <c r="F999" t="s">
        <v>2816</v>
      </c>
    </row>
    <row r="1000" spans="1:6" x14ac:dyDescent="0.2">
      <c r="A1000" t="s">
        <v>2814</v>
      </c>
      <c r="B1000" t="s">
        <v>2907</v>
      </c>
      <c r="C1000">
        <v>14114062</v>
      </c>
      <c r="D1000" t="s">
        <v>133</v>
      </c>
      <c r="E1000" s="134">
        <v>645.79999999999995</v>
      </c>
      <c r="F1000" t="s">
        <v>2816</v>
      </c>
    </row>
    <row r="1001" spans="1:6" x14ac:dyDescent="0.2">
      <c r="A1001" t="s">
        <v>2814</v>
      </c>
      <c r="B1001" t="s">
        <v>2907</v>
      </c>
      <c r="C1001">
        <v>14114324</v>
      </c>
      <c r="D1001" t="s">
        <v>341</v>
      </c>
      <c r="E1001" s="134">
        <v>445.8</v>
      </c>
      <c r="F1001" t="s">
        <v>2816</v>
      </c>
    </row>
    <row r="1002" spans="1:6" x14ac:dyDescent="0.2">
      <c r="A1002" t="s">
        <v>2814</v>
      </c>
      <c r="B1002" t="s">
        <v>2907</v>
      </c>
      <c r="C1002">
        <v>14114330</v>
      </c>
      <c r="D1002" t="s">
        <v>134</v>
      </c>
      <c r="E1002" s="134">
        <v>645.79999999999995</v>
      </c>
      <c r="F1002" t="s">
        <v>2816</v>
      </c>
    </row>
    <row r="1003" spans="1:6" x14ac:dyDescent="0.2">
      <c r="A1003" t="s">
        <v>2814</v>
      </c>
      <c r="B1003" t="s">
        <v>2907</v>
      </c>
      <c r="C1003">
        <v>14114431</v>
      </c>
      <c r="D1003" t="s">
        <v>135</v>
      </c>
      <c r="E1003" s="134">
        <v>511.62</v>
      </c>
      <c r="F1003" t="s">
        <v>2816</v>
      </c>
    </row>
    <row r="1004" spans="1:6" x14ac:dyDescent="0.2">
      <c r="A1004" t="s">
        <v>2814</v>
      </c>
      <c r="B1004" t="s">
        <v>2907</v>
      </c>
      <c r="C1004">
        <v>14114665</v>
      </c>
      <c r="D1004" t="s">
        <v>136</v>
      </c>
      <c r="E1004" s="134">
        <v>468.36</v>
      </c>
      <c r="F1004" t="s">
        <v>2816</v>
      </c>
    </row>
    <row r="1005" spans="1:6" x14ac:dyDescent="0.2">
      <c r="A1005" t="s">
        <v>2814</v>
      </c>
      <c r="B1005" t="s">
        <v>2907</v>
      </c>
      <c r="C1005">
        <v>14114667</v>
      </c>
      <c r="D1005" t="s">
        <v>137</v>
      </c>
      <c r="E1005" s="134">
        <v>645.79999999999995</v>
      </c>
      <c r="F1005" t="s">
        <v>2816</v>
      </c>
    </row>
    <row r="1006" spans="1:6" x14ac:dyDescent="0.2">
      <c r="A1006" t="s">
        <v>2814</v>
      </c>
      <c r="B1006" t="s">
        <v>2907</v>
      </c>
      <c r="C1006">
        <v>14114709</v>
      </c>
      <c r="D1006" t="s">
        <v>138</v>
      </c>
      <c r="E1006" s="134">
        <v>645.79999999999995</v>
      </c>
      <c r="F1006" t="s">
        <v>2816</v>
      </c>
    </row>
    <row r="1007" spans="1:6" x14ac:dyDescent="0.2">
      <c r="A1007" t="s">
        <v>2814</v>
      </c>
      <c r="B1007" t="s">
        <v>2907</v>
      </c>
      <c r="C1007">
        <v>14115136</v>
      </c>
      <c r="D1007" t="s">
        <v>140</v>
      </c>
      <c r="E1007" s="134">
        <v>645.79999999999995</v>
      </c>
      <c r="F1007" t="s">
        <v>2816</v>
      </c>
    </row>
    <row r="1008" spans="1:6" x14ac:dyDescent="0.2">
      <c r="A1008" t="s">
        <v>2814</v>
      </c>
      <c r="B1008" t="s">
        <v>2907</v>
      </c>
      <c r="C1008">
        <v>14115536</v>
      </c>
      <c r="D1008" t="s">
        <v>144</v>
      </c>
      <c r="E1008" s="134">
        <v>268.36</v>
      </c>
      <c r="F1008" t="s">
        <v>2816</v>
      </c>
    </row>
    <row r="1009" spans="1:6" x14ac:dyDescent="0.2">
      <c r="A1009" t="s">
        <v>2814</v>
      </c>
      <c r="B1009" t="s">
        <v>2907</v>
      </c>
      <c r="C1009">
        <v>14115630</v>
      </c>
      <c r="D1009" t="s">
        <v>146</v>
      </c>
      <c r="E1009" s="134">
        <v>645.79999999999995</v>
      </c>
      <c r="F1009" t="s">
        <v>2816</v>
      </c>
    </row>
    <row r="1010" spans="1:6" x14ac:dyDescent="0.2">
      <c r="A1010" t="s">
        <v>2814</v>
      </c>
      <c r="B1010" t="s">
        <v>2907</v>
      </c>
      <c r="C1010">
        <v>14115908</v>
      </c>
      <c r="D1010" t="s">
        <v>150</v>
      </c>
      <c r="E1010" s="134">
        <v>511.62</v>
      </c>
      <c r="F1010" t="s">
        <v>2816</v>
      </c>
    </row>
    <row r="1011" spans="1:6" x14ac:dyDescent="0.2">
      <c r="A1011" t="s">
        <v>2814</v>
      </c>
      <c r="B1011" t="s">
        <v>2907</v>
      </c>
      <c r="C1011">
        <v>14115909</v>
      </c>
      <c r="D1011" t="s">
        <v>335</v>
      </c>
      <c r="E1011" s="134">
        <v>268.36</v>
      </c>
      <c r="F1011" t="s">
        <v>2816</v>
      </c>
    </row>
    <row r="1012" spans="1:6" x14ac:dyDescent="0.2">
      <c r="A1012" t="s">
        <v>2814</v>
      </c>
      <c r="B1012" t="s">
        <v>2907</v>
      </c>
      <c r="C1012">
        <v>14115917</v>
      </c>
      <c r="D1012" t="s">
        <v>151</v>
      </c>
      <c r="E1012" s="134">
        <v>268.36</v>
      </c>
      <c r="F1012" t="s">
        <v>2816</v>
      </c>
    </row>
    <row r="1013" spans="1:6" x14ac:dyDescent="0.2">
      <c r="A1013" t="s">
        <v>2814</v>
      </c>
      <c r="B1013" t="s">
        <v>2907</v>
      </c>
      <c r="C1013">
        <v>14116000</v>
      </c>
      <c r="D1013" t="s">
        <v>152</v>
      </c>
      <c r="E1013" s="134">
        <v>645.79999999999995</v>
      </c>
      <c r="F1013" t="s">
        <v>2816</v>
      </c>
    </row>
    <row r="1014" spans="1:6" x14ac:dyDescent="0.2">
      <c r="A1014" t="s">
        <v>2814</v>
      </c>
      <c r="B1014" t="s">
        <v>2907</v>
      </c>
      <c r="C1014">
        <v>14116046</v>
      </c>
      <c r="D1014" t="s">
        <v>153</v>
      </c>
      <c r="E1014" s="134">
        <v>645.79999999999995</v>
      </c>
      <c r="F1014" t="s">
        <v>2816</v>
      </c>
    </row>
    <row r="1015" spans="1:6" x14ac:dyDescent="0.2">
      <c r="A1015" t="s">
        <v>2814</v>
      </c>
      <c r="B1015" t="s">
        <v>2907</v>
      </c>
      <c r="C1015">
        <v>14116058</v>
      </c>
      <c r="D1015" t="s">
        <v>154</v>
      </c>
      <c r="E1015" s="134">
        <v>645.79999999999995</v>
      </c>
      <c r="F1015" t="s">
        <v>2816</v>
      </c>
    </row>
    <row r="1016" spans="1:6" x14ac:dyDescent="0.2">
      <c r="A1016" t="s">
        <v>2814</v>
      </c>
      <c r="B1016" t="s">
        <v>2907</v>
      </c>
      <c r="C1016">
        <v>14116295</v>
      </c>
      <c r="D1016" t="s">
        <v>158</v>
      </c>
      <c r="E1016" s="134">
        <v>268.36</v>
      </c>
      <c r="F1016" t="s">
        <v>2816</v>
      </c>
    </row>
    <row r="1017" spans="1:6" x14ac:dyDescent="0.2">
      <c r="A1017" t="s">
        <v>2814</v>
      </c>
      <c r="B1017" t="s">
        <v>2907</v>
      </c>
      <c r="C1017">
        <v>14116373</v>
      </c>
      <c r="D1017" t="s">
        <v>161</v>
      </c>
      <c r="E1017" s="134">
        <v>645.79999999999995</v>
      </c>
      <c r="F1017" t="s">
        <v>2816</v>
      </c>
    </row>
    <row r="1018" spans="1:6" x14ac:dyDescent="0.2">
      <c r="A1018" t="s">
        <v>2814</v>
      </c>
      <c r="B1018" t="s">
        <v>2907</v>
      </c>
      <c r="C1018">
        <v>14116431</v>
      </c>
      <c r="D1018" t="s">
        <v>162</v>
      </c>
      <c r="E1018" s="134">
        <v>268.36</v>
      </c>
      <c r="F1018" t="s">
        <v>2816</v>
      </c>
    </row>
    <row r="1019" spans="1:6" x14ac:dyDescent="0.2">
      <c r="A1019" t="s">
        <v>2814</v>
      </c>
      <c r="B1019" t="s">
        <v>2907</v>
      </c>
      <c r="C1019">
        <v>14116433</v>
      </c>
      <c r="D1019" t="s">
        <v>163</v>
      </c>
      <c r="E1019" s="134">
        <v>268.36</v>
      </c>
      <c r="F1019" t="s">
        <v>2816</v>
      </c>
    </row>
    <row r="1020" spans="1:6" x14ac:dyDescent="0.2">
      <c r="A1020" t="s">
        <v>2814</v>
      </c>
      <c r="B1020" t="s">
        <v>2907</v>
      </c>
      <c r="C1020">
        <v>14116504</v>
      </c>
      <c r="D1020" t="s">
        <v>164</v>
      </c>
      <c r="E1020" s="134">
        <v>645.79999999999995</v>
      </c>
      <c r="F1020" t="s">
        <v>2816</v>
      </c>
    </row>
    <row r="1021" spans="1:6" x14ac:dyDescent="0.2">
      <c r="A1021" t="s">
        <v>2814</v>
      </c>
      <c r="B1021" t="s">
        <v>2907</v>
      </c>
      <c r="C1021">
        <v>14116564</v>
      </c>
      <c r="D1021" t="s">
        <v>166</v>
      </c>
      <c r="E1021" s="134">
        <v>268.36</v>
      </c>
      <c r="F1021" t="s">
        <v>2816</v>
      </c>
    </row>
    <row r="1022" spans="1:6" x14ac:dyDescent="0.2">
      <c r="A1022" t="s">
        <v>2814</v>
      </c>
      <c r="B1022" t="s">
        <v>2907</v>
      </c>
      <c r="C1022">
        <v>14116600</v>
      </c>
      <c r="D1022" t="s">
        <v>167</v>
      </c>
      <c r="E1022" s="134">
        <v>645.79999999999995</v>
      </c>
      <c r="F1022" t="s">
        <v>2816</v>
      </c>
    </row>
    <row r="1023" spans="1:6" x14ac:dyDescent="0.2">
      <c r="A1023" t="s">
        <v>2814</v>
      </c>
      <c r="B1023" t="s">
        <v>2907</v>
      </c>
      <c r="C1023">
        <v>14116723</v>
      </c>
      <c r="D1023" t="s">
        <v>168</v>
      </c>
      <c r="E1023" s="134">
        <v>268.36</v>
      </c>
      <c r="F1023" t="s">
        <v>2816</v>
      </c>
    </row>
    <row r="1024" spans="1:6" x14ac:dyDescent="0.2">
      <c r="A1024" t="s">
        <v>2814</v>
      </c>
      <c r="B1024" t="s">
        <v>2907</v>
      </c>
      <c r="C1024">
        <v>14116917</v>
      </c>
      <c r="D1024" t="s">
        <v>171</v>
      </c>
      <c r="E1024" s="134">
        <v>645.79999999999995</v>
      </c>
      <c r="F1024" t="s">
        <v>2816</v>
      </c>
    </row>
    <row r="1025" spans="1:6" x14ac:dyDescent="0.2">
      <c r="A1025" t="s">
        <v>2814</v>
      </c>
      <c r="B1025" t="s">
        <v>2907</v>
      </c>
      <c r="C1025">
        <v>14116929</v>
      </c>
      <c r="D1025" t="s">
        <v>366</v>
      </c>
      <c r="E1025" s="134">
        <v>645.79999999999995</v>
      </c>
      <c r="F1025" t="s">
        <v>2816</v>
      </c>
    </row>
    <row r="1026" spans="1:6" x14ac:dyDescent="0.2">
      <c r="A1026" t="s">
        <v>2814</v>
      </c>
      <c r="B1026" t="s">
        <v>2907</v>
      </c>
      <c r="C1026">
        <v>14117160</v>
      </c>
      <c r="D1026" t="s">
        <v>173</v>
      </c>
      <c r="E1026" s="134">
        <v>268.36</v>
      </c>
      <c r="F1026" t="s">
        <v>2816</v>
      </c>
    </row>
    <row r="1027" spans="1:6" x14ac:dyDescent="0.2">
      <c r="A1027" t="s">
        <v>2814</v>
      </c>
      <c r="B1027" t="s">
        <v>2907</v>
      </c>
      <c r="C1027">
        <v>14117297</v>
      </c>
      <c r="D1027" t="s">
        <v>174</v>
      </c>
      <c r="E1027" s="134">
        <v>645.79999999999995</v>
      </c>
      <c r="F1027" t="s">
        <v>2816</v>
      </c>
    </row>
    <row r="1028" spans="1:6" x14ac:dyDescent="0.2">
      <c r="A1028" t="s">
        <v>2814</v>
      </c>
      <c r="B1028" t="s">
        <v>2907</v>
      </c>
      <c r="C1028">
        <v>14117400</v>
      </c>
      <c r="D1028" t="s">
        <v>175</v>
      </c>
      <c r="E1028" s="134">
        <v>268.36</v>
      </c>
      <c r="F1028" t="s">
        <v>2816</v>
      </c>
    </row>
    <row r="1029" spans="1:6" x14ac:dyDescent="0.2">
      <c r="A1029" t="s">
        <v>2814</v>
      </c>
      <c r="B1029" t="s">
        <v>2907</v>
      </c>
      <c r="C1029">
        <v>14117542</v>
      </c>
      <c r="D1029" t="s">
        <v>176</v>
      </c>
      <c r="E1029" s="134">
        <v>645.79999999999995</v>
      </c>
      <c r="F1029" t="s">
        <v>2816</v>
      </c>
    </row>
    <row r="1030" spans="1:6" x14ac:dyDescent="0.2">
      <c r="A1030" t="s">
        <v>2814</v>
      </c>
      <c r="B1030" t="s">
        <v>2907</v>
      </c>
      <c r="C1030">
        <v>14117905</v>
      </c>
      <c r="D1030" t="s">
        <v>398</v>
      </c>
      <c r="E1030" s="134">
        <v>645.79999999999995</v>
      </c>
      <c r="F1030" t="s">
        <v>2816</v>
      </c>
    </row>
    <row r="1031" spans="1:6" x14ac:dyDescent="0.2">
      <c r="A1031" t="s">
        <v>2814</v>
      </c>
      <c r="B1031" t="s">
        <v>2907</v>
      </c>
      <c r="C1031">
        <v>14117967</v>
      </c>
      <c r="D1031" t="s">
        <v>182</v>
      </c>
      <c r="E1031" s="134">
        <v>645.79999999999995</v>
      </c>
      <c r="F1031" t="s">
        <v>2816</v>
      </c>
    </row>
    <row r="1032" spans="1:6" x14ac:dyDescent="0.2">
      <c r="A1032" t="s">
        <v>2814</v>
      </c>
      <c r="B1032" t="s">
        <v>2907</v>
      </c>
      <c r="C1032">
        <v>14117986</v>
      </c>
      <c r="D1032" t="s">
        <v>184</v>
      </c>
      <c r="E1032" s="134">
        <v>645.79999999999995</v>
      </c>
      <c r="F1032" t="s">
        <v>2816</v>
      </c>
    </row>
    <row r="1033" spans="1:6" x14ac:dyDescent="0.2">
      <c r="A1033" t="s">
        <v>2814</v>
      </c>
      <c r="B1033" t="s">
        <v>2907</v>
      </c>
      <c r="C1033">
        <v>14118186</v>
      </c>
      <c r="D1033" t="s">
        <v>187</v>
      </c>
      <c r="E1033" s="134">
        <v>268.36</v>
      </c>
      <c r="F1033" t="s">
        <v>2816</v>
      </c>
    </row>
    <row r="1034" spans="1:6" x14ac:dyDescent="0.2">
      <c r="A1034" t="s">
        <v>2814</v>
      </c>
      <c r="B1034" t="s">
        <v>2907</v>
      </c>
      <c r="C1034">
        <v>14118196</v>
      </c>
      <c r="D1034" t="s">
        <v>188</v>
      </c>
      <c r="E1034" s="134">
        <v>645.79999999999995</v>
      </c>
      <c r="F1034" t="s">
        <v>2816</v>
      </c>
    </row>
    <row r="1035" spans="1:6" x14ac:dyDescent="0.2">
      <c r="A1035" t="s">
        <v>2814</v>
      </c>
      <c r="B1035" t="s">
        <v>2907</v>
      </c>
      <c r="C1035">
        <v>14118210</v>
      </c>
      <c r="D1035" t="s">
        <v>189</v>
      </c>
      <c r="E1035" s="134">
        <v>645.79999999999995</v>
      </c>
      <c r="F1035" t="s">
        <v>2816</v>
      </c>
    </row>
    <row r="1036" spans="1:6" x14ac:dyDescent="0.2">
      <c r="A1036" t="s">
        <v>2814</v>
      </c>
      <c r="B1036" t="s">
        <v>2907</v>
      </c>
      <c r="C1036">
        <v>14118397</v>
      </c>
      <c r="D1036" t="s">
        <v>196</v>
      </c>
      <c r="E1036" s="134">
        <v>645.79999999999995</v>
      </c>
      <c r="F1036" t="s">
        <v>2816</v>
      </c>
    </row>
    <row r="1037" spans="1:6" x14ac:dyDescent="0.2">
      <c r="A1037" t="s">
        <v>2814</v>
      </c>
      <c r="B1037" t="s">
        <v>2907</v>
      </c>
      <c r="C1037">
        <v>14118499</v>
      </c>
      <c r="D1037" t="s">
        <v>198</v>
      </c>
      <c r="E1037" s="134">
        <v>645.79999999999995</v>
      </c>
      <c r="F1037" t="s">
        <v>2816</v>
      </c>
    </row>
    <row r="1038" spans="1:6" x14ac:dyDescent="0.2">
      <c r="A1038" t="s">
        <v>2814</v>
      </c>
      <c r="B1038" t="s">
        <v>2907</v>
      </c>
      <c r="C1038">
        <v>14118518</v>
      </c>
      <c r="D1038" t="s">
        <v>200</v>
      </c>
      <c r="E1038" s="134">
        <v>268.36</v>
      </c>
      <c r="F1038" t="s">
        <v>2816</v>
      </c>
    </row>
    <row r="1039" spans="1:6" x14ac:dyDescent="0.2">
      <c r="A1039" t="s">
        <v>2814</v>
      </c>
      <c r="B1039" t="s">
        <v>2907</v>
      </c>
      <c r="C1039">
        <v>14118640</v>
      </c>
      <c r="D1039" t="s">
        <v>205</v>
      </c>
      <c r="E1039" s="134">
        <v>268.36</v>
      </c>
      <c r="F1039" t="s">
        <v>2816</v>
      </c>
    </row>
    <row r="1040" spans="1:6" x14ac:dyDescent="0.2">
      <c r="A1040" t="s">
        <v>2814</v>
      </c>
      <c r="B1040" t="s">
        <v>2907</v>
      </c>
      <c r="C1040">
        <v>14121571</v>
      </c>
      <c r="D1040" t="s">
        <v>336</v>
      </c>
      <c r="E1040" s="134">
        <v>645.79999999999995</v>
      </c>
      <c r="F1040" t="s">
        <v>2816</v>
      </c>
    </row>
    <row r="1041" spans="1:6" x14ac:dyDescent="0.2">
      <c r="A1041" t="s">
        <v>2814</v>
      </c>
      <c r="B1041" t="s">
        <v>2907</v>
      </c>
      <c r="C1041">
        <v>14121582</v>
      </c>
      <c r="D1041" t="s">
        <v>337</v>
      </c>
      <c r="E1041" s="134">
        <v>645.79999999999995</v>
      </c>
      <c r="F1041" t="s">
        <v>2816</v>
      </c>
    </row>
    <row r="1042" spans="1:6" x14ac:dyDescent="0.2">
      <c r="A1042" t="s">
        <v>2814</v>
      </c>
      <c r="B1042" t="s">
        <v>2907</v>
      </c>
      <c r="C1042">
        <v>14121672</v>
      </c>
      <c r="D1042" t="s">
        <v>342</v>
      </c>
      <c r="E1042" s="134">
        <v>645.79999999999995</v>
      </c>
      <c r="F1042" t="s">
        <v>2816</v>
      </c>
    </row>
    <row r="1043" spans="1:6" x14ac:dyDescent="0.2">
      <c r="A1043" t="s">
        <v>2814</v>
      </c>
      <c r="B1043" t="s">
        <v>2907</v>
      </c>
      <c r="C1043">
        <v>14121766</v>
      </c>
      <c r="D1043" t="s">
        <v>351</v>
      </c>
      <c r="E1043" s="134">
        <v>645.79999999999995</v>
      </c>
      <c r="F1043" t="s">
        <v>2816</v>
      </c>
    </row>
    <row r="1044" spans="1:6" x14ac:dyDescent="0.2">
      <c r="A1044" t="s">
        <v>2814</v>
      </c>
      <c r="B1044" t="s">
        <v>2907</v>
      </c>
      <c r="C1044">
        <v>14121896</v>
      </c>
      <c r="D1044" t="s">
        <v>362</v>
      </c>
      <c r="E1044" s="134">
        <v>268.36</v>
      </c>
      <c r="F1044" t="s">
        <v>2816</v>
      </c>
    </row>
    <row r="1045" spans="1:6" x14ac:dyDescent="0.2">
      <c r="A1045" t="s">
        <v>2814</v>
      </c>
      <c r="B1045" t="s">
        <v>2907</v>
      </c>
      <c r="C1045">
        <v>14121917</v>
      </c>
      <c r="D1045" t="s">
        <v>363</v>
      </c>
      <c r="E1045" s="134">
        <v>645.79999999999995</v>
      </c>
      <c r="F1045" t="s">
        <v>2816</v>
      </c>
    </row>
    <row r="1046" spans="1:6" x14ac:dyDescent="0.2">
      <c r="A1046" t="s">
        <v>2814</v>
      </c>
      <c r="B1046" t="s">
        <v>2907</v>
      </c>
      <c r="C1046">
        <v>14122034</v>
      </c>
      <c r="D1046" t="s">
        <v>372</v>
      </c>
      <c r="E1046" s="134">
        <v>645.79999999999995</v>
      </c>
      <c r="F1046" t="s">
        <v>2816</v>
      </c>
    </row>
    <row r="1047" spans="1:6" x14ac:dyDescent="0.2">
      <c r="A1047" t="s">
        <v>2814</v>
      </c>
      <c r="B1047" t="s">
        <v>2907</v>
      </c>
      <c r="C1047">
        <v>14122083</v>
      </c>
      <c r="D1047" t="s">
        <v>378</v>
      </c>
      <c r="E1047" s="134">
        <v>268.36</v>
      </c>
      <c r="F1047" t="s">
        <v>2816</v>
      </c>
    </row>
    <row r="1048" spans="1:6" x14ac:dyDescent="0.2">
      <c r="A1048" t="s">
        <v>2814</v>
      </c>
      <c r="B1048" t="s">
        <v>2907</v>
      </c>
      <c r="C1048">
        <v>14122094</v>
      </c>
      <c r="D1048" t="s">
        <v>379</v>
      </c>
      <c r="E1048" s="134">
        <v>268.36</v>
      </c>
      <c r="F1048" t="s">
        <v>2816</v>
      </c>
    </row>
    <row r="1049" spans="1:6" x14ac:dyDescent="0.2">
      <c r="A1049" t="s">
        <v>2814</v>
      </c>
      <c r="B1049" t="s">
        <v>2908</v>
      </c>
      <c r="C1049">
        <v>14123145</v>
      </c>
      <c r="D1049" t="s">
        <v>482</v>
      </c>
      <c r="E1049" s="134">
        <v>200</v>
      </c>
      <c r="F1049" t="s">
        <v>2816</v>
      </c>
    </row>
    <row r="1050" spans="1:6" x14ac:dyDescent="0.2">
      <c r="A1050" t="s">
        <v>2814</v>
      </c>
      <c r="B1050" t="s">
        <v>2908</v>
      </c>
      <c r="C1050">
        <v>14103470</v>
      </c>
      <c r="D1050" t="s">
        <v>518</v>
      </c>
      <c r="E1050" s="134">
        <v>200</v>
      </c>
      <c r="F1050" t="s">
        <v>2816</v>
      </c>
    </row>
    <row r="1051" spans="1:6" x14ac:dyDescent="0.2">
      <c r="A1051" t="s">
        <v>2814</v>
      </c>
      <c r="B1051" t="s">
        <v>2908</v>
      </c>
      <c r="C1051">
        <v>14110604</v>
      </c>
      <c r="D1051" t="s">
        <v>330</v>
      </c>
      <c r="E1051" s="134">
        <v>250</v>
      </c>
      <c r="F1051" t="s">
        <v>2816</v>
      </c>
    </row>
    <row r="1052" spans="1:6" x14ac:dyDescent="0.2">
      <c r="A1052" t="s">
        <v>2814</v>
      </c>
      <c r="B1052" t="s">
        <v>2908</v>
      </c>
      <c r="C1052">
        <v>14110799</v>
      </c>
      <c r="D1052" t="s">
        <v>455</v>
      </c>
      <c r="E1052" s="134">
        <v>450</v>
      </c>
      <c r="F1052" t="s">
        <v>2816</v>
      </c>
    </row>
    <row r="1053" spans="1:6" x14ac:dyDescent="0.2">
      <c r="A1053" t="s">
        <v>2814</v>
      </c>
      <c r="B1053" t="s">
        <v>2908</v>
      </c>
      <c r="C1053">
        <v>14112588</v>
      </c>
      <c r="D1053" t="s">
        <v>931</v>
      </c>
      <c r="E1053" s="134">
        <v>200</v>
      </c>
      <c r="F1053" t="s">
        <v>2816</v>
      </c>
    </row>
    <row r="1054" spans="1:6" x14ac:dyDescent="0.2">
      <c r="A1054" t="s">
        <v>2814</v>
      </c>
      <c r="B1054" t="s">
        <v>2908</v>
      </c>
      <c r="C1054">
        <v>14112635</v>
      </c>
      <c r="D1054" t="s">
        <v>985</v>
      </c>
      <c r="E1054" s="134">
        <v>250</v>
      </c>
      <c r="F1054" t="s">
        <v>2816</v>
      </c>
    </row>
    <row r="1055" spans="1:6" x14ac:dyDescent="0.2">
      <c r="A1055" t="s">
        <v>2814</v>
      </c>
      <c r="B1055" t="s">
        <v>2908</v>
      </c>
      <c r="C1055">
        <v>14120199</v>
      </c>
      <c r="D1055" t="s">
        <v>400</v>
      </c>
      <c r="E1055" s="134">
        <v>450</v>
      </c>
      <c r="F1055" t="s">
        <v>2816</v>
      </c>
    </row>
    <row r="1056" spans="1:6" x14ac:dyDescent="0.2">
      <c r="A1056" t="s">
        <v>2814</v>
      </c>
      <c r="B1056" t="s">
        <v>2908</v>
      </c>
      <c r="C1056">
        <v>14122194</v>
      </c>
      <c r="D1056" t="s">
        <v>395</v>
      </c>
      <c r="E1056" s="134">
        <v>450</v>
      </c>
      <c r="F1056" t="s">
        <v>2816</v>
      </c>
    </row>
    <row r="1057" spans="1:6" x14ac:dyDescent="0.2">
      <c r="A1057" t="s">
        <v>2814</v>
      </c>
      <c r="B1057" t="s">
        <v>2908</v>
      </c>
      <c r="C1057">
        <v>14122221</v>
      </c>
      <c r="D1057" t="s">
        <v>396</v>
      </c>
      <c r="E1057" s="134">
        <v>450</v>
      </c>
      <c r="F1057" t="s">
        <v>2816</v>
      </c>
    </row>
    <row r="1058" spans="1:6" x14ac:dyDescent="0.2">
      <c r="A1058" t="s">
        <v>2814</v>
      </c>
      <c r="B1058" t="s">
        <v>2908</v>
      </c>
      <c r="C1058">
        <v>14122230</v>
      </c>
      <c r="D1058" t="s">
        <v>397</v>
      </c>
      <c r="E1058" s="134">
        <v>250</v>
      </c>
      <c r="F1058" t="s">
        <v>2816</v>
      </c>
    </row>
    <row r="1059" spans="1:6" x14ac:dyDescent="0.2">
      <c r="A1059" t="s">
        <v>2814</v>
      </c>
      <c r="B1059" t="s">
        <v>2908</v>
      </c>
      <c r="C1059">
        <v>14122263</v>
      </c>
      <c r="D1059" t="s">
        <v>401</v>
      </c>
      <c r="E1059" s="134">
        <v>450</v>
      </c>
      <c r="F1059" t="s">
        <v>2816</v>
      </c>
    </row>
    <row r="1060" spans="1:6" x14ac:dyDescent="0.2">
      <c r="A1060" t="s">
        <v>2814</v>
      </c>
      <c r="B1060" t="s">
        <v>2908</v>
      </c>
      <c r="C1060">
        <v>14122320</v>
      </c>
      <c r="D1060" t="s">
        <v>405</v>
      </c>
      <c r="E1060" s="134">
        <v>450</v>
      </c>
      <c r="F1060" t="s">
        <v>2816</v>
      </c>
    </row>
    <row r="1061" spans="1:6" x14ac:dyDescent="0.2">
      <c r="A1061" t="s">
        <v>2814</v>
      </c>
      <c r="B1061" t="s">
        <v>2908</v>
      </c>
      <c r="C1061">
        <v>14122329</v>
      </c>
      <c r="D1061" t="s">
        <v>406</v>
      </c>
      <c r="E1061" s="134">
        <v>250</v>
      </c>
      <c r="F1061" t="s">
        <v>2816</v>
      </c>
    </row>
    <row r="1062" spans="1:6" x14ac:dyDescent="0.2">
      <c r="A1062" t="s">
        <v>2814</v>
      </c>
      <c r="B1062" t="s">
        <v>2908</v>
      </c>
      <c r="C1062">
        <v>14122416</v>
      </c>
      <c r="D1062" t="s">
        <v>414</v>
      </c>
      <c r="E1062" s="134">
        <v>200</v>
      </c>
      <c r="F1062" t="s">
        <v>2816</v>
      </c>
    </row>
    <row r="1063" spans="1:6" x14ac:dyDescent="0.2">
      <c r="A1063" t="s">
        <v>2814</v>
      </c>
      <c r="B1063" t="s">
        <v>2908</v>
      </c>
      <c r="C1063">
        <v>14122419</v>
      </c>
      <c r="D1063" t="s">
        <v>416</v>
      </c>
      <c r="E1063" s="134">
        <v>200</v>
      </c>
      <c r="F1063" t="s">
        <v>2816</v>
      </c>
    </row>
    <row r="1064" spans="1:6" x14ac:dyDescent="0.2">
      <c r="A1064" t="s">
        <v>2814</v>
      </c>
      <c r="B1064" t="s">
        <v>2908</v>
      </c>
      <c r="C1064">
        <v>14122481</v>
      </c>
      <c r="D1064" t="s">
        <v>420</v>
      </c>
      <c r="E1064" s="134">
        <v>600</v>
      </c>
      <c r="F1064" t="s">
        <v>2816</v>
      </c>
    </row>
    <row r="1065" spans="1:6" x14ac:dyDescent="0.2">
      <c r="A1065" t="s">
        <v>2814</v>
      </c>
      <c r="B1065" t="s">
        <v>2908</v>
      </c>
      <c r="C1065">
        <v>14122495</v>
      </c>
      <c r="D1065" t="s">
        <v>423</v>
      </c>
      <c r="E1065" s="134">
        <v>200</v>
      </c>
      <c r="F1065" t="s">
        <v>2816</v>
      </c>
    </row>
    <row r="1066" spans="1:6" x14ac:dyDescent="0.2">
      <c r="A1066" t="s">
        <v>2814</v>
      </c>
      <c r="B1066" t="s">
        <v>2908</v>
      </c>
      <c r="C1066">
        <v>14122510</v>
      </c>
      <c r="D1066" t="s">
        <v>424</v>
      </c>
      <c r="E1066" s="134">
        <v>250</v>
      </c>
      <c r="F1066" t="s">
        <v>2816</v>
      </c>
    </row>
    <row r="1067" spans="1:6" x14ac:dyDescent="0.2">
      <c r="A1067" t="s">
        <v>2814</v>
      </c>
      <c r="B1067" t="s">
        <v>2908</v>
      </c>
      <c r="C1067">
        <v>14122546</v>
      </c>
      <c r="D1067" t="s">
        <v>428</v>
      </c>
      <c r="E1067" s="134">
        <v>250</v>
      </c>
      <c r="F1067" t="s">
        <v>2816</v>
      </c>
    </row>
    <row r="1068" spans="1:6" x14ac:dyDescent="0.2">
      <c r="A1068" t="s">
        <v>2814</v>
      </c>
      <c r="B1068" t="s">
        <v>2908</v>
      </c>
      <c r="C1068">
        <v>14122618</v>
      </c>
      <c r="D1068" t="s">
        <v>430</v>
      </c>
      <c r="E1068" s="134">
        <v>200</v>
      </c>
      <c r="F1068" t="s">
        <v>2816</v>
      </c>
    </row>
    <row r="1069" spans="1:6" x14ac:dyDescent="0.2">
      <c r="A1069" t="s">
        <v>2814</v>
      </c>
      <c r="B1069" t="s">
        <v>2908</v>
      </c>
      <c r="C1069">
        <v>14122673</v>
      </c>
      <c r="D1069" t="s">
        <v>432</v>
      </c>
      <c r="E1069" s="134">
        <v>250</v>
      </c>
      <c r="F1069" t="s">
        <v>2816</v>
      </c>
    </row>
    <row r="1070" spans="1:6" x14ac:dyDescent="0.2">
      <c r="A1070" t="s">
        <v>2814</v>
      </c>
      <c r="B1070" t="s">
        <v>2908</v>
      </c>
      <c r="C1070">
        <v>14122683</v>
      </c>
      <c r="D1070" t="s">
        <v>435</v>
      </c>
      <c r="E1070" s="134">
        <v>450</v>
      </c>
      <c r="F1070" t="s">
        <v>2816</v>
      </c>
    </row>
    <row r="1071" spans="1:6" x14ac:dyDescent="0.2">
      <c r="A1071" t="s">
        <v>2814</v>
      </c>
      <c r="B1071" t="s">
        <v>2908</v>
      </c>
      <c r="C1071">
        <v>14122685</v>
      </c>
      <c r="D1071" t="s">
        <v>436</v>
      </c>
      <c r="E1071" s="134">
        <v>250</v>
      </c>
      <c r="F1071" t="s">
        <v>2816</v>
      </c>
    </row>
    <row r="1072" spans="1:6" x14ac:dyDescent="0.2">
      <c r="A1072" t="s">
        <v>2814</v>
      </c>
      <c r="B1072" t="s">
        <v>2908</v>
      </c>
      <c r="C1072">
        <v>14122709</v>
      </c>
      <c r="D1072" t="s">
        <v>441</v>
      </c>
      <c r="E1072" s="134">
        <v>450</v>
      </c>
      <c r="F1072" t="s">
        <v>2816</v>
      </c>
    </row>
    <row r="1073" spans="1:6" x14ac:dyDescent="0.2">
      <c r="A1073" t="s">
        <v>2814</v>
      </c>
      <c r="B1073" t="s">
        <v>2908</v>
      </c>
      <c r="C1073">
        <v>14122775</v>
      </c>
      <c r="D1073" t="s">
        <v>445</v>
      </c>
      <c r="E1073" s="134">
        <v>200</v>
      </c>
      <c r="F1073" t="s">
        <v>2816</v>
      </c>
    </row>
    <row r="1074" spans="1:6" x14ac:dyDescent="0.2">
      <c r="A1074" t="s">
        <v>2814</v>
      </c>
      <c r="B1074" t="s">
        <v>2908</v>
      </c>
      <c r="C1074">
        <v>14122809</v>
      </c>
      <c r="D1074" t="s">
        <v>446</v>
      </c>
      <c r="E1074" s="134">
        <v>1050</v>
      </c>
      <c r="F1074" t="s">
        <v>2816</v>
      </c>
    </row>
    <row r="1075" spans="1:6" x14ac:dyDescent="0.2">
      <c r="A1075" t="s">
        <v>2814</v>
      </c>
      <c r="B1075" t="s">
        <v>2908</v>
      </c>
      <c r="C1075">
        <v>14122831</v>
      </c>
      <c r="D1075" t="s">
        <v>447</v>
      </c>
      <c r="E1075" s="134">
        <v>200</v>
      </c>
      <c r="F1075" t="s">
        <v>2816</v>
      </c>
    </row>
    <row r="1076" spans="1:6" x14ac:dyDescent="0.2">
      <c r="A1076" t="s">
        <v>2814</v>
      </c>
      <c r="B1076" t="s">
        <v>2908</v>
      </c>
      <c r="C1076">
        <v>14122832</v>
      </c>
      <c r="D1076" t="s">
        <v>448</v>
      </c>
      <c r="E1076" s="134">
        <v>200</v>
      </c>
      <c r="F1076" t="s">
        <v>2816</v>
      </c>
    </row>
    <row r="1077" spans="1:6" x14ac:dyDescent="0.2">
      <c r="A1077" t="s">
        <v>2814</v>
      </c>
      <c r="B1077" t="s">
        <v>2908</v>
      </c>
      <c r="C1077">
        <v>14122855</v>
      </c>
      <c r="D1077" t="s">
        <v>451</v>
      </c>
      <c r="E1077" s="134">
        <v>450</v>
      </c>
      <c r="F1077" t="s">
        <v>2816</v>
      </c>
    </row>
    <row r="1078" spans="1:6" x14ac:dyDescent="0.2">
      <c r="A1078" t="s">
        <v>2814</v>
      </c>
      <c r="B1078" t="s">
        <v>2908</v>
      </c>
      <c r="C1078">
        <v>14122904</v>
      </c>
      <c r="D1078" t="s">
        <v>457</v>
      </c>
      <c r="E1078" s="134">
        <v>200</v>
      </c>
      <c r="F1078" t="s">
        <v>2816</v>
      </c>
    </row>
    <row r="1079" spans="1:6" x14ac:dyDescent="0.2">
      <c r="A1079" t="s">
        <v>2814</v>
      </c>
      <c r="B1079" t="s">
        <v>2908</v>
      </c>
      <c r="C1079">
        <v>14122923</v>
      </c>
      <c r="D1079" t="s">
        <v>459</v>
      </c>
      <c r="E1079" s="134">
        <v>200</v>
      </c>
      <c r="F1079" t="s">
        <v>2816</v>
      </c>
    </row>
    <row r="1080" spans="1:6" x14ac:dyDescent="0.2">
      <c r="A1080" t="s">
        <v>2814</v>
      </c>
      <c r="B1080" t="s">
        <v>2908</v>
      </c>
      <c r="C1080">
        <v>14122925</v>
      </c>
      <c r="D1080" t="s">
        <v>460</v>
      </c>
      <c r="E1080" s="134">
        <v>300</v>
      </c>
      <c r="F1080" t="s">
        <v>2816</v>
      </c>
    </row>
    <row r="1081" spans="1:6" x14ac:dyDescent="0.2">
      <c r="A1081" t="s">
        <v>2814</v>
      </c>
      <c r="B1081" t="s">
        <v>2908</v>
      </c>
      <c r="C1081">
        <v>14122928</v>
      </c>
      <c r="D1081" t="s">
        <v>462</v>
      </c>
      <c r="E1081" s="134">
        <v>200</v>
      </c>
      <c r="F1081" t="s">
        <v>2816</v>
      </c>
    </row>
    <row r="1082" spans="1:6" x14ac:dyDescent="0.2">
      <c r="A1082" t="s">
        <v>2814</v>
      </c>
      <c r="B1082" t="s">
        <v>2908</v>
      </c>
      <c r="C1082">
        <v>14122992</v>
      </c>
      <c r="D1082" t="s">
        <v>465</v>
      </c>
      <c r="E1082" s="134">
        <v>500</v>
      </c>
      <c r="F1082" t="s">
        <v>2816</v>
      </c>
    </row>
    <row r="1083" spans="1:6" x14ac:dyDescent="0.2">
      <c r="A1083" t="s">
        <v>2814</v>
      </c>
      <c r="B1083" t="s">
        <v>2908</v>
      </c>
      <c r="C1083">
        <v>14123228</v>
      </c>
      <c r="D1083" t="s">
        <v>486</v>
      </c>
      <c r="E1083" s="134">
        <v>450</v>
      </c>
      <c r="F1083" t="s">
        <v>2816</v>
      </c>
    </row>
    <row r="1084" spans="1:6" x14ac:dyDescent="0.2">
      <c r="A1084" t="s">
        <v>2814</v>
      </c>
      <c r="B1084" t="s">
        <v>2908</v>
      </c>
      <c r="C1084">
        <v>14123238</v>
      </c>
      <c r="D1084" t="s">
        <v>487</v>
      </c>
      <c r="E1084" s="134">
        <v>250</v>
      </c>
      <c r="F1084" t="s">
        <v>2816</v>
      </c>
    </row>
    <row r="1085" spans="1:6" x14ac:dyDescent="0.2">
      <c r="A1085" t="s">
        <v>2814</v>
      </c>
      <c r="B1085" t="s">
        <v>2908</v>
      </c>
      <c r="C1085">
        <v>14123240</v>
      </c>
      <c r="D1085" t="s">
        <v>488</v>
      </c>
      <c r="E1085" s="134">
        <v>250</v>
      </c>
      <c r="F1085" t="s">
        <v>2816</v>
      </c>
    </row>
    <row r="1086" spans="1:6" x14ac:dyDescent="0.2">
      <c r="A1086" t="s">
        <v>2814</v>
      </c>
      <c r="B1086" t="s">
        <v>2908</v>
      </c>
      <c r="C1086">
        <v>14123254</v>
      </c>
      <c r="D1086" t="s">
        <v>490</v>
      </c>
      <c r="E1086" s="134">
        <v>200</v>
      </c>
      <c r="F1086" t="s">
        <v>2816</v>
      </c>
    </row>
    <row r="1087" spans="1:6" x14ac:dyDescent="0.2">
      <c r="A1087" t="s">
        <v>2814</v>
      </c>
      <c r="B1087" t="s">
        <v>2908</v>
      </c>
      <c r="C1087">
        <v>14123273</v>
      </c>
      <c r="D1087" t="s">
        <v>491</v>
      </c>
      <c r="E1087" s="134">
        <v>200</v>
      </c>
      <c r="F1087" t="s">
        <v>2816</v>
      </c>
    </row>
    <row r="1088" spans="1:6" x14ac:dyDescent="0.2">
      <c r="A1088" t="s">
        <v>2814</v>
      </c>
      <c r="B1088" t="s">
        <v>2908</v>
      </c>
      <c r="C1088">
        <v>14123275</v>
      </c>
      <c r="D1088" t="s">
        <v>493</v>
      </c>
      <c r="E1088" s="134">
        <v>250</v>
      </c>
      <c r="F1088" t="s">
        <v>2816</v>
      </c>
    </row>
    <row r="1089" spans="1:6" x14ac:dyDescent="0.2">
      <c r="A1089" t="s">
        <v>2814</v>
      </c>
      <c r="B1089" t="s">
        <v>2908</v>
      </c>
      <c r="C1089">
        <v>14123334</v>
      </c>
      <c r="D1089" t="s">
        <v>502</v>
      </c>
      <c r="E1089" s="134">
        <v>450</v>
      </c>
      <c r="F1089" t="s">
        <v>2816</v>
      </c>
    </row>
    <row r="1090" spans="1:6" x14ac:dyDescent="0.2">
      <c r="A1090" t="s">
        <v>2814</v>
      </c>
      <c r="B1090" t="s">
        <v>2908</v>
      </c>
      <c r="C1090">
        <v>14123446</v>
      </c>
      <c r="D1090" t="s">
        <v>507</v>
      </c>
      <c r="E1090" s="134">
        <v>450</v>
      </c>
      <c r="F1090" t="s">
        <v>2816</v>
      </c>
    </row>
    <row r="1091" spans="1:6" x14ac:dyDescent="0.2">
      <c r="A1091" t="s">
        <v>2814</v>
      </c>
      <c r="B1091" t="s">
        <v>2908</v>
      </c>
      <c r="C1091">
        <v>14123447</v>
      </c>
      <c r="D1091" t="s">
        <v>508</v>
      </c>
      <c r="E1091" s="134">
        <v>450</v>
      </c>
      <c r="F1091" t="s">
        <v>2816</v>
      </c>
    </row>
    <row r="1092" spans="1:6" x14ac:dyDescent="0.2">
      <c r="A1092" t="s">
        <v>2814</v>
      </c>
      <c r="B1092" t="s">
        <v>2908</v>
      </c>
      <c r="C1092">
        <v>14123463</v>
      </c>
      <c r="D1092" t="s">
        <v>512</v>
      </c>
      <c r="E1092" s="134">
        <v>450</v>
      </c>
      <c r="F1092" t="s">
        <v>2816</v>
      </c>
    </row>
    <row r="1093" spans="1:6" x14ac:dyDescent="0.2">
      <c r="A1093" t="s">
        <v>2814</v>
      </c>
      <c r="B1093" t="s">
        <v>2908</v>
      </c>
      <c r="C1093">
        <v>14123471</v>
      </c>
      <c r="D1093" t="s">
        <v>513</v>
      </c>
      <c r="E1093" s="134">
        <v>200</v>
      </c>
      <c r="F1093" t="s">
        <v>2816</v>
      </c>
    </row>
    <row r="1094" spans="1:6" x14ac:dyDescent="0.2">
      <c r="A1094" t="s">
        <v>2814</v>
      </c>
      <c r="B1094" t="s">
        <v>2908</v>
      </c>
      <c r="C1094">
        <v>14123488</v>
      </c>
      <c r="D1094" t="s">
        <v>515</v>
      </c>
      <c r="E1094" s="134">
        <v>250</v>
      </c>
      <c r="F1094" t="s">
        <v>2816</v>
      </c>
    </row>
    <row r="1095" spans="1:6" x14ac:dyDescent="0.2">
      <c r="A1095" t="s">
        <v>2814</v>
      </c>
      <c r="B1095" t="s">
        <v>2908</v>
      </c>
      <c r="C1095">
        <v>14123514</v>
      </c>
      <c r="D1095" t="s">
        <v>519</v>
      </c>
      <c r="E1095" s="134">
        <v>500</v>
      </c>
      <c r="F1095" t="s">
        <v>2816</v>
      </c>
    </row>
    <row r="1096" spans="1:6" x14ac:dyDescent="0.2">
      <c r="A1096" t="s">
        <v>2814</v>
      </c>
      <c r="B1096" t="s">
        <v>2908</v>
      </c>
      <c r="C1096">
        <v>14123516</v>
      </c>
      <c r="D1096" t="s">
        <v>520</v>
      </c>
      <c r="E1096" s="134">
        <v>300</v>
      </c>
      <c r="F1096" t="s">
        <v>2816</v>
      </c>
    </row>
    <row r="1097" spans="1:6" x14ac:dyDescent="0.2">
      <c r="A1097" t="s">
        <v>2814</v>
      </c>
      <c r="B1097" t="s">
        <v>2908</v>
      </c>
      <c r="C1097">
        <v>14123519</v>
      </c>
      <c r="D1097" t="s">
        <v>521</v>
      </c>
      <c r="E1097" s="134">
        <v>250</v>
      </c>
      <c r="F1097" t="s">
        <v>2816</v>
      </c>
    </row>
    <row r="1098" spans="1:6" x14ac:dyDescent="0.2">
      <c r="A1098" t="s">
        <v>2814</v>
      </c>
      <c r="B1098" t="s">
        <v>2908</v>
      </c>
      <c r="C1098">
        <v>14123526</v>
      </c>
      <c r="D1098" t="s">
        <v>524</v>
      </c>
      <c r="E1098" s="134">
        <v>200</v>
      </c>
      <c r="F1098" t="s">
        <v>2816</v>
      </c>
    </row>
    <row r="1099" spans="1:6" x14ac:dyDescent="0.2">
      <c r="A1099" t="s">
        <v>2814</v>
      </c>
      <c r="B1099" t="s">
        <v>2908</v>
      </c>
      <c r="C1099">
        <v>14123528</v>
      </c>
      <c r="D1099" t="s">
        <v>526</v>
      </c>
      <c r="E1099" s="134">
        <v>200</v>
      </c>
      <c r="F1099" t="s">
        <v>2816</v>
      </c>
    </row>
    <row r="1100" spans="1:6" x14ac:dyDescent="0.2">
      <c r="A1100" t="s">
        <v>2814</v>
      </c>
      <c r="B1100" t="s">
        <v>2908</v>
      </c>
      <c r="C1100">
        <v>14123530</v>
      </c>
      <c r="D1100" t="s">
        <v>527</v>
      </c>
      <c r="E1100" s="134">
        <v>450</v>
      </c>
      <c r="F1100" t="s">
        <v>2816</v>
      </c>
    </row>
    <row r="1101" spans="1:6" x14ac:dyDescent="0.2">
      <c r="A1101" t="s">
        <v>2814</v>
      </c>
      <c r="B1101" t="s">
        <v>2908</v>
      </c>
      <c r="C1101">
        <v>14123541</v>
      </c>
      <c r="D1101" t="s">
        <v>529</v>
      </c>
      <c r="E1101" s="134">
        <v>250</v>
      </c>
      <c r="F1101" t="s">
        <v>2816</v>
      </c>
    </row>
    <row r="1102" spans="1:6" x14ac:dyDescent="0.2">
      <c r="A1102" t="s">
        <v>2814</v>
      </c>
      <c r="B1102" t="s">
        <v>2908</v>
      </c>
      <c r="C1102">
        <v>14123557</v>
      </c>
      <c r="D1102" t="s">
        <v>530</v>
      </c>
      <c r="E1102" s="134">
        <v>450</v>
      </c>
      <c r="F1102" t="s">
        <v>2816</v>
      </c>
    </row>
    <row r="1103" spans="1:6" x14ac:dyDescent="0.2">
      <c r="A1103" t="s">
        <v>2814</v>
      </c>
      <c r="B1103" t="s">
        <v>2908</v>
      </c>
      <c r="C1103">
        <v>14123559</v>
      </c>
      <c r="D1103" t="s">
        <v>531</v>
      </c>
      <c r="E1103" s="134">
        <v>250</v>
      </c>
      <c r="F1103" t="s">
        <v>2816</v>
      </c>
    </row>
    <row r="1104" spans="1:6" x14ac:dyDescent="0.2">
      <c r="A1104" t="s">
        <v>2814</v>
      </c>
      <c r="B1104" t="s">
        <v>2908</v>
      </c>
      <c r="C1104">
        <v>14123568</v>
      </c>
      <c r="D1104" t="s">
        <v>533</v>
      </c>
      <c r="E1104" s="134">
        <v>450</v>
      </c>
      <c r="F1104" t="s">
        <v>2816</v>
      </c>
    </row>
    <row r="1105" spans="1:6" x14ac:dyDescent="0.2">
      <c r="A1105" t="s">
        <v>2814</v>
      </c>
      <c r="B1105" t="s">
        <v>2908</v>
      </c>
      <c r="C1105">
        <v>14123569</v>
      </c>
      <c r="D1105" t="s">
        <v>534</v>
      </c>
      <c r="E1105" s="134">
        <v>250</v>
      </c>
      <c r="F1105" t="s">
        <v>2816</v>
      </c>
    </row>
    <row r="1106" spans="1:6" x14ac:dyDescent="0.2">
      <c r="A1106" t="s">
        <v>2814</v>
      </c>
      <c r="B1106" t="s">
        <v>2908</v>
      </c>
      <c r="C1106">
        <v>14123635</v>
      </c>
      <c r="D1106" t="s">
        <v>899</v>
      </c>
      <c r="E1106" s="134">
        <v>250</v>
      </c>
      <c r="F1106" t="s">
        <v>2816</v>
      </c>
    </row>
    <row r="1107" spans="1:6" x14ac:dyDescent="0.2">
      <c r="A1107" t="s">
        <v>2814</v>
      </c>
      <c r="B1107" t="s">
        <v>2908</v>
      </c>
      <c r="C1107">
        <v>14123651</v>
      </c>
      <c r="D1107" t="s">
        <v>904</v>
      </c>
      <c r="E1107" s="134">
        <v>450</v>
      </c>
      <c r="F1107" t="s">
        <v>2816</v>
      </c>
    </row>
    <row r="1108" spans="1:6" x14ac:dyDescent="0.2">
      <c r="A1108" t="s">
        <v>2814</v>
      </c>
      <c r="B1108" t="s">
        <v>2908</v>
      </c>
      <c r="C1108">
        <v>14123719</v>
      </c>
      <c r="D1108" t="s">
        <v>953</v>
      </c>
      <c r="E1108" s="134">
        <v>200</v>
      </c>
      <c r="F1108" t="s">
        <v>2816</v>
      </c>
    </row>
    <row r="1109" spans="1:6" x14ac:dyDescent="0.2">
      <c r="A1109" t="s">
        <v>2814</v>
      </c>
      <c r="B1109" t="s">
        <v>2908</v>
      </c>
      <c r="C1109">
        <v>14123770</v>
      </c>
      <c r="D1109" t="s">
        <v>959</v>
      </c>
      <c r="E1109" s="134">
        <v>250</v>
      </c>
      <c r="F1109" t="s">
        <v>2816</v>
      </c>
    </row>
    <row r="1110" spans="1:6" x14ac:dyDescent="0.2">
      <c r="A1110" t="s">
        <v>2814</v>
      </c>
      <c r="B1110" t="s">
        <v>2908</v>
      </c>
      <c r="C1110">
        <v>14123787</v>
      </c>
      <c r="D1110" t="s">
        <v>963</v>
      </c>
      <c r="E1110" s="134">
        <v>250</v>
      </c>
      <c r="F1110" t="s">
        <v>2816</v>
      </c>
    </row>
    <row r="1111" spans="1:6" x14ac:dyDescent="0.2">
      <c r="A1111" t="s">
        <v>2814</v>
      </c>
      <c r="B1111" t="s">
        <v>2908</v>
      </c>
      <c r="C1111">
        <v>14123808</v>
      </c>
      <c r="D1111" t="s">
        <v>965</v>
      </c>
      <c r="E1111" s="134">
        <v>300</v>
      </c>
      <c r="F1111" t="s">
        <v>2816</v>
      </c>
    </row>
    <row r="1112" spans="1:6" x14ac:dyDescent="0.2">
      <c r="A1112" t="s">
        <v>2814</v>
      </c>
      <c r="B1112" t="s">
        <v>2908</v>
      </c>
      <c r="C1112">
        <v>14123843</v>
      </c>
      <c r="D1112" t="s">
        <v>970</v>
      </c>
      <c r="E1112" s="134">
        <v>250</v>
      </c>
      <c r="F1112" t="s">
        <v>2816</v>
      </c>
    </row>
    <row r="1113" spans="1:6" x14ac:dyDescent="0.2">
      <c r="A1113" t="s">
        <v>2814</v>
      </c>
      <c r="B1113" t="s">
        <v>2908</v>
      </c>
      <c r="C1113">
        <v>14123846</v>
      </c>
      <c r="D1113" t="s">
        <v>974</v>
      </c>
      <c r="E1113" s="134">
        <v>250</v>
      </c>
      <c r="F1113" t="s">
        <v>2816</v>
      </c>
    </row>
    <row r="1114" spans="1:6" x14ac:dyDescent="0.2">
      <c r="A1114" t="s">
        <v>2814</v>
      </c>
      <c r="B1114" t="s">
        <v>2908</v>
      </c>
      <c r="C1114">
        <v>14123884</v>
      </c>
      <c r="D1114" t="s">
        <v>976</v>
      </c>
      <c r="E1114" s="134">
        <v>600</v>
      </c>
      <c r="F1114" t="s">
        <v>2816</v>
      </c>
    </row>
    <row r="1115" spans="1:6" x14ac:dyDescent="0.2">
      <c r="A1115" t="s">
        <v>2814</v>
      </c>
      <c r="B1115" t="s">
        <v>2908</v>
      </c>
      <c r="C1115">
        <v>14123885</v>
      </c>
      <c r="D1115" t="s">
        <v>978</v>
      </c>
      <c r="E1115" s="134">
        <v>500</v>
      </c>
      <c r="F1115" t="s">
        <v>2816</v>
      </c>
    </row>
    <row r="1116" spans="1:6" x14ac:dyDescent="0.2">
      <c r="A1116" t="s">
        <v>2814</v>
      </c>
      <c r="B1116" t="s">
        <v>2908</v>
      </c>
      <c r="C1116">
        <v>14123894</v>
      </c>
      <c r="D1116" t="s">
        <v>981</v>
      </c>
      <c r="E1116" s="134">
        <v>250</v>
      </c>
      <c r="F1116" t="s">
        <v>2816</v>
      </c>
    </row>
    <row r="1117" spans="1:6" x14ac:dyDescent="0.2">
      <c r="A1117" t="s">
        <v>2814</v>
      </c>
      <c r="B1117" t="s">
        <v>2908</v>
      </c>
      <c r="C1117">
        <v>14123919</v>
      </c>
      <c r="D1117" t="s">
        <v>992</v>
      </c>
      <c r="E1117" s="134">
        <v>250</v>
      </c>
      <c r="F1117" t="s">
        <v>2816</v>
      </c>
    </row>
    <row r="1118" spans="1:6" x14ac:dyDescent="0.2">
      <c r="A1118" t="s">
        <v>2814</v>
      </c>
      <c r="B1118" t="s">
        <v>2908</v>
      </c>
      <c r="C1118">
        <v>14123925</v>
      </c>
      <c r="D1118" t="s">
        <v>994</v>
      </c>
      <c r="E1118" s="134">
        <v>450</v>
      </c>
      <c r="F1118" t="s">
        <v>2816</v>
      </c>
    </row>
    <row r="1119" spans="1:6" x14ac:dyDescent="0.2">
      <c r="A1119" t="s">
        <v>2814</v>
      </c>
      <c r="B1119" t="s">
        <v>2908</v>
      </c>
      <c r="C1119">
        <v>14123926</v>
      </c>
      <c r="D1119" t="s">
        <v>995</v>
      </c>
      <c r="E1119" s="134">
        <v>250</v>
      </c>
      <c r="F1119" t="s">
        <v>2816</v>
      </c>
    </row>
    <row r="1120" spans="1:6" x14ac:dyDescent="0.2">
      <c r="A1120" t="s">
        <v>2814</v>
      </c>
      <c r="B1120" t="s">
        <v>2908</v>
      </c>
      <c r="C1120">
        <v>14123927</v>
      </c>
      <c r="D1120" t="s">
        <v>996</v>
      </c>
      <c r="E1120" s="134">
        <v>632.9</v>
      </c>
      <c r="F1120" t="s">
        <v>2816</v>
      </c>
    </row>
    <row r="1121" spans="1:6" x14ac:dyDescent="0.2">
      <c r="A1121" t="s">
        <v>2814</v>
      </c>
      <c r="B1121" t="s">
        <v>2908</v>
      </c>
      <c r="C1121">
        <v>14123950</v>
      </c>
      <c r="D1121" t="s">
        <v>997</v>
      </c>
      <c r="E1121" s="134">
        <v>200</v>
      </c>
      <c r="F1121" t="s">
        <v>2816</v>
      </c>
    </row>
    <row r="1122" spans="1:6" x14ac:dyDescent="0.2">
      <c r="A1122" t="s">
        <v>2814</v>
      </c>
      <c r="B1122" t="s">
        <v>2908</v>
      </c>
      <c r="C1122">
        <v>14123971</v>
      </c>
      <c r="D1122" t="s">
        <v>999</v>
      </c>
      <c r="E1122" s="134">
        <v>200</v>
      </c>
      <c r="F1122" t="s">
        <v>2816</v>
      </c>
    </row>
    <row r="1123" spans="1:6" x14ac:dyDescent="0.2">
      <c r="A1123" t="s">
        <v>2814</v>
      </c>
      <c r="B1123" t="s">
        <v>2908</v>
      </c>
      <c r="C1123">
        <v>14123986</v>
      </c>
      <c r="D1123" t="s">
        <v>1002</v>
      </c>
      <c r="E1123" s="134">
        <v>200</v>
      </c>
      <c r="F1123" t="s">
        <v>2816</v>
      </c>
    </row>
    <row r="1124" spans="1:6" x14ac:dyDescent="0.2">
      <c r="A1124" t="s">
        <v>2814</v>
      </c>
      <c r="B1124" t="s">
        <v>2908</v>
      </c>
      <c r="C1124">
        <v>14124002</v>
      </c>
      <c r="D1124" t="s">
        <v>1005</v>
      </c>
      <c r="E1124" s="134">
        <v>700</v>
      </c>
      <c r="F1124" t="s">
        <v>2816</v>
      </c>
    </row>
    <row r="1125" spans="1:6" x14ac:dyDescent="0.2">
      <c r="A1125" t="s">
        <v>2814</v>
      </c>
      <c r="B1125" t="s">
        <v>2908</v>
      </c>
      <c r="C1125">
        <v>16101291</v>
      </c>
      <c r="D1125" t="s">
        <v>2818</v>
      </c>
      <c r="E1125" s="134">
        <v>250</v>
      </c>
      <c r="F1125" t="s">
        <v>2816</v>
      </c>
    </row>
    <row r="1126" spans="1:6" x14ac:dyDescent="0.2">
      <c r="A1126" t="s">
        <v>2814</v>
      </c>
      <c r="B1126" t="s">
        <v>2908</v>
      </c>
      <c r="C1126">
        <v>16101303</v>
      </c>
      <c r="D1126" t="s">
        <v>2819</v>
      </c>
      <c r="E1126" s="134">
        <v>250</v>
      </c>
      <c r="F1126" t="s">
        <v>2816</v>
      </c>
    </row>
    <row r="1127" spans="1:6" x14ac:dyDescent="0.2">
      <c r="A1127" t="s">
        <v>2814</v>
      </c>
      <c r="B1127" t="s">
        <v>2908</v>
      </c>
      <c r="C1127">
        <v>16101321</v>
      </c>
      <c r="D1127" t="s">
        <v>2820</v>
      </c>
      <c r="E1127" s="134">
        <v>2000</v>
      </c>
      <c r="F1127" t="s">
        <v>2816</v>
      </c>
    </row>
    <row r="1128" spans="1:6" x14ac:dyDescent="0.2">
      <c r="A1128" t="s">
        <v>2814</v>
      </c>
      <c r="B1128" t="s">
        <v>2908</v>
      </c>
      <c r="C1128">
        <v>16101347</v>
      </c>
      <c r="D1128" t="s">
        <v>2822</v>
      </c>
      <c r="E1128" s="134">
        <v>2500</v>
      </c>
      <c r="F1128" t="s">
        <v>2816</v>
      </c>
    </row>
    <row r="1129" spans="1:6" x14ac:dyDescent="0.2">
      <c r="A1129" t="s">
        <v>2814</v>
      </c>
      <c r="B1129" t="s">
        <v>2908</v>
      </c>
      <c r="C1129">
        <v>16101370</v>
      </c>
      <c r="D1129" t="s">
        <v>2823</v>
      </c>
      <c r="E1129" s="134">
        <v>250</v>
      </c>
      <c r="F1129" t="s">
        <v>2816</v>
      </c>
    </row>
    <row r="1130" spans="1:6" x14ac:dyDescent="0.2">
      <c r="A1130" t="s">
        <v>2814</v>
      </c>
      <c r="B1130" t="s">
        <v>2908</v>
      </c>
      <c r="C1130">
        <v>16101382</v>
      </c>
      <c r="D1130" t="s">
        <v>2824</v>
      </c>
      <c r="E1130" s="134">
        <v>750</v>
      </c>
      <c r="F1130" t="s">
        <v>2816</v>
      </c>
    </row>
    <row r="1131" spans="1:6" x14ac:dyDescent="0.2">
      <c r="A1131" t="s">
        <v>2814</v>
      </c>
      <c r="B1131" t="s">
        <v>2908</v>
      </c>
      <c r="C1131">
        <v>16101387</v>
      </c>
      <c r="D1131" t="s">
        <v>2825</v>
      </c>
      <c r="E1131" s="134">
        <v>750</v>
      </c>
      <c r="F1131" t="s">
        <v>2816</v>
      </c>
    </row>
    <row r="1132" spans="1:6" x14ac:dyDescent="0.2">
      <c r="A1132" t="s">
        <v>2814</v>
      </c>
      <c r="B1132" t="s">
        <v>2908</v>
      </c>
      <c r="C1132">
        <v>16102200</v>
      </c>
      <c r="D1132" t="s">
        <v>2826</v>
      </c>
      <c r="E1132" s="134">
        <v>2250</v>
      </c>
      <c r="F1132" t="s">
        <v>2816</v>
      </c>
    </row>
    <row r="1133" spans="1:6" x14ac:dyDescent="0.2">
      <c r="A1133" t="s">
        <v>2814</v>
      </c>
      <c r="B1133" t="s">
        <v>2908</v>
      </c>
      <c r="C1133">
        <v>16102265</v>
      </c>
      <c r="D1133" t="s">
        <v>2827</v>
      </c>
      <c r="E1133" s="134">
        <v>250</v>
      </c>
      <c r="F1133" t="s">
        <v>2816</v>
      </c>
    </row>
    <row r="1134" spans="1:6" x14ac:dyDescent="0.2">
      <c r="A1134" t="s">
        <v>2814</v>
      </c>
      <c r="B1134" t="s">
        <v>2908</v>
      </c>
      <c r="C1134">
        <v>16102525</v>
      </c>
      <c r="D1134" t="s">
        <v>2828</v>
      </c>
      <c r="E1134" s="134">
        <v>2250</v>
      </c>
      <c r="F1134" t="s">
        <v>2816</v>
      </c>
    </row>
    <row r="1135" spans="1:6" x14ac:dyDescent="0.2">
      <c r="A1135" t="s">
        <v>2814</v>
      </c>
      <c r="B1135" t="s">
        <v>2908</v>
      </c>
      <c r="C1135">
        <v>16102665</v>
      </c>
      <c r="D1135" t="s">
        <v>2829</v>
      </c>
      <c r="E1135" s="134">
        <v>250</v>
      </c>
      <c r="F1135" t="s">
        <v>2816</v>
      </c>
    </row>
    <row r="1136" spans="1:6" x14ac:dyDescent="0.2">
      <c r="A1136" t="s">
        <v>2814</v>
      </c>
      <c r="B1136" t="s">
        <v>2908</v>
      </c>
      <c r="C1136">
        <v>16102762</v>
      </c>
      <c r="D1136" t="s">
        <v>2830</v>
      </c>
      <c r="E1136" s="134">
        <v>250</v>
      </c>
      <c r="F1136" t="s">
        <v>2816</v>
      </c>
    </row>
    <row r="1137" spans="1:6" x14ac:dyDescent="0.2">
      <c r="A1137" t="s">
        <v>2814</v>
      </c>
      <c r="B1137" t="s">
        <v>2908</v>
      </c>
      <c r="C1137">
        <v>16103733</v>
      </c>
      <c r="D1137" t="s">
        <v>2831</v>
      </c>
      <c r="E1137" s="134">
        <v>250</v>
      </c>
      <c r="F1137" t="s">
        <v>2816</v>
      </c>
    </row>
    <row r="1138" spans="1:6" x14ac:dyDescent="0.2">
      <c r="A1138" t="s">
        <v>2814</v>
      </c>
      <c r="B1138" t="s">
        <v>2908</v>
      </c>
      <c r="C1138">
        <v>16104436</v>
      </c>
      <c r="D1138" t="s">
        <v>2832</v>
      </c>
      <c r="E1138" s="134">
        <v>250</v>
      </c>
      <c r="F1138" t="s">
        <v>2816</v>
      </c>
    </row>
    <row r="1139" spans="1:6" x14ac:dyDescent="0.2">
      <c r="A1139" t="s">
        <v>2814</v>
      </c>
      <c r="B1139" t="s">
        <v>2908</v>
      </c>
      <c r="C1139">
        <v>16104653</v>
      </c>
      <c r="D1139" t="s">
        <v>2834</v>
      </c>
      <c r="E1139" s="134">
        <v>250</v>
      </c>
      <c r="F1139" t="s">
        <v>2816</v>
      </c>
    </row>
    <row r="1140" spans="1:6" x14ac:dyDescent="0.2">
      <c r="A1140" t="s">
        <v>2814</v>
      </c>
      <c r="B1140" t="s">
        <v>2908</v>
      </c>
      <c r="C1140">
        <v>16106566</v>
      </c>
      <c r="D1140" t="s">
        <v>2836</v>
      </c>
      <c r="E1140" s="134">
        <v>750</v>
      </c>
      <c r="F1140" t="s">
        <v>2816</v>
      </c>
    </row>
    <row r="1141" spans="1:6" x14ac:dyDescent="0.2">
      <c r="A1141" t="s">
        <v>2814</v>
      </c>
      <c r="B1141" t="s">
        <v>2908</v>
      </c>
      <c r="C1141">
        <v>16107227</v>
      </c>
      <c r="D1141" t="s">
        <v>2837</v>
      </c>
      <c r="E1141" s="134">
        <v>250</v>
      </c>
      <c r="F1141" t="s">
        <v>2816</v>
      </c>
    </row>
    <row r="1142" spans="1:6" x14ac:dyDescent="0.2">
      <c r="A1142" t="s">
        <v>2814</v>
      </c>
      <c r="B1142" t="s">
        <v>2908</v>
      </c>
      <c r="C1142">
        <v>16107598</v>
      </c>
      <c r="D1142" t="s">
        <v>2838</v>
      </c>
      <c r="E1142" s="134">
        <v>250</v>
      </c>
      <c r="F1142" t="s">
        <v>2816</v>
      </c>
    </row>
    <row r="1143" spans="1:6" x14ac:dyDescent="0.2">
      <c r="A1143" t="s">
        <v>2814</v>
      </c>
      <c r="B1143" t="s">
        <v>2908</v>
      </c>
      <c r="C1143">
        <v>16107705</v>
      </c>
      <c r="D1143" t="s">
        <v>2839</v>
      </c>
      <c r="E1143" s="134">
        <v>250</v>
      </c>
      <c r="F1143" t="s">
        <v>2816</v>
      </c>
    </row>
    <row r="1144" spans="1:6" x14ac:dyDescent="0.2">
      <c r="A1144" t="s">
        <v>2814</v>
      </c>
      <c r="B1144" t="s">
        <v>2908</v>
      </c>
      <c r="C1144">
        <v>16107845</v>
      </c>
      <c r="D1144" t="s">
        <v>2840</v>
      </c>
      <c r="E1144" s="134">
        <v>2000</v>
      </c>
      <c r="F1144" t="s">
        <v>2816</v>
      </c>
    </row>
    <row r="1145" spans="1:6" x14ac:dyDescent="0.2">
      <c r="A1145" t="s">
        <v>2814</v>
      </c>
      <c r="B1145" t="s">
        <v>2908</v>
      </c>
      <c r="C1145">
        <v>16107905</v>
      </c>
      <c r="D1145" t="s">
        <v>2841</v>
      </c>
      <c r="E1145" s="134">
        <v>2250</v>
      </c>
      <c r="F1145" t="s">
        <v>2816</v>
      </c>
    </row>
    <row r="1146" spans="1:6" x14ac:dyDescent="0.2">
      <c r="A1146" t="s">
        <v>2814</v>
      </c>
      <c r="B1146" t="s">
        <v>2908</v>
      </c>
      <c r="C1146">
        <v>16108306</v>
      </c>
      <c r="D1146" t="s">
        <v>2842</v>
      </c>
      <c r="E1146" s="134">
        <v>250</v>
      </c>
      <c r="F1146" t="s">
        <v>2816</v>
      </c>
    </row>
    <row r="1147" spans="1:6" x14ac:dyDescent="0.2">
      <c r="A1147" t="s">
        <v>2814</v>
      </c>
      <c r="B1147" t="s">
        <v>2908</v>
      </c>
      <c r="C1147">
        <v>16110177</v>
      </c>
      <c r="D1147" t="s">
        <v>2843</v>
      </c>
      <c r="E1147" s="134">
        <v>750</v>
      </c>
      <c r="F1147" t="s">
        <v>2816</v>
      </c>
    </row>
    <row r="1148" spans="1:6" x14ac:dyDescent="0.2">
      <c r="A1148" t="s">
        <v>2814</v>
      </c>
      <c r="B1148" t="s">
        <v>2908</v>
      </c>
      <c r="C1148">
        <v>16110744</v>
      </c>
      <c r="D1148" t="s">
        <v>2844</v>
      </c>
      <c r="E1148" s="134">
        <v>1250</v>
      </c>
      <c r="F1148" t="s">
        <v>2816</v>
      </c>
    </row>
    <row r="1149" spans="1:6" x14ac:dyDescent="0.2">
      <c r="A1149" t="s">
        <v>2814</v>
      </c>
      <c r="B1149" t="s">
        <v>2908</v>
      </c>
      <c r="C1149">
        <v>16111231</v>
      </c>
      <c r="D1149" t="s">
        <v>2845</v>
      </c>
      <c r="E1149" s="134">
        <v>250</v>
      </c>
      <c r="F1149" t="s">
        <v>2816</v>
      </c>
    </row>
    <row r="1150" spans="1:6" x14ac:dyDescent="0.2">
      <c r="A1150" t="s">
        <v>2814</v>
      </c>
      <c r="B1150" t="s">
        <v>2908</v>
      </c>
      <c r="C1150">
        <v>16112578</v>
      </c>
      <c r="D1150" t="s">
        <v>2848</v>
      </c>
      <c r="E1150" s="134">
        <v>1250</v>
      </c>
      <c r="F1150" t="s">
        <v>2816</v>
      </c>
    </row>
    <row r="1151" spans="1:6" x14ac:dyDescent="0.2">
      <c r="A1151" t="s">
        <v>2814</v>
      </c>
      <c r="B1151" t="s">
        <v>2908</v>
      </c>
      <c r="C1151">
        <v>16114063</v>
      </c>
      <c r="D1151" t="s">
        <v>2850</v>
      </c>
      <c r="E1151" s="134">
        <v>500</v>
      </c>
      <c r="F1151" t="s">
        <v>2816</v>
      </c>
    </row>
    <row r="1152" spans="1:6" x14ac:dyDescent="0.2">
      <c r="A1152" t="s">
        <v>2814</v>
      </c>
      <c r="B1152" t="s">
        <v>2908</v>
      </c>
      <c r="C1152">
        <v>16115026</v>
      </c>
      <c r="D1152" t="s">
        <v>2853</v>
      </c>
      <c r="E1152" s="134">
        <v>750</v>
      </c>
      <c r="F1152" t="s">
        <v>2816</v>
      </c>
    </row>
    <row r="1153" spans="1:6" x14ac:dyDescent="0.2">
      <c r="A1153" t="s">
        <v>2814</v>
      </c>
      <c r="B1153" t="s">
        <v>2908</v>
      </c>
      <c r="C1153">
        <v>16115150</v>
      </c>
      <c r="D1153" t="s">
        <v>2854</v>
      </c>
      <c r="E1153" s="134">
        <v>2250</v>
      </c>
      <c r="F1153" t="s">
        <v>2816</v>
      </c>
    </row>
    <row r="1154" spans="1:6" x14ac:dyDescent="0.2">
      <c r="A1154" t="s">
        <v>2814</v>
      </c>
      <c r="B1154" t="s">
        <v>2908</v>
      </c>
      <c r="C1154">
        <v>16115756</v>
      </c>
      <c r="D1154" t="s">
        <v>2856</v>
      </c>
      <c r="E1154" s="134">
        <v>250</v>
      </c>
      <c r="F1154" t="s">
        <v>2816</v>
      </c>
    </row>
    <row r="1155" spans="1:6" x14ac:dyDescent="0.2">
      <c r="A1155" t="s">
        <v>2814</v>
      </c>
      <c r="B1155" t="s">
        <v>2908</v>
      </c>
      <c r="C1155">
        <v>16115783</v>
      </c>
      <c r="D1155" t="s">
        <v>2857</v>
      </c>
      <c r="E1155" s="134">
        <v>2000</v>
      </c>
      <c r="F1155" t="s">
        <v>2816</v>
      </c>
    </row>
    <row r="1156" spans="1:6" x14ac:dyDescent="0.2">
      <c r="A1156" t="s">
        <v>2814</v>
      </c>
      <c r="B1156" t="s">
        <v>2908</v>
      </c>
      <c r="C1156">
        <v>16116077</v>
      </c>
      <c r="D1156" t="s">
        <v>2858</v>
      </c>
      <c r="E1156" s="134">
        <v>250</v>
      </c>
      <c r="F1156" t="s">
        <v>2816</v>
      </c>
    </row>
    <row r="1157" spans="1:6" x14ac:dyDescent="0.2">
      <c r="A1157" t="s">
        <v>2814</v>
      </c>
      <c r="B1157" t="s">
        <v>2908</v>
      </c>
      <c r="C1157">
        <v>16116733</v>
      </c>
      <c r="D1157" t="s">
        <v>2862</v>
      </c>
      <c r="E1157" s="134">
        <v>250</v>
      </c>
      <c r="F1157" t="s">
        <v>2816</v>
      </c>
    </row>
    <row r="1158" spans="1:6" x14ac:dyDescent="0.2">
      <c r="A1158" t="s">
        <v>2814</v>
      </c>
      <c r="B1158" t="s">
        <v>2908</v>
      </c>
      <c r="C1158">
        <v>16117582</v>
      </c>
      <c r="D1158" t="s">
        <v>2863</v>
      </c>
      <c r="E1158" s="134">
        <v>2500</v>
      </c>
      <c r="F1158" t="s">
        <v>2816</v>
      </c>
    </row>
    <row r="1159" spans="1:6" x14ac:dyDescent="0.2">
      <c r="A1159" t="s">
        <v>2814</v>
      </c>
      <c r="B1159" t="s">
        <v>2908</v>
      </c>
      <c r="C1159">
        <v>16117764</v>
      </c>
      <c r="D1159" t="s">
        <v>2864</v>
      </c>
      <c r="E1159" s="134">
        <v>2500</v>
      </c>
      <c r="F1159" t="s">
        <v>2816</v>
      </c>
    </row>
    <row r="1160" spans="1:6" x14ac:dyDescent="0.2">
      <c r="A1160" t="s">
        <v>2814</v>
      </c>
      <c r="B1160" t="s">
        <v>2908</v>
      </c>
      <c r="C1160">
        <v>16118421</v>
      </c>
      <c r="D1160" t="s">
        <v>2865</v>
      </c>
      <c r="E1160" s="134">
        <v>750</v>
      </c>
      <c r="F1160" t="s">
        <v>2816</v>
      </c>
    </row>
    <row r="1161" spans="1:6" x14ac:dyDescent="0.2">
      <c r="A1161" t="s">
        <v>2814</v>
      </c>
      <c r="B1161" t="s">
        <v>2908</v>
      </c>
      <c r="C1161">
        <v>16118485</v>
      </c>
      <c r="D1161" t="s">
        <v>2866</v>
      </c>
      <c r="E1161" s="134">
        <v>1250</v>
      </c>
      <c r="F1161" t="s">
        <v>2816</v>
      </c>
    </row>
    <row r="1162" spans="1:6" x14ac:dyDescent="0.2">
      <c r="A1162" t="s">
        <v>2814</v>
      </c>
      <c r="B1162" t="s">
        <v>2908</v>
      </c>
      <c r="C1162">
        <v>16118701</v>
      </c>
      <c r="D1162" t="s">
        <v>2867</v>
      </c>
      <c r="E1162" s="134">
        <v>1500</v>
      </c>
      <c r="F1162" t="s">
        <v>2816</v>
      </c>
    </row>
    <row r="1163" spans="1:6" x14ac:dyDescent="0.2">
      <c r="A1163" t="s">
        <v>2814</v>
      </c>
      <c r="B1163" t="s">
        <v>2908</v>
      </c>
      <c r="C1163">
        <v>16118874</v>
      </c>
      <c r="D1163" t="s">
        <v>2869</v>
      </c>
      <c r="E1163" s="134">
        <v>3000</v>
      </c>
      <c r="F1163" t="s">
        <v>2816</v>
      </c>
    </row>
    <row r="1164" spans="1:6" x14ac:dyDescent="0.2">
      <c r="A1164" t="s">
        <v>2814</v>
      </c>
      <c r="B1164" t="s">
        <v>2908</v>
      </c>
      <c r="C1164">
        <v>16118963</v>
      </c>
      <c r="D1164" t="s">
        <v>2870</v>
      </c>
      <c r="E1164" s="134">
        <v>2000</v>
      </c>
      <c r="F1164" t="s">
        <v>2816</v>
      </c>
    </row>
    <row r="1165" spans="1:6" x14ac:dyDescent="0.2">
      <c r="A1165" t="s">
        <v>2814</v>
      </c>
      <c r="B1165" t="s">
        <v>2908</v>
      </c>
      <c r="C1165">
        <v>16119048</v>
      </c>
      <c r="D1165" t="s">
        <v>2871</v>
      </c>
      <c r="E1165" s="134">
        <v>750</v>
      </c>
      <c r="F1165" t="s">
        <v>2816</v>
      </c>
    </row>
    <row r="1166" spans="1:6" x14ac:dyDescent="0.2">
      <c r="A1166" t="s">
        <v>2814</v>
      </c>
      <c r="B1166" t="s">
        <v>2908</v>
      </c>
      <c r="C1166">
        <v>16119278</v>
      </c>
      <c r="D1166" t="s">
        <v>2872</v>
      </c>
      <c r="E1166" s="134">
        <v>3250</v>
      </c>
      <c r="F1166" t="s">
        <v>2816</v>
      </c>
    </row>
    <row r="1167" spans="1:6" x14ac:dyDescent="0.2">
      <c r="A1167" t="s">
        <v>2814</v>
      </c>
      <c r="B1167" t="s">
        <v>2908</v>
      </c>
      <c r="C1167">
        <v>16119354</v>
      </c>
      <c r="D1167" t="s">
        <v>2873</v>
      </c>
      <c r="E1167" s="134">
        <v>250</v>
      </c>
      <c r="F1167" t="s">
        <v>2816</v>
      </c>
    </row>
    <row r="1168" spans="1:6" x14ac:dyDescent="0.2">
      <c r="A1168" t="s">
        <v>2814</v>
      </c>
      <c r="B1168" t="s">
        <v>2908</v>
      </c>
      <c r="C1168">
        <v>16119562</v>
      </c>
      <c r="D1168" t="s">
        <v>2874</v>
      </c>
      <c r="E1168" s="134">
        <v>250</v>
      </c>
      <c r="F1168" t="s">
        <v>2816</v>
      </c>
    </row>
    <row r="1169" spans="1:6" x14ac:dyDescent="0.2">
      <c r="A1169" t="s">
        <v>2814</v>
      </c>
      <c r="B1169" t="s">
        <v>2908</v>
      </c>
      <c r="C1169">
        <v>16119563</v>
      </c>
      <c r="D1169" t="s">
        <v>2875</v>
      </c>
      <c r="E1169" s="134">
        <v>2500</v>
      </c>
      <c r="F1169" t="s">
        <v>2816</v>
      </c>
    </row>
    <row r="1170" spans="1:6" x14ac:dyDescent="0.2">
      <c r="A1170" t="s">
        <v>2814</v>
      </c>
      <c r="B1170" t="s">
        <v>2908</v>
      </c>
      <c r="C1170">
        <v>16119689</v>
      </c>
      <c r="D1170" t="s">
        <v>2876</v>
      </c>
      <c r="E1170" s="134">
        <v>250</v>
      </c>
      <c r="F1170" t="s">
        <v>2816</v>
      </c>
    </row>
    <row r="1171" spans="1:6" x14ac:dyDescent="0.2">
      <c r="A1171" t="s">
        <v>2814</v>
      </c>
      <c r="B1171" t="s">
        <v>2908</v>
      </c>
      <c r="C1171">
        <v>16120137</v>
      </c>
      <c r="D1171" t="s">
        <v>2877</v>
      </c>
      <c r="E1171" s="134">
        <v>250</v>
      </c>
      <c r="F1171" t="s">
        <v>2816</v>
      </c>
    </row>
    <row r="1172" spans="1:6" x14ac:dyDescent="0.2">
      <c r="A1172" t="s">
        <v>2814</v>
      </c>
      <c r="B1172" t="s">
        <v>2908</v>
      </c>
      <c r="C1172">
        <v>16120346</v>
      </c>
      <c r="D1172" t="s">
        <v>2878</v>
      </c>
      <c r="E1172" s="134">
        <v>3000</v>
      </c>
      <c r="F1172" t="s">
        <v>2816</v>
      </c>
    </row>
    <row r="1173" spans="1:6" x14ac:dyDescent="0.2">
      <c r="A1173" t="s">
        <v>2814</v>
      </c>
      <c r="B1173" t="s">
        <v>2908</v>
      </c>
      <c r="C1173">
        <v>16120702</v>
      </c>
      <c r="D1173" t="s">
        <v>2880</v>
      </c>
      <c r="E1173" s="134">
        <v>1750</v>
      </c>
      <c r="F1173" t="s">
        <v>2816</v>
      </c>
    </row>
    <row r="1174" spans="1:6" x14ac:dyDescent="0.2">
      <c r="A1174" t="s">
        <v>2814</v>
      </c>
      <c r="B1174" t="s">
        <v>2908</v>
      </c>
      <c r="C1174">
        <v>16121373</v>
      </c>
      <c r="D1174" t="s">
        <v>2881</v>
      </c>
      <c r="E1174" s="134">
        <v>250</v>
      </c>
      <c r="F1174" t="s">
        <v>2816</v>
      </c>
    </row>
    <row r="1175" spans="1:6" x14ac:dyDescent="0.2">
      <c r="A1175" t="s">
        <v>2814</v>
      </c>
      <c r="B1175" t="s">
        <v>2908</v>
      </c>
      <c r="C1175">
        <v>16121712</v>
      </c>
      <c r="D1175" t="s">
        <v>2882</v>
      </c>
      <c r="E1175" s="134">
        <v>250</v>
      </c>
      <c r="F1175" t="s">
        <v>2816</v>
      </c>
    </row>
    <row r="1176" spans="1:6" x14ac:dyDescent="0.2">
      <c r="A1176" t="s">
        <v>2814</v>
      </c>
      <c r="B1176" t="s">
        <v>2908</v>
      </c>
      <c r="C1176">
        <v>16121844</v>
      </c>
      <c r="D1176" t="s">
        <v>2883</v>
      </c>
      <c r="E1176" s="134">
        <v>250</v>
      </c>
      <c r="F1176" t="s">
        <v>2816</v>
      </c>
    </row>
    <row r="1177" spans="1:6" x14ac:dyDescent="0.2">
      <c r="A1177" t="s">
        <v>2814</v>
      </c>
      <c r="B1177" t="s">
        <v>2908</v>
      </c>
      <c r="C1177">
        <v>16121937</v>
      </c>
      <c r="D1177" t="s">
        <v>2884</v>
      </c>
      <c r="E1177" s="134">
        <v>250</v>
      </c>
      <c r="F1177" t="s">
        <v>2816</v>
      </c>
    </row>
    <row r="1178" spans="1:6" x14ac:dyDescent="0.2">
      <c r="A1178" t="s">
        <v>2814</v>
      </c>
      <c r="B1178" t="s">
        <v>2908</v>
      </c>
      <c r="C1178">
        <v>16122078</v>
      </c>
      <c r="D1178" t="s">
        <v>2885</v>
      </c>
      <c r="E1178" s="134">
        <v>3000</v>
      </c>
      <c r="F1178" t="s">
        <v>2816</v>
      </c>
    </row>
    <row r="1179" spans="1:6" x14ac:dyDescent="0.2">
      <c r="A1179" t="s">
        <v>2814</v>
      </c>
      <c r="B1179" t="s">
        <v>2908</v>
      </c>
      <c r="C1179">
        <v>16122204</v>
      </c>
      <c r="D1179" t="s">
        <v>2886</v>
      </c>
      <c r="E1179" s="134">
        <v>1750</v>
      </c>
      <c r="F1179" t="s">
        <v>2816</v>
      </c>
    </row>
    <row r="1180" spans="1:6" x14ac:dyDescent="0.2">
      <c r="A1180" t="s">
        <v>2814</v>
      </c>
      <c r="B1180" t="s">
        <v>2908</v>
      </c>
      <c r="C1180">
        <v>16122277</v>
      </c>
      <c r="D1180" t="s">
        <v>2887</v>
      </c>
      <c r="E1180" s="134">
        <v>1250</v>
      </c>
      <c r="F1180" t="s">
        <v>2816</v>
      </c>
    </row>
    <row r="1181" spans="1:6" x14ac:dyDescent="0.2">
      <c r="A1181" t="s">
        <v>2814</v>
      </c>
      <c r="B1181" t="s">
        <v>2908</v>
      </c>
      <c r="C1181">
        <v>16122298</v>
      </c>
      <c r="D1181" t="s">
        <v>2888</v>
      </c>
      <c r="E1181" s="134">
        <v>250</v>
      </c>
      <c r="F1181" t="s">
        <v>2816</v>
      </c>
    </row>
    <row r="1182" spans="1:6" x14ac:dyDescent="0.2">
      <c r="A1182" t="s">
        <v>2814</v>
      </c>
      <c r="B1182" t="s">
        <v>2908</v>
      </c>
      <c r="C1182">
        <v>16122324</v>
      </c>
      <c r="D1182" t="s">
        <v>2889</v>
      </c>
      <c r="E1182" s="134">
        <v>250</v>
      </c>
      <c r="F1182" t="s">
        <v>2816</v>
      </c>
    </row>
    <row r="1183" spans="1:6" x14ac:dyDescent="0.2">
      <c r="A1183" t="s">
        <v>2814</v>
      </c>
      <c r="B1183" t="s">
        <v>2908</v>
      </c>
      <c r="C1183">
        <v>16122503</v>
      </c>
      <c r="D1183" t="s">
        <v>2891</v>
      </c>
      <c r="E1183" s="134">
        <v>750</v>
      </c>
      <c r="F1183" t="s">
        <v>2816</v>
      </c>
    </row>
    <row r="1184" spans="1:6" x14ac:dyDescent="0.2">
      <c r="A1184" t="s">
        <v>2814</v>
      </c>
      <c r="B1184" t="s">
        <v>2908</v>
      </c>
      <c r="C1184">
        <v>16122568</v>
      </c>
      <c r="D1184" t="s">
        <v>2892</v>
      </c>
      <c r="E1184" s="134">
        <v>1250</v>
      </c>
      <c r="F1184" t="s">
        <v>2816</v>
      </c>
    </row>
    <row r="1185" spans="1:6" x14ac:dyDescent="0.2">
      <c r="A1185" t="s">
        <v>2814</v>
      </c>
      <c r="B1185" t="s">
        <v>2908</v>
      </c>
      <c r="C1185">
        <v>16123358</v>
      </c>
      <c r="D1185" t="s">
        <v>2893</v>
      </c>
      <c r="E1185" s="134">
        <v>750</v>
      </c>
      <c r="F1185" t="s">
        <v>2816</v>
      </c>
    </row>
    <row r="1186" spans="1:6" x14ac:dyDescent="0.2">
      <c r="A1186" t="s">
        <v>2814</v>
      </c>
      <c r="B1186" t="s">
        <v>2908</v>
      </c>
      <c r="C1186">
        <v>16123499</v>
      </c>
      <c r="D1186" t="s">
        <v>2894</v>
      </c>
      <c r="E1186" s="134">
        <v>250</v>
      </c>
      <c r="F1186" t="s">
        <v>2816</v>
      </c>
    </row>
    <row r="1187" spans="1:6" x14ac:dyDescent="0.2">
      <c r="A1187" t="s">
        <v>2814</v>
      </c>
      <c r="B1187" t="s">
        <v>2908</v>
      </c>
      <c r="C1187">
        <v>16123584</v>
      </c>
      <c r="D1187" t="s">
        <v>2895</v>
      </c>
      <c r="E1187" s="134">
        <v>250</v>
      </c>
      <c r="F1187" t="s">
        <v>2816</v>
      </c>
    </row>
    <row r="1188" spans="1:6" x14ac:dyDescent="0.2">
      <c r="A1188" t="s">
        <v>2814</v>
      </c>
      <c r="B1188" t="s">
        <v>2908</v>
      </c>
      <c r="C1188">
        <v>16123585</v>
      </c>
      <c r="D1188" t="s">
        <v>2896</v>
      </c>
      <c r="E1188" s="134">
        <v>250</v>
      </c>
      <c r="F1188" t="s">
        <v>2816</v>
      </c>
    </row>
    <row r="1189" spans="1:6" x14ac:dyDescent="0.2">
      <c r="A1189" t="s">
        <v>2814</v>
      </c>
      <c r="B1189" t="s">
        <v>2908</v>
      </c>
      <c r="C1189">
        <v>16123592</v>
      </c>
      <c r="D1189" t="s">
        <v>2897</v>
      </c>
      <c r="E1189" s="134">
        <v>250</v>
      </c>
      <c r="F1189" t="s">
        <v>2816</v>
      </c>
    </row>
    <row r="1190" spans="1:6" x14ac:dyDescent="0.2">
      <c r="A1190" t="s">
        <v>2814</v>
      </c>
      <c r="B1190" t="s">
        <v>2908</v>
      </c>
      <c r="C1190">
        <v>16123745</v>
      </c>
      <c r="D1190" t="s">
        <v>2898</v>
      </c>
      <c r="E1190" s="134">
        <v>250</v>
      </c>
      <c r="F1190" t="s">
        <v>2816</v>
      </c>
    </row>
    <row r="1191" spans="1:6" x14ac:dyDescent="0.2">
      <c r="A1191" t="s">
        <v>2814</v>
      </c>
      <c r="B1191" t="s">
        <v>2908</v>
      </c>
      <c r="C1191">
        <v>16123790</v>
      </c>
      <c r="D1191" t="s">
        <v>2900</v>
      </c>
      <c r="E1191" s="134">
        <v>250</v>
      </c>
      <c r="F1191" t="s">
        <v>2816</v>
      </c>
    </row>
    <row r="1192" spans="1:6" x14ac:dyDescent="0.2">
      <c r="A1192" t="s">
        <v>2814</v>
      </c>
      <c r="B1192" t="s">
        <v>2908</v>
      </c>
      <c r="C1192">
        <v>16123864</v>
      </c>
      <c r="D1192" t="s">
        <v>2901</v>
      </c>
      <c r="E1192" s="134">
        <v>250</v>
      </c>
      <c r="F1192" t="s">
        <v>2816</v>
      </c>
    </row>
    <row r="1193" spans="1:6" x14ac:dyDescent="0.2">
      <c r="A1193" t="s">
        <v>2814</v>
      </c>
      <c r="B1193" t="s">
        <v>2908</v>
      </c>
      <c r="C1193">
        <v>16123865</v>
      </c>
      <c r="D1193" t="s">
        <v>2902</v>
      </c>
      <c r="E1193" s="134">
        <v>2250</v>
      </c>
      <c r="F1193" t="s">
        <v>2816</v>
      </c>
    </row>
    <row r="1194" spans="1:6" x14ac:dyDescent="0.2">
      <c r="A1194" t="s">
        <v>2814</v>
      </c>
      <c r="B1194" t="s">
        <v>2908</v>
      </c>
      <c r="C1194">
        <v>16123866</v>
      </c>
      <c r="D1194" t="s">
        <v>2903</v>
      </c>
      <c r="E1194" s="134">
        <v>1750</v>
      </c>
      <c r="F1194" t="s">
        <v>2816</v>
      </c>
    </row>
    <row r="1195" spans="1:6" x14ac:dyDescent="0.2">
      <c r="A1195" t="s">
        <v>2814</v>
      </c>
      <c r="B1195" t="s">
        <v>2908</v>
      </c>
      <c r="C1195">
        <v>16123887</v>
      </c>
      <c r="D1195" t="s">
        <v>2904</v>
      </c>
      <c r="E1195" s="134">
        <v>250</v>
      </c>
      <c r="F1195" t="s">
        <v>2816</v>
      </c>
    </row>
    <row r="1196" spans="1:6" x14ac:dyDescent="0.2">
      <c r="A1196" t="s">
        <v>2814</v>
      </c>
      <c r="B1196" t="s">
        <v>2908</v>
      </c>
      <c r="C1196">
        <v>16123910</v>
      </c>
      <c r="D1196" t="s">
        <v>2906</v>
      </c>
      <c r="E1196" s="134">
        <v>250</v>
      </c>
      <c r="F1196" t="s">
        <v>2816</v>
      </c>
    </row>
    <row r="1197" spans="1:6" x14ac:dyDescent="0.2">
      <c r="A1197" t="s">
        <v>2814</v>
      </c>
      <c r="B1197" t="s">
        <v>2908</v>
      </c>
      <c r="C1197">
        <v>16123938</v>
      </c>
      <c r="D1197" t="s">
        <v>2909</v>
      </c>
      <c r="E1197" s="134">
        <v>250</v>
      </c>
      <c r="F1197" t="s">
        <v>2816</v>
      </c>
    </row>
    <row r="1198" spans="1:6" x14ac:dyDescent="0.2">
      <c r="A1198" t="s">
        <v>2814</v>
      </c>
      <c r="B1198" t="s">
        <v>2908</v>
      </c>
      <c r="C1198">
        <v>14103936</v>
      </c>
      <c r="D1198" t="s">
        <v>291</v>
      </c>
      <c r="E1198" s="134">
        <v>200</v>
      </c>
      <c r="F1198" t="s">
        <v>2816</v>
      </c>
    </row>
    <row r="1199" spans="1:6" x14ac:dyDescent="0.2">
      <c r="A1199" t="s">
        <v>2814</v>
      </c>
      <c r="B1199" t="s">
        <v>2908</v>
      </c>
      <c r="C1199">
        <v>14109802</v>
      </c>
      <c r="D1199" t="s">
        <v>95</v>
      </c>
      <c r="E1199" s="134">
        <v>200</v>
      </c>
      <c r="F1199" t="s">
        <v>2816</v>
      </c>
    </row>
    <row r="1200" spans="1:6" x14ac:dyDescent="0.2">
      <c r="A1200" t="s">
        <v>2814</v>
      </c>
      <c r="B1200" t="s">
        <v>2908</v>
      </c>
      <c r="C1200">
        <v>14110707</v>
      </c>
      <c r="D1200" t="s">
        <v>267</v>
      </c>
      <c r="E1200" s="134">
        <v>450</v>
      </c>
      <c r="F1200" t="s">
        <v>2816</v>
      </c>
    </row>
    <row r="1201" spans="1:6" x14ac:dyDescent="0.2">
      <c r="A1201" t="s">
        <v>2814</v>
      </c>
      <c r="B1201" t="s">
        <v>2908</v>
      </c>
      <c r="C1201">
        <v>14110974</v>
      </c>
      <c r="D1201" t="s">
        <v>107</v>
      </c>
      <c r="E1201" s="134">
        <v>250</v>
      </c>
      <c r="F1201" t="s">
        <v>2816</v>
      </c>
    </row>
    <row r="1202" spans="1:6" x14ac:dyDescent="0.2">
      <c r="A1202" t="s">
        <v>2814</v>
      </c>
      <c r="B1202" t="s">
        <v>2908</v>
      </c>
      <c r="C1202">
        <v>14113803</v>
      </c>
      <c r="D1202" t="s">
        <v>296</v>
      </c>
      <c r="E1202" s="134">
        <v>200</v>
      </c>
      <c r="F1202" t="s">
        <v>2816</v>
      </c>
    </row>
    <row r="1203" spans="1:6" x14ac:dyDescent="0.2">
      <c r="A1203" t="s">
        <v>2814</v>
      </c>
      <c r="B1203" t="s">
        <v>2908</v>
      </c>
      <c r="C1203">
        <v>14114320</v>
      </c>
      <c r="D1203" t="s">
        <v>312</v>
      </c>
      <c r="E1203" s="134">
        <v>450</v>
      </c>
      <c r="F1203" t="s">
        <v>2816</v>
      </c>
    </row>
    <row r="1204" spans="1:6" x14ac:dyDescent="0.2">
      <c r="A1204" t="s">
        <v>2814</v>
      </c>
      <c r="B1204" t="s">
        <v>2908</v>
      </c>
      <c r="C1204">
        <v>14115435</v>
      </c>
      <c r="D1204" t="s">
        <v>143</v>
      </c>
      <c r="E1204" s="134">
        <v>100</v>
      </c>
      <c r="F1204" t="s">
        <v>2816</v>
      </c>
    </row>
    <row r="1205" spans="1:6" x14ac:dyDescent="0.2">
      <c r="A1205" t="s">
        <v>2814</v>
      </c>
      <c r="B1205" t="s">
        <v>2908</v>
      </c>
      <c r="C1205">
        <v>14115820</v>
      </c>
      <c r="D1205" t="s">
        <v>148</v>
      </c>
      <c r="E1205" s="134">
        <v>250</v>
      </c>
      <c r="F1205" t="s">
        <v>2816</v>
      </c>
    </row>
    <row r="1206" spans="1:6" x14ac:dyDescent="0.2">
      <c r="A1206" t="s">
        <v>2814</v>
      </c>
      <c r="B1206" t="s">
        <v>2908</v>
      </c>
      <c r="C1206">
        <v>14117158</v>
      </c>
      <c r="D1206" t="s">
        <v>172</v>
      </c>
      <c r="E1206" s="134">
        <v>300</v>
      </c>
      <c r="F1206" t="s">
        <v>2816</v>
      </c>
    </row>
    <row r="1207" spans="1:6" x14ac:dyDescent="0.2">
      <c r="A1207" t="s">
        <v>2814</v>
      </c>
      <c r="B1207" t="s">
        <v>2908</v>
      </c>
      <c r="C1207">
        <v>14117508</v>
      </c>
      <c r="D1207" t="s">
        <v>313</v>
      </c>
      <c r="E1207" s="134">
        <v>200</v>
      </c>
      <c r="F1207" t="s">
        <v>2816</v>
      </c>
    </row>
    <row r="1208" spans="1:6" x14ac:dyDescent="0.2">
      <c r="A1208" t="s">
        <v>2814</v>
      </c>
      <c r="B1208" t="s">
        <v>2908</v>
      </c>
      <c r="C1208">
        <v>14118773</v>
      </c>
      <c r="D1208" t="s">
        <v>210</v>
      </c>
      <c r="E1208" s="134">
        <v>100</v>
      </c>
      <c r="F1208" t="s">
        <v>2816</v>
      </c>
    </row>
    <row r="1209" spans="1:6" x14ac:dyDescent="0.2">
      <c r="A1209" t="s">
        <v>2814</v>
      </c>
      <c r="B1209" t="s">
        <v>2908</v>
      </c>
      <c r="C1209">
        <v>14118958</v>
      </c>
      <c r="D1209" t="s">
        <v>367</v>
      </c>
      <c r="E1209" s="134">
        <v>200</v>
      </c>
      <c r="F1209" t="s">
        <v>2816</v>
      </c>
    </row>
    <row r="1210" spans="1:6" x14ac:dyDescent="0.2">
      <c r="A1210" t="s">
        <v>2814</v>
      </c>
      <c r="B1210" t="s">
        <v>2908</v>
      </c>
      <c r="C1210">
        <v>14119958</v>
      </c>
      <c r="D1210" t="s">
        <v>270</v>
      </c>
      <c r="E1210" s="134">
        <v>200</v>
      </c>
      <c r="F1210" t="s">
        <v>2816</v>
      </c>
    </row>
    <row r="1211" spans="1:6" x14ac:dyDescent="0.2">
      <c r="A1211" t="s">
        <v>2814</v>
      </c>
      <c r="B1211" t="s">
        <v>2908</v>
      </c>
      <c r="C1211">
        <v>14120351</v>
      </c>
      <c r="D1211" t="s">
        <v>285</v>
      </c>
      <c r="E1211" s="134">
        <v>250</v>
      </c>
      <c r="F1211" t="s">
        <v>2816</v>
      </c>
    </row>
    <row r="1212" spans="1:6" x14ac:dyDescent="0.2">
      <c r="A1212" t="s">
        <v>2814</v>
      </c>
      <c r="B1212" t="s">
        <v>2908</v>
      </c>
      <c r="C1212">
        <v>14120885</v>
      </c>
      <c r="D1212" t="s">
        <v>302</v>
      </c>
      <c r="E1212" s="134">
        <v>250</v>
      </c>
      <c r="F1212" t="s">
        <v>2816</v>
      </c>
    </row>
    <row r="1213" spans="1:6" x14ac:dyDescent="0.2">
      <c r="A1213" t="s">
        <v>2814</v>
      </c>
      <c r="B1213" t="s">
        <v>2908</v>
      </c>
      <c r="C1213">
        <v>14120925</v>
      </c>
      <c r="D1213" t="s">
        <v>304</v>
      </c>
      <c r="E1213" s="134">
        <v>250</v>
      </c>
      <c r="F1213" t="s">
        <v>2816</v>
      </c>
    </row>
    <row r="1214" spans="1:6" x14ac:dyDescent="0.2">
      <c r="A1214" t="s">
        <v>2814</v>
      </c>
      <c r="B1214" t="s">
        <v>2908</v>
      </c>
      <c r="C1214">
        <v>14121013</v>
      </c>
      <c r="D1214" t="s">
        <v>305</v>
      </c>
      <c r="E1214" s="134">
        <v>450</v>
      </c>
      <c r="F1214" t="s">
        <v>2816</v>
      </c>
    </row>
    <row r="1215" spans="1:6" x14ac:dyDescent="0.2">
      <c r="A1215" t="s">
        <v>2814</v>
      </c>
      <c r="B1215" t="s">
        <v>2908</v>
      </c>
      <c r="C1215">
        <v>14121015</v>
      </c>
      <c r="D1215" t="s">
        <v>306</v>
      </c>
      <c r="E1215" s="134">
        <v>450</v>
      </c>
      <c r="F1215" t="s">
        <v>2816</v>
      </c>
    </row>
    <row r="1216" spans="1:6" x14ac:dyDescent="0.2">
      <c r="A1216" t="s">
        <v>2814</v>
      </c>
      <c r="B1216" t="s">
        <v>2908</v>
      </c>
      <c r="C1216">
        <v>14121104</v>
      </c>
      <c r="D1216" t="s">
        <v>308</v>
      </c>
      <c r="E1216" s="134">
        <v>250</v>
      </c>
      <c r="F1216" t="s">
        <v>2816</v>
      </c>
    </row>
    <row r="1217" spans="1:6" x14ac:dyDescent="0.2">
      <c r="A1217" t="s">
        <v>2814</v>
      </c>
      <c r="B1217" t="s">
        <v>2908</v>
      </c>
      <c r="C1217">
        <v>14121116</v>
      </c>
      <c r="D1217" t="s">
        <v>314</v>
      </c>
      <c r="E1217" s="134">
        <v>250</v>
      </c>
      <c r="F1217" t="s">
        <v>2816</v>
      </c>
    </row>
    <row r="1218" spans="1:6" x14ac:dyDescent="0.2">
      <c r="A1218" t="s">
        <v>2814</v>
      </c>
      <c r="B1218" t="s">
        <v>2908</v>
      </c>
      <c r="C1218">
        <v>14121152</v>
      </c>
      <c r="D1218" t="s">
        <v>315</v>
      </c>
      <c r="E1218" s="134">
        <v>432.9</v>
      </c>
      <c r="F1218" t="s">
        <v>2816</v>
      </c>
    </row>
    <row r="1219" spans="1:6" x14ac:dyDescent="0.2">
      <c r="A1219" t="s">
        <v>2814</v>
      </c>
      <c r="B1219" t="s">
        <v>2908</v>
      </c>
      <c r="C1219">
        <v>14121238</v>
      </c>
      <c r="D1219" t="s">
        <v>322</v>
      </c>
      <c r="E1219" s="134">
        <v>250</v>
      </c>
      <c r="F1219" t="s">
        <v>2816</v>
      </c>
    </row>
    <row r="1220" spans="1:6" x14ac:dyDescent="0.2">
      <c r="A1220" t="s">
        <v>2814</v>
      </c>
      <c r="B1220" t="s">
        <v>2908</v>
      </c>
      <c r="C1220">
        <v>14121239</v>
      </c>
      <c r="D1220" t="s">
        <v>323</v>
      </c>
      <c r="E1220" s="134">
        <v>200</v>
      </c>
      <c r="F1220" t="s">
        <v>2816</v>
      </c>
    </row>
    <row r="1221" spans="1:6" x14ac:dyDescent="0.2">
      <c r="A1221" t="s">
        <v>2814</v>
      </c>
      <c r="B1221" t="s">
        <v>2908</v>
      </c>
      <c r="C1221">
        <v>14121522</v>
      </c>
      <c r="D1221" t="s">
        <v>331</v>
      </c>
      <c r="E1221" s="134">
        <v>450</v>
      </c>
      <c r="F1221" t="s">
        <v>2816</v>
      </c>
    </row>
    <row r="1222" spans="1:6" x14ac:dyDescent="0.2">
      <c r="A1222" t="s">
        <v>2814</v>
      </c>
      <c r="B1222" t="s">
        <v>2908</v>
      </c>
      <c r="C1222">
        <v>14121523</v>
      </c>
      <c r="D1222" t="s">
        <v>332</v>
      </c>
      <c r="E1222" s="134">
        <v>200</v>
      </c>
      <c r="F1222" t="s">
        <v>2816</v>
      </c>
    </row>
    <row r="1223" spans="1:6" x14ac:dyDescent="0.2">
      <c r="A1223" t="s">
        <v>2814</v>
      </c>
      <c r="B1223" t="s">
        <v>2908</v>
      </c>
      <c r="C1223">
        <v>14121545</v>
      </c>
      <c r="D1223" t="s">
        <v>334</v>
      </c>
      <c r="E1223" s="134">
        <v>250</v>
      </c>
      <c r="F1223" t="s">
        <v>2816</v>
      </c>
    </row>
    <row r="1224" spans="1:6" x14ac:dyDescent="0.2">
      <c r="A1224" t="s">
        <v>2814</v>
      </c>
      <c r="B1224" t="s">
        <v>2908</v>
      </c>
      <c r="C1224">
        <v>14121677</v>
      </c>
      <c r="D1224" t="s">
        <v>343</v>
      </c>
      <c r="E1224" s="134">
        <v>250</v>
      </c>
      <c r="F1224" t="s">
        <v>2816</v>
      </c>
    </row>
    <row r="1225" spans="1:6" x14ac:dyDescent="0.2">
      <c r="A1225" t="s">
        <v>2814</v>
      </c>
      <c r="B1225" t="s">
        <v>2908</v>
      </c>
      <c r="C1225">
        <v>14121733</v>
      </c>
      <c r="D1225" t="s">
        <v>346</v>
      </c>
      <c r="E1225" s="134">
        <v>200</v>
      </c>
      <c r="F1225" t="s">
        <v>2816</v>
      </c>
    </row>
    <row r="1226" spans="1:6" x14ac:dyDescent="0.2">
      <c r="A1226" t="s">
        <v>2814</v>
      </c>
      <c r="B1226" t="s">
        <v>2908</v>
      </c>
      <c r="C1226">
        <v>14121791</v>
      </c>
      <c r="D1226" t="s">
        <v>354</v>
      </c>
      <c r="E1226" s="134">
        <v>450</v>
      </c>
      <c r="F1226" t="s">
        <v>2816</v>
      </c>
    </row>
    <row r="1227" spans="1:6" x14ac:dyDescent="0.2">
      <c r="A1227" t="s">
        <v>2814</v>
      </c>
      <c r="B1227" t="s">
        <v>2908</v>
      </c>
      <c r="C1227">
        <v>14121860</v>
      </c>
      <c r="D1227" t="s">
        <v>360</v>
      </c>
      <c r="E1227" s="134">
        <v>250</v>
      </c>
      <c r="F1227" t="s">
        <v>2816</v>
      </c>
    </row>
    <row r="1228" spans="1:6" x14ac:dyDescent="0.2">
      <c r="A1228" t="s">
        <v>2814</v>
      </c>
      <c r="B1228" t="s">
        <v>2908</v>
      </c>
      <c r="C1228">
        <v>14121869</v>
      </c>
      <c r="D1228" t="s">
        <v>361</v>
      </c>
      <c r="E1228" s="134">
        <v>250</v>
      </c>
      <c r="F1228" t="s">
        <v>2816</v>
      </c>
    </row>
    <row r="1229" spans="1:6" x14ac:dyDescent="0.2">
      <c r="A1229" t="s">
        <v>2814</v>
      </c>
      <c r="B1229" t="s">
        <v>2908</v>
      </c>
      <c r="C1229">
        <v>14121985</v>
      </c>
      <c r="D1229" t="s">
        <v>369</v>
      </c>
      <c r="E1229" s="134">
        <v>200</v>
      </c>
      <c r="F1229" t="s">
        <v>2816</v>
      </c>
    </row>
    <row r="1230" spans="1:6" x14ac:dyDescent="0.2">
      <c r="A1230" t="s">
        <v>2814</v>
      </c>
      <c r="B1230" t="s">
        <v>2908</v>
      </c>
      <c r="C1230">
        <v>14122035</v>
      </c>
      <c r="D1230" t="s">
        <v>373</v>
      </c>
      <c r="E1230" s="134">
        <v>450</v>
      </c>
      <c r="F1230" t="s">
        <v>2816</v>
      </c>
    </row>
    <row r="1231" spans="1:6" x14ac:dyDescent="0.2">
      <c r="A1231" t="s">
        <v>2814</v>
      </c>
      <c r="B1231" t="s">
        <v>2908</v>
      </c>
      <c r="C1231">
        <v>14122067</v>
      </c>
      <c r="D1231" t="s">
        <v>374</v>
      </c>
      <c r="E1231" s="134">
        <v>450</v>
      </c>
      <c r="F1231" t="s">
        <v>2816</v>
      </c>
    </row>
    <row r="1232" spans="1:6" x14ac:dyDescent="0.2">
      <c r="A1232" t="s">
        <v>2814</v>
      </c>
      <c r="B1232" t="s">
        <v>2908</v>
      </c>
      <c r="C1232">
        <v>14122135</v>
      </c>
      <c r="D1232" t="s">
        <v>385</v>
      </c>
      <c r="E1232" s="134">
        <v>250</v>
      </c>
      <c r="F1232" t="s">
        <v>2816</v>
      </c>
    </row>
    <row r="1233" spans="1:6" x14ac:dyDescent="0.2">
      <c r="A1233" t="s">
        <v>2814</v>
      </c>
      <c r="B1233" t="s">
        <v>2908</v>
      </c>
      <c r="C1233">
        <v>14122137</v>
      </c>
      <c r="D1233" t="s">
        <v>387</v>
      </c>
      <c r="E1233" s="134">
        <v>682.9</v>
      </c>
      <c r="F1233" t="s">
        <v>2816</v>
      </c>
    </row>
    <row r="1234" spans="1:6" x14ac:dyDescent="0.2">
      <c r="A1234" t="s">
        <v>2814</v>
      </c>
      <c r="B1234" t="s">
        <v>2908</v>
      </c>
      <c r="C1234">
        <v>14122148</v>
      </c>
      <c r="D1234" t="s">
        <v>388</v>
      </c>
      <c r="E1234" s="134">
        <v>300</v>
      </c>
      <c r="F1234" t="s">
        <v>2816</v>
      </c>
    </row>
    <row r="1235" spans="1:6" x14ac:dyDescent="0.2">
      <c r="A1235" t="s">
        <v>2814</v>
      </c>
      <c r="B1235" t="s">
        <v>2908</v>
      </c>
      <c r="C1235">
        <v>14100858</v>
      </c>
      <c r="D1235" t="s">
        <v>261</v>
      </c>
      <c r="E1235" s="134">
        <v>250</v>
      </c>
      <c r="F1235" t="s">
        <v>2816</v>
      </c>
    </row>
    <row r="1236" spans="1:6" x14ac:dyDescent="0.2">
      <c r="A1236" t="s">
        <v>2814</v>
      </c>
      <c r="B1236" t="s">
        <v>2908</v>
      </c>
      <c r="C1236">
        <v>14109648</v>
      </c>
      <c r="D1236" t="s">
        <v>211</v>
      </c>
      <c r="E1236" s="134">
        <v>432.9</v>
      </c>
      <c r="F1236" t="s">
        <v>2816</v>
      </c>
    </row>
    <row r="1237" spans="1:6" x14ac:dyDescent="0.2">
      <c r="A1237" t="s">
        <v>2814</v>
      </c>
      <c r="B1237" t="s">
        <v>2908</v>
      </c>
      <c r="C1237">
        <v>14112197</v>
      </c>
      <c r="D1237" t="s">
        <v>242</v>
      </c>
      <c r="E1237" s="134">
        <v>450</v>
      </c>
      <c r="F1237" t="s">
        <v>2816</v>
      </c>
    </row>
    <row r="1238" spans="1:6" x14ac:dyDescent="0.2">
      <c r="A1238" t="s">
        <v>2814</v>
      </c>
      <c r="B1238" t="s">
        <v>2908</v>
      </c>
      <c r="C1238">
        <v>14113198</v>
      </c>
      <c r="D1238" t="s">
        <v>212</v>
      </c>
      <c r="E1238" s="134">
        <v>500</v>
      </c>
      <c r="F1238" t="s">
        <v>2816</v>
      </c>
    </row>
    <row r="1239" spans="1:6" x14ac:dyDescent="0.2">
      <c r="A1239" t="s">
        <v>2814</v>
      </c>
      <c r="B1239" t="s">
        <v>2908</v>
      </c>
      <c r="C1239">
        <v>14117509</v>
      </c>
      <c r="D1239" t="s">
        <v>235</v>
      </c>
      <c r="E1239" s="134">
        <v>450</v>
      </c>
      <c r="F1239" t="s">
        <v>2816</v>
      </c>
    </row>
    <row r="1240" spans="1:6" x14ac:dyDescent="0.2">
      <c r="A1240" t="s">
        <v>2814</v>
      </c>
      <c r="B1240" t="s">
        <v>2908</v>
      </c>
      <c r="C1240">
        <v>14118620</v>
      </c>
      <c r="D1240" t="s">
        <v>201</v>
      </c>
      <c r="E1240" s="134">
        <v>450</v>
      </c>
      <c r="F1240" t="s">
        <v>2816</v>
      </c>
    </row>
    <row r="1241" spans="1:6" x14ac:dyDescent="0.2">
      <c r="A1241" t="s">
        <v>2814</v>
      </c>
      <c r="B1241" t="s">
        <v>2908</v>
      </c>
      <c r="C1241">
        <v>14118622</v>
      </c>
      <c r="D1241" t="s">
        <v>203</v>
      </c>
      <c r="E1241" s="134">
        <v>1700</v>
      </c>
      <c r="F1241" t="s">
        <v>2816</v>
      </c>
    </row>
    <row r="1242" spans="1:6" x14ac:dyDescent="0.2">
      <c r="A1242" t="s">
        <v>2814</v>
      </c>
      <c r="B1242" t="s">
        <v>2908</v>
      </c>
      <c r="C1242">
        <v>14118627</v>
      </c>
      <c r="D1242" t="s">
        <v>204</v>
      </c>
      <c r="E1242" s="134">
        <v>200</v>
      </c>
      <c r="F1242" t="s">
        <v>2816</v>
      </c>
    </row>
    <row r="1243" spans="1:6" x14ac:dyDescent="0.2">
      <c r="A1243" t="s">
        <v>2814</v>
      </c>
      <c r="B1243" t="s">
        <v>2908</v>
      </c>
      <c r="C1243">
        <v>14118660</v>
      </c>
      <c r="D1243" t="s">
        <v>206</v>
      </c>
      <c r="E1243" s="134">
        <v>200</v>
      </c>
      <c r="F1243" t="s">
        <v>2816</v>
      </c>
    </row>
    <row r="1244" spans="1:6" x14ac:dyDescent="0.2">
      <c r="A1244" t="s">
        <v>2814</v>
      </c>
      <c r="B1244" t="s">
        <v>2908</v>
      </c>
      <c r="C1244">
        <v>14118663</v>
      </c>
      <c r="D1244" t="s">
        <v>207</v>
      </c>
      <c r="E1244" s="134">
        <v>250</v>
      </c>
      <c r="F1244" t="s">
        <v>2816</v>
      </c>
    </row>
    <row r="1245" spans="1:6" x14ac:dyDescent="0.2">
      <c r="A1245" t="s">
        <v>2814</v>
      </c>
      <c r="B1245" t="s">
        <v>2908</v>
      </c>
      <c r="C1245">
        <v>14118811</v>
      </c>
      <c r="D1245" t="s">
        <v>214</v>
      </c>
      <c r="E1245" s="134">
        <v>250</v>
      </c>
      <c r="F1245" t="s">
        <v>2816</v>
      </c>
    </row>
    <row r="1246" spans="1:6" x14ac:dyDescent="0.2">
      <c r="A1246" t="s">
        <v>2814</v>
      </c>
      <c r="B1246" t="s">
        <v>2908</v>
      </c>
      <c r="C1246">
        <v>14118849</v>
      </c>
      <c r="D1246" t="s">
        <v>216</v>
      </c>
      <c r="E1246" s="134">
        <v>1625</v>
      </c>
      <c r="F1246" t="s">
        <v>2816</v>
      </c>
    </row>
    <row r="1247" spans="1:6" x14ac:dyDescent="0.2">
      <c r="A1247" t="s">
        <v>2814</v>
      </c>
      <c r="B1247" t="s">
        <v>2908</v>
      </c>
      <c r="C1247">
        <v>14119057</v>
      </c>
      <c r="D1247" t="s">
        <v>229</v>
      </c>
      <c r="E1247" s="134">
        <v>250</v>
      </c>
      <c r="F1247" t="s">
        <v>2816</v>
      </c>
    </row>
    <row r="1248" spans="1:6" x14ac:dyDescent="0.2">
      <c r="A1248" t="s">
        <v>2814</v>
      </c>
      <c r="B1248" t="s">
        <v>2908</v>
      </c>
      <c r="C1248">
        <v>14119271</v>
      </c>
      <c r="D1248" t="s">
        <v>238</v>
      </c>
      <c r="E1248" s="134">
        <v>450</v>
      </c>
      <c r="F1248" t="s">
        <v>2816</v>
      </c>
    </row>
    <row r="1249" spans="1:6" x14ac:dyDescent="0.2">
      <c r="A1249" t="s">
        <v>2814</v>
      </c>
      <c r="B1249" t="s">
        <v>2908</v>
      </c>
      <c r="C1249">
        <v>14119324</v>
      </c>
      <c r="D1249" t="s">
        <v>241</v>
      </c>
      <c r="E1249" s="134">
        <v>250</v>
      </c>
      <c r="F1249" t="s">
        <v>2816</v>
      </c>
    </row>
    <row r="1250" spans="1:6" x14ac:dyDescent="0.2">
      <c r="A1250" t="s">
        <v>2814</v>
      </c>
      <c r="B1250" t="s">
        <v>2908</v>
      </c>
      <c r="C1250">
        <v>14119539</v>
      </c>
      <c r="D1250" t="s">
        <v>252</v>
      </c>
      <c r="E1250" s="134">
        <v>450</v>
      </c>
      <c r="F1250" t="s">
        <v>2816</v>
      </c>
    </row>
    <row r="1251" spans="1:6" x14ac:dyDescent="0.2">
      <c r="A1251" t="s">
        <v>2814</v>
      </c>
      <c r="B1251" t="s">
        <v>2908</v>
      </c>
      <c r="C1251">
        <v>14119540</v>
      </c>
      <c r="D1251" t="s">
        <v>253</v>
      </c>
      <c r="E1251" s="134">
        <v>250</v>
      </c>
      <c r="F1251" t="s">
        <v>2816</v>
      </c>
    </row>
    <row r="1252" spans="1:6" x14ac:dyDescent="0.2">
      <c r="A1252" t="s">
        <v>2814</v>
      </c>
      <c r="B1252" t="s">
        <v>2908</v>
      </c>
      <c r="C1252">
        <v>14119751</v>
      </c>
      <c r="D1252" t="s">
        <v>257</v>
      </c>
      <c r="E1252" s="134">
        <v>250</v>
      </c>
      <c r="F1252" t="s">
        <v>2816</v>
      </c>
    </row>
    <row r="1253" spans="1:6" x14ac:dyDescent="0.2">
      <c r="A1253" t="s">
        <v>2814</v>
      </c>
      <c r="B1253" t="s">
        <v>2908</v>
      </c>
      <c r="C1253">
        <v>14119785</v>
      </c>
      <c r="D1253" t="s">
        <v>258</v>
      </c>
      <c r="E1253" s="134">
        <v>200</v>
      </c>
      <c r="F1253" t="s">
        <v>2816</v>
      </c>
    </row>
    <row r="1254" spans="1:6" x14ac:dyDescent="0.2">
      <c r="A1254" t="s">
        <v>2814</v>
      </c>
      <c r="B1254" t="s">
        <v>2908</v>
      </c>
      <c r="C1254">
        <v>14119787</v>
      </c>
      <c r="D1254" t="s">
        <v>260</v>
      </c>
      <c r="E1254" s="134">
        <v>200</v>
      </c>
      <c r="F1254" t="s">
        <v>2816</v>
      </c>
    </row>
    <row r="1255" spans="1:6" x14ac:dyDescent="0.2">
      <c r="A1255" t="s">
        <v>2814</v>
      </c>
      <c r="B1255" t="s">
        <v>2908</v>
      </c>
      <c r="C1255">
        <v>14119825</v>
      </c>
      <c r="D1255" t="s">
        <v>262</v>
      </c>
      <c r="E1255" s="134">
        <v>250</v>
      </c>
      <c r="F1255" t="s">
        <v>2816</v>
      </c>
    </row>
    <row r="1256" spans="1:6" x14ac:dyDescent="0.2">
      <c r="A1256" t="s">
        <v>2814</v>
      </c>
      <c r="B1256" t="s">
        <v>2908</v>
      </c>
      <c r="C1256">
        <v>14119837</v>
      </c>
      <c r="D1256" t="s">
        <v>264</v>
      </c>
      <c r="E1256" s="134">
        <v>450</v>
      </c>
      <c r="F1256" t="s">
        <v>2816</v>
      </c>
    </row>
    <row r="1257" spans="1:6" x14ac:dyDescent="0.2">
      <c r="A1257" t="s">
        <v>2814</v>
      </c>
      <c r="B1257" t="s">
        <v>2908</v>
      </c>
      <c r="C1257">
        <v>14119956</v>
      </c>
      <c r="D1257" t="s">
        <v>269</v>
      </c>
      <c r="E1257" s="134">
        <v>250</v>
      </c>
      <c r="F1257" t="s">
        <v>2816</v>
      </c>
    </row>
    <row r="1258" spans="1:6" x14ac:dyDescent="0.2">
      <c r="A1258" t="s">
        <v>2814</v>
      </c>
      <c r="B1258" t="s">
        <v>2908</v>
      </c>
      <c r="C1258">
        <v>14120106</v>
      </c>
      <c r="D1258" t="s">
        <v>277</v>
      </c>
      <c r="E1258" s="134">
        <v>200</v>
      </c>
      <c r="F1258" t="s">
        <v>2816</v>
      </c>
    </row>
    <row r="1259" spans="1:6" x14ac:dyDescent="0.2">
      <c r="A1259" t="s">
        <v>2814</v>
      </c>
      <c r="B1259" t="s">
        <v>2908</v>
      </c>
      <c r="C1259">
        <v>14120196</v>
      </c>
      <c r="D1259" t="s">
        <v>279</v>
      </c>
      <c r="E1259" s="134">
        <v>200</v>
      </c>
      <c r="F1259" t="s">
        <v>2816</v>
      </c>
    </row>
    <row r="1260" spans="1:6" x14ac:dyDescent="0.2">
      <c r="A1260" t="s">
        <v>2814</v>
      </c>
      <c r="B1260" t="s">
        <v>2908</v>
      </c>
      <c r="C1260">
        <v>14120349</v>
      </c>
      <c r="D1260" t="s">
        <v>284</v>
      </c>
      <c r="E1260" s="134">
        <v>200</v>
      </c>
      <c r="F1260" t="s">
        <v>2816</v>
      </c>
    </row>
    <row r="1261" spans="1:6" x14ac:dyDescent="0.2">
      <c r="A1261" t="s">
        <v>2814</v>
      </c>
      <c r="B1261" t="s">
        <v>2908</v>
      </c>
      <c r="C1261">
        <v>14120415</v>
      </c>
      <c r="D1261" t="s">
        <v>286</v>
      </c>
      <c r="E1261" s="134">
        <v>250</v>
      </c>
      <c r="F1261" t="s">
        <v>2816</v>
      </c>
    </row>
    <row r="1262" spans="1:6" x14ac:dyDescent="0.2">
      <c r="A1262" t="s">
        <v>2814</v>
      </c>
      <c r="B1262" t="s">
        <v>2908</v>
      </c>
      <c r="C1262">
        <v>14100714</v>
      </c>
      <c r="D1262" t="s">
        <v>6</v>
      </c>
      <c r="E1262" s="134">
        <v>250</v>
      </c>
      <c r="F1262" t="s">
        <v>2816</v>
      </c>
    </row>
    <row r="1263" spans="1:6" x14ac:dyDescent="0.2">
      <c r="A1263" t="s">
        <v>2814</v>
      </c>
      <c r="B1263" t="s">
        <v>2908</v>
      </c>
      <c r="C1263">
        <v>14100718</v>
      </c>
      <c r="D1263" t="s">
        <v>8</v>
      </c>
      <c r="E1263" s="134">
        <v>250</v>
      </c>
      <c r="F1263" t="s">
        <v>2816</v>
      </c>
    </row>
    <row r="1264" spans="1:6" x14ac:dyDescent="0.2">
      <c r="A1264" t="s">
        <v>2814</v>
      </c>
      <c r="B1264" t="s">
        <v>2908</v>
      </c>
      <c r="C1264">
        <v>14100721</v>
      </c>
      <c r="D1264" t="s">
        <v>9</v>
      </c>
      <c r="E1264" s="134">
        <v>450</v>
      </c>
      <c r="F1264" t="s">
        <v>2816</v>
      </c>
    </row>
    <row r="1265" spans="1:6" x14ac:dyDescent="0.2">
      <c r="A1265" t="s">
        <v>2814</v>
      </c>
      <c r="B1265" t="s">
        <v>2908</v>
      </c>
      <c r="C1265">
        <v>14100724</v>
      </c>
      <c r="D1265" t="s">
        <v>10</v>
      </c>
      <c r="E1265" s="134">
        <v>450</v>
      </c>
      <c r="F1265" t="s">
        <v>2816</v>
      </c>
    </row>
    <row r="1266" spans="1:6" x14ac:dyDescent="0.2">
      <c r="A1266" t="s">
        <v>2814</v>
      </c>
      <c r="B1266" t="s">
        <v>2908</v>
      </c>
      <c r="C1266">
        <v>14100726</v>
      </c>
      <c r="D1266" t="s">
        <v>12</v>
      </c>
      <c r="E1266" s="134">
        <v>200</v>
      </c>
      <c r="F1266" t="s">
        <v>2816</v>
      </c>
    </row>
    <row r="1267" spans="1:6" x14ac:dyDescent="0.2">
      <c r="A1267" t="s">
        <v>2814</v>
      </c>
      <c r="B1267" t="s">
        <v>2908</v>
      </c>
      <c r="C1267">
        <v>14100727</v>
      </c>
      <c r="D1267" t="s">
        <v>13</v>
      </c>
      <c r="E1267" s="134">
        <v>450</v>
      </c>
      <c r="F1267" t="s">
        <v>2816</v>
      </c>
    </row>
    <row r="1268" spans="1:6" x14ac:dyDescent="0.2">
      <c r="A1268" t="s">
        <v>2814</v>
      </c>
      <c r="B1268" t="s">
        <v>2908</v>
      </c>
      <c r="C1268">
        <v>14100729</v>
      </c>
      <c r="D1268" t="s">
        <v>14</v>
      </c>
      <c r="E1268" s="134">
        <v>250</v>
      </c>
      <c r="F1268" t="s">
        <v>2816</v>
      </c>
    </row>
    <row r="1269" spans="1:6" x14ac:dyDescent="0.2">
      <c r="A1269" t="s">
        <v>2814</v>
      </c>
      <c r="B1269" t="s">
        <v>2908</v>
      </c>
      <c r="C1269">
        <v>14100731</v>
      </c>
      <c r="D1269" t="s">
        <v>15</v>
      </c>
      <c r="E1269" s="134">
        <v>250</v>
      </c>
      <c r="F1269" t="s">
        <v>2816</v>
      </c>
    </row>
    <row r="1270" spans="1:6" x14ac:dyDescent="0.2">
      <c r="A1270" t="s">
        <v>2814</v>
      </c>
      <c r="B1270" t="s">
        <v>2908</v>
      </c>
      <c r="C1270">
        <v>14100733</v>
      </c>
      <c r="D1270" t="s">
        <v>17</v>
      </c>
      <c r="E1270" s="134">
        <v>250</v>
      </c>
      <c r="F1270" t="s">
        <v>2816</v>
      </c>
    </row>
    <row r="1271" spans="1:6" x14ac:dyDescent="0.2">
      <c r="A1271" t="s">
        <v>2814</v>
      </c>
      <c r="B1271" t="s">
        <v>2908</v>
      </c>
      <c r="C1271">
        <v>14100740</v>
      </c>
      <c r="D1271" t="s">
        <v>18</v>
      </c>
      <c r="E1271" s="134">
        <v>250</v>
      </c>
      <c r="F1271" t="s">
        <v>2816</v>
      </c>
    </row>
    <row r="1272" spans="1:6" x14ac:dyDescent="0.2">
      <c r="A1272" t="s">
        <v>2814</v>
      </c>
      <c r="B1272" t="s">
        <v>2908</v>
      </c>
      <c r="C1272">
        <v>14100807</v>
      </c>
      <c r="D1272" t="s">
        <v>23</v>
      </c>
      <c r="E1272" s="134">
        <v>450</v>
      </c>
      <c r="F1272" t="s">
        <v>2816</v>
      </c>
    </row>
    <row r="1273" spans="1:6" x14ac:dyDescent="0.2">
      <c r="A1273" t="s">
        <v>2814</v>
      </c>
      <c r="B1273" t="s">
        <v>2908</v>
      </c>
      <c r="C1273">
        <v>14100823</v>
      </c>
      <c r="D1273" t="s">
        <v>274</v>
      </c>
      <c r="E1273" s="134">
        <v>1950</v>
      </c>
      <c r="F1273" t="s">
        <v>2816</v>
      </c>
    </row>
    <row r="1274" spans="1:6" x14ac:dyDescent="0.2">
      <c r="A1274" t="s">
        <v>2814</v>
      </c>
      <c r="B1274" t="s">
        <v>2908</v>
      </c>
      <c r="C1274">
        <v>14100902</v>
      </c>
      <c r="D1274" t="s">
        <v>347</v>
      </c>
      <c r="E1274" s="134">
        <v>250</v>
      </c>
      <c r="F1274" t="s">
        <v>2816</v>
      </c>
    </row>
    <row r="1275" spans="1:6" x14ac:dyDescent="0.2">
      <c r="A1275" t="s">
        <v>2814</v>
      </c>
      <c r="B1275" t="s">
        <v>2908</v>
      </c>
      <c r="C1275">
        <v>14101881</v>
      </c>
      <c r="D1275" t="s">
        <v>26</v>
      </c>
      <c r="E1275" s="134">
        <v>200</v>
      </c>
      <c r="F1275" t="s">
        <v>2816</v>
      </c>
    </row>
    <row r="1276" spans="1:6" x14ac:dyDescent="0.2">
      <c r="A1276" t="s">
        <v>2814</v>
      </c>
      <c r="B1276" t="s">
        <v>2908</v>
      </c>
      <c r="C1276">
        <v>14102890</v>
      </c>
      <c r="D1276" t="s">
        <v>33</v>
      </c>
      <c r="E1276" s="134">
        <v>250</v>
      </c>
      <c r="F1276" t="s">
        <v>2816</v>
      </c>
    </row>
    <row r="1277" spans="1:6" x14ac:dyDescent="0.2">
      <c r="A1277" t="s">
        <v>2814</v>
      </c>
      <c r="B1277" t="s">
        <v>2908</v>
      </c>
      <c r="C1277">
        <v>14103106</v>
      </c>
      <c r="D1277" t="s">
        <v>34</v>
      </c>
      <c r="E1277" s="134">
        <v>450</v>
      </c>
      <c r="F1277" t="s">
        <v>2816</v>
      </c>
    </row>
    <row r="1278" spans="1:6" x14ac:dyDescent="0.2">
      <c r="A1278" t="s">
        <v>2814</v>
      </c>
      <c r="B1278" t="s">
        <v>2908</v>
      </c>
      <c r="C1278">
        <v>14103335</v>
      </c>
      <c r="D1278" t="s">
        <v>36</v>
      </c>
      <c r="E1278" s="134">
        <v>250</v>
      </c>
      <c r="F1278" t="s">
        <v>2816</v>
      </c>
    </row>
    <row r="1279" spans="1:6" x14ac:dyDescent="0.2">
      <c r="A1279" t="s">
        <v>2814</v>
      </c>
      <c r="B1279" t="s">
        <v>2908</v>
      </c>
      <c r="C1279">
        <v>14103952</v>
      </c>
      <c r="D1279" t="s">
        <v>38</v>
      </c>
      <c r="E1279" s="134">
        <v>250</v>
      </c>
      <c r="F1279" t="s">
        <v>2816</v>
      </c>
    </row>
    <row r="1280" spans="1:6" x14ac:dyDescent="0.2">
      <c r="A1280" t="s">
        <v>2814</v>
      </c>
      <c r="B1280" t="s">
        <v>2908</v>
      </c>
      <c r="C1280">
        <v>14104316</v>
      </c>
      <c r="D1280" t="s">
        <v>39</v>
      </c>
      <c r="E1280" s="134">
        <v>250</v>
      </c>
      <c r="F1280" t="s">
        <v>2816</v>
      </c>
    </row>
    <row r="1281" spans="1:6" x14ac:dyDescent="0.2">
      <c r="A1281" t="s">
        <v>2814</v>
      </c>
      <c r="B1281" t="s">
        <v>2908</v>
      </c>
      <c r="C1281">
        <v>14104932</v>
      </c>
      <c r="D1281" t="s">
        <v>42</v>
      </c>
      <c r="E1281" s="134">
        <v>450</v>
      </c>
      <c r="F1281" t="s">
        <v>2816</v>
      </c>
    </row>
    <row r="1282" spans="1:6" x14ac:dyDescent="0.2">
      <c r="A1282" t="s">
        <v>2814</v>
      </c>
      <c r="B1282" t="s">
        <v>2908</v>
      </c>
      <c r="C1282">
        <v>14104971</v>
      </c>
      <c r="D1282" t="s">
        <v>43</v>
      </c>
      <c r="E1282" s="134">
        <v>250</v>
      </c>
      <c r="F1282" t="s">
        <v>2816</v>
      </c>
    </row>
    <row r="1283" spans="1:6" x14ac:dyDescent="0.2">
      <c r="A1283" t="s">
        <v>2814</v>
      </c>
      <c r="B1283" t="s">
        <v>2908</v>
      </c>
      <c r="C1283">
        <v>14105586</v>
      </c>
      <c r="D1283" t="s">
        <v>46</v>
      </c>
      <c r="E1283" s="134">
        <v>200</v>
      </c>
      <c r="F1283" t="s">
        <v>2816</v>
      </c>
    </row>
    <row r="1284" spans="1:6" x14ac:dyDescent="0.2">
      <c r="A1284" t="s">
        <v>2814</v>
      </c>
      <c r="B1284" t="s">
        <v>2908</v>
      </c>
      <c r="C1284">
        <v>14106033</v>
      </c>
      <c r="D1284" t="s">
        <v>47</v>
      </c>
      <c r="E1284" s="134">
        <v>250</v>
      </c>
      <c r="F1284" t="s">
        <v>2816</v>
      </c>
    </row>
    <row r="1285" spans="1:6" x14ac:dyDescent="0.2">
      <c r="A1285" t="s">
        <v>2814</v>
      </c>
      <c r="B1285" t="s">
        <v>2908</v>
      </c>
      <c r="C1285">
        <v>14106233</v>
      </c>
      <c r="D1285" t="s">
        <v>340</v>
      </c>
      <c r="E1285" s="134">
        <v>200</v>
      </c>
      <c r="F1285" t="s">
        <v>2816</v>
      </c>
    </row>
    <row r="1286" spans="1:6" x14ac:dyDescent="0.2">
      <c r="A1286" t="s">
        <v>2814</v>
      </c>
      <c r="B1286" t="s">
        <v>2908</v>
      </c>
      <c r="C1286">
        <v>14106368</v>
      </c>
      <c r="D1286" t="s">
        <v>50</v>
      </c>
      <c r="E1286" s="134">
        <v>450</v>
      </c>
      <c r="F1286" t="s">
        <v>2816</v>
      </c>
    </row>
    <row r="1287" spans="1:6" x14ac:dyDescent="0.2">
      <c r="A1287" t="s">
        <v>2814</v>
      </c>
      <c r="B1287" t="s">
        <v>2908</v>
      </c>
      <c r="C1287">
        <v>14106438</v>
      </c>
      <c r="D1287" t="s">
        <v>51</v>
      </c>
      <c r="E1287" s="134">
        <v>432.9</v>
      </c>
      <c r="F1287" t="s">
        <v>2816</v>
      </c>
    </row>
    <row r="1288" spans="1:6" x14ac:dyDescent="0.2">
      <c r="A1288" t="s">
        <v>2814</v>
      </c>
      <c r="B1288" t="s">
        <v>2908</v>
      </c>
      <c r="C1288">
        <v>14107081</v>
      </c>
      <c r="D1288" t="s">
        <v>55</v>
      </c>
      <c r="E1288" s="134">
        <v>450</v>
      </c>
      <c r="F1288" t="s">
        <v>2816</v>
      </c>
    </row>
    <row r="1289" spans="1:6" x14ac:dyDescent="0.2">
      <c r="A1289" t="s">
        <v>2814</v>
      </c>
      <c r="B1289" t="s">
        <v>2908</v>
      </c>
      <c r="C1289">
        <v>14107167</v>
      </c>
      <c r="D1289" t="s">
        <v>56</v>
      </c>
      <c r="E1289" s="134">
        <v>200</v>
      </c>
      <c r="F1289" t="s">
        <v>2816</v>
      </c>
    </row>
    <row r="1290" spans="1:6" x14ac:dyDescent="0.2">
      <c r="A1290" t="s">
        <v>2814</v>
      </c>
      <c r="B1290" t="s">
        <v>2908</v>
      </c>
      <c r="C1290">
        <v>14107393</v>
      </c>
      <c r="D1290" t="s">
        <v>61</v>
      </c>
      <c r="E1290" s="134">
        <v>250</v>
      </c>
      <c r="F1290" t="s">
        <v>2816</v>
      </c>
    </row>
    <row r="1291" spans="1:6" x14ac:dyDescent="0.2">
      <c r="A1291" t="s">
        <v>2814</v>
      </c>
      <c r="B1291" t="s">
        <v>2908</v>
      </c>
      <c r="C1291">
        <v>14107484</v>
      </c>
      <c r="D1291" t="s">
        <v>62</v>
      </c>
      <c r="E1291" s="134">
        <v>250</v>
      </c>
      <c r="F1291" t="s">
        <v>2816</v>
      </c>
    </row>
    <row r="1292" spans="1:6" x14ac:dyDescent="0.2">
      <c r="A1292" t="s">
        <v>2814</v>
      </c>
      <c r="B1292" t="s">
        <v>2908</v>
      </c>
      <c r="C1292">
        <v>14107552</v>
      </c>
      <c r="D1292" t="s">
        <v>63</v>
      </c>
      <c r="E1292" s="134">
        <v>200</v>
      </c>
      <c r="F1292" t="s">
        <v>2816</v>
      </c>
    </row>
    <row r="1293" spans="1:6" x14ac:dyDescent="0.2">
      <c r="A1293" t="s">
        <v>2814</v>
      </c>
      <c r="B1293" t="s">
        <v>2908</v>
      </c>
      <c r="C1293">
        <v>14107754</v>
      </c>
      <c r="D1293" t="s">
        <v>65</v>
      </c>
      <c r="E1293" s="134">
        <v>200</v>
      </c>
      <c r="F1293" t="s">
        <v>2816</v>
      </c>
    </row>
    <row r="1294" spans="1:6" x14ac:dyDescent="0.2">
      <c r="A1294" t="s">
        <v>2814</v>
      </c>
      <c r="B1294" t="s">
        <v>2908</v>
      </c>
      <c r="C1294">
        <v>14107967</v>
      </c>
      <c r="D1294" t="s">
        <v>67</v>
      </c>
      <c r="E1294" s="134">
        <v>450</v>
      </c>
      <c r="F1294" t="s">
        <v>2816</v>
      </c>
    </row>
    <row r="1295" spans="1:6" x14ac:dyDescent="0.2">
      <c r="A1295" t="s">
        <v>2814</v>
      </c>
      <c r="B1295" t="s">
        <v>2908</v>
      </c>
      <c r="C1295">
        <v>14107978</v>
      </c>
      <c r="D1295" t="s">
        <v>68</v>
      </c>
      <c r="E1295" s="134">
        <v>250</v>
      </c>
      <c r="F1295" t="s">
        <v>2816</v>
      </c>
    </row>
    <row r="1296" spans="1:6" x14ac:dyDescent="0.2">
      <c r="A1296" t="s">
        <v>2814</v>
      </c>
      <c r="B1296" t="s">
        <v>2908</v>
      </c>
      <c r="C1296">
        <v>14108111</v>
      </c>
      <c r="D1296" t="s">
        <v>69</v>
      </c>
      <c r="E1296" s="134">
        <v>450</v>
      </c>
      <c r="F1296" t="s">
        <v>2816</v>
      </c>
    </row>
    <row r="1297" spans="1:6" x14ac:dyDescent="0.2">
      <c r="A1297" t="s">
        <v>2814</v>
      </c>
      <c r="B1297" t="s">
        <v>2908</v>
      </c>
      <c r="C1297">
        <v>14108150</v>
      </c>
      <c r="D1297" t="s">
        <v>70</v>
      </c>
      <c r="E1297" s="134">
        <v>250</v>
      </c>
      <c r="F1297" t="s">
        <v>2816</v>
      </c>
    </row>
    <row r="1298" spans="1:6" x14ac:dyDescent="0.2">
      <c r="A1298" t="s">
        <v>2814</v>
      </c>
      <c r="B1298" t="s">
        <v>2908</v>
      </c>
      <c r="C1298">
        <v>14108222</v>
      </c>
      <c r="D1298" t="s">
        <v>71</v>
      </c>
      <c r="E1298" s="134">
        <v>250</v>
      </c>
      <c r="F1298" t="s">
        <v>2816</v>
      </c>
    </row>
    <row r="1299" spans="1:6" x14ac:dyDescent="0.2">
      <c r="A1299" t="s">
        <v>2814</v>
      </c>
      <c r="B1299" t="s">
        <v>2908</v>
      </c>
      <c r="C1299">
        <v>14108267</v>
      </c>
      <c r="D1299" t="s">
        <v>72</v>
      </c>
      <c r="E1299" s="134">
        <v>200</v>
      </c>
      <c r="F1299" t="s">
        <v>2816</v>
      </c>
    </row>
    <row r="1300" spans="1:6" x14ac:dyDescent="0.2">
      <c r="A1300" t="s">
        <v>2814</v>
      </c>
      <c r="B1300" t="s">
        <v>2908</v>
      </c>
      <c r="C1300">
        <v>14108571</v>
      </c>
      <c r="D1300" t="s">
        <v>77</v>
      </c>
      <c r="E1300" s="134">
        <v>200</v>
      </c>
      <c r="F1300" t="s">
        <v>2816</v>
      </c>
    </row>
    <row r="1301" spans="1:6" x14ac:dyDescent="0.2">
      <c r="A1301" t="s">
        <v>2814</v>
      </c>
      <c r="B1301" t="s">
        <v>2908</v>
      </c>
      <c r="C1301">
        <v>14108916</v>
      </c>
      <c r="D1301" t="s">
        <v>79</v>
      </c>
      <c r="E1301" s="134">
        <v>250</v>
      </c>
      <c r="F1301" t="s">
        <v>2816</v>
      </c>
    </row>
    <row r="1302" spans="1:6" x14ac:dyDescent="0.2">
      <c r="A1302" t="s">
        <v>2814</v>
      </c>
      <c r="B1302" t="s">
        <v>2908</v>
      </c>
      <c r="C1302">
        <v>14109097</v>
      </c>
      <c r="D1302" t="s">
        <v>81</v>
      </c>
      <c r="E1302" s="134">
        <v>450</v>
      </c>
      <c r="F1302" t="s">
        <v>2816</v>
      </c>
    </row>
    <row r="1303" spans="1:6" x14ac:dyDescent="0.2">
      <c r="A1303" t="s">
        <v>2814</v>
      </c>
      <c r="B1303" t="s">
        <v>2908</v>
      </c>
      <c r="C1303">
        <v>14109131</v>
      </c>
      <c r="D1303" t="s">
        <v>82</v>
      </c>
      <c r="E1303" s="134">
        <v>450</v>
      </c>
      <c r="F1303" t="s">
        <v>2816</v>
      </c>
    </row>
    <row r="1304" spans="1:6" x14ac:dyDescent="0.2">
      <c r="A1304" t="s">
        <v>2814</v>
      </c>
      <c r="B1304" t="s">
        <v>2908</v>
      </c>
      <c r="C1304">
        <v>14109133</v>
      </c>
      <c r="D1304" t="s">
        <v>83</v>
      </c>
      <c r="E1304" s="134">
        <v>250</v>
      </c>
      <c r="F1304" t="s">
        <v>2816</v>
      </c>
    </row>
    <row r="1305" spans="1:6" x14ac:dyDescent="0.2">
      <c r="A1305" t="s">
        <v>2814</v>
      </c>
      <c r="B1305" t="s">
        <v>2908</v>
      </c>
      <c r="C1305">
        <v>14109134</v>
      </c>
      <c r="D1305" t="s">
        <v>84</v>
      </c>
      <c r="E1305" s="134">
        <v>450</v>
      </c>
      <c r="F1305" t="s">
        <v>2816</v>
      </c>
    </row>
    <row r="1306" spans="1:6" x14ac:dyDescent="0.2">
      <c r="A1306" t="s">
        <v>2814</v>
      </c>
      <c r="B1306" t="s">
        <v>2908</v>
      </c>
      <c r="C1306">
        <v>14109435</v>
      </c>
      <c r="D1306" t="s">
        <v>88</v>
      </c>
      <c r="E1306" s="134">
        <v>1700</v>
      </c>
      <c r="F1306" t="s">
        <v>2816</v>
      </c>
    </row>
    <row r="1307" spans="1:6" x14ac:dyDescent="0.2">
      <c r="A1307" t="s">
        <v>2814</v>
      </c>
      <c r="B1307" t="s">
        <v>2908</v>
      </c>
      <c r="C1307">
        <v>14109664</v>
      </c>
      <c r="D1307" t="s">
        <v>89</v>
      </c>
      <c r="E1307" s="134">
        <v>200</v>
      </c>
      <c r="F1307" t="s">
        <v>2816</v>
      </c>
    </row>
    <row r="1308" spans="1:6" x14ac:dyDescent="0.2">
      <c r="A1308" t="s">
        <v>2814</v>
      </c>
      <c r="B1308" t="s">
        <v>2908</v>
      </c>
      <c r="C1308">
        <v>14109674</v>
      </c>
      <c r="D1308" t="s">
        <v>90</v>
      </c>
      <c r="E1308" s="134">
        <v>200</v>
      </c>
      <c r="F1308" t="s">
        <v>2816</v>
      </c>
    </row>
    <row r="1309" spans="1:6" x14ac:dyDescent="0.2">
      <c r="A1309" t="s">
        <v>2814</v>
      </c>
      <c r="B1309" t="s">
        <v>2908</v>
      </c>
      <c r="C1309">
        <v>14110039</v>
      </c>
      <c r="D1309" t="s">
        <v>98</v>
      </c>
      <c r="E1309" s="134">
        <v>500</v>
      </c>
      <c r="F1309" t="s">
        <v>2816</v>
      </c>
    </row>
    <row r="1310" spans="1:6" x14ac:dyDescent="0.2">
      <c r="A1310" t="s">
        <v>2814</v>
      </c>
      <c r="B1310" t="s">
        <v>2908</v>
      </c>
      <c r="C1310">
        <v>14110040</v>
      </c>
      <c r="D1310" t="s">
        <v>99</v>
      </c>
      <c r="E1310" s="134">
        <v>200</v>
      </c>
      <c r="F1310" t="s">
        <v>2816</v>
      </c>
    </row>
    <row r="1311" spans="1:6" x14ac:dyDescent="0.2">
      <c r="A1311" t="s">
        <v>2814</v>
      </c>
      <c r="B1311" t="s">
        <v>2908</v>
      </c>
      <c r="C1311">
        <v>14110339</v>
      </c>
      <c r="D1311" t="s">
        <v>101</v>
      </c>
      <c r="E1311" s="134">
        <v>250</v>
      </c>
      <c r="F1311" t="s">
        <v>2816</v>
      </c>
    </row>
    <row r="1312" spans="1:6" x14ac:dyDescent="0.2">
      <c r="A1312" t="s">
        <v>2814</v>
      </c>
      <c r="B1312" t="s">
        <v>2908</v>
      </c>
      <c r="C1312">
        <v>14110465</v>
      </c>
      <c r="D1312" t="s">
        <v>102</v>
      </c>
      <c r="E1312" s="134">
        <v>800</v>
      </c>
      <c r="F1312" t="s">
        <v>2816</v>
      </c>
    </row>
    <row r="1313" spans="1:6" x14ac:dyDescent="0.2">
      <c r="A1313" t="s">
        <v>2814</v>
      </c>
      <c r="B1313" t="s">
        <v>2908</v>
      </c>
      <c r="C1313">
        <v>14110761</v>
      </c>
      <c r="D1313" t="s">
        <v>104</v>
      </c>
      <c r="E1313" s="134">
        <v>450</v>
      </c>
      <c r="F1313" t="s">
        <v>2816</v>
      </c>
    </row>
    <row r="1314" spans="1:6" x14ac:dyDescent="0.2">
      <c r="A1314" t="s">
        <v>2814</v>
      </c>
      <c r="B1314" t="s">
        <v>2908</v>
      </c>
      <c r="C1314">
        <v>14110973</v>
      </c>
      <c r="D1314" t="s">
        <v>106</v>
      </c>
      <c r="E1314" s="134">
        <v>250</v>
      </c>
      <c r="F1314" t="s">
        <v>2816</v>
      </c>
    </row>
    <row r="1315" spans="1:6" x14ac:dyDescent="0.2">
      <c r="A1315" t="s">
        <v>2814</v>
      </c>
      <c r="B1315" t="s">
        <v>2908</v>
      </c>
      <c r="C1315">
        <v>14111143</v>
      </c>
      <c r="D1315" t="s">
        <v>109</v>
      </c>
      <c r="E1315" s="134">
        <v>432.9</v>
      </c>
      <c r="F1315" t="s">
        <v>2816</v>
      </c>
    </row>
    <row r="1316" spans="1:6" x14ac:dyDescent="0.2">
      <c r="A1316" t="s">
        <v>2814</v>
      </c>
      <c r="B1316" t="s">
        <v>2908</v>
      </c>
      <c r="C1316">
        <v>14111266</v>
      </c>
      <c r="D1316" t="s">
        <v>110</v>
      </c>
      <c r="E1316" s="134">
        <v>600</v>
      </c>
      <c r="F1316" t="s">
        <v>2816</v>
      </c>
    </row>
    <row r="1317" spans="1:6" x14ac:dyDescent="0.2">
      <c r="A1317" t="s">
        <v>2814</v>
      </c>
      <c r="B1317" t="s">
        <v>2908</v>
      </c>
      <c r="C1317">
        <v>14111557</v>
      </c>
      <c r="D1317" t="s">
        <v>111</v>
      </c>
      <c r="E1317" s="134">
        <v>200</v>
      </c>
      <c r="F1317" t="s">
        <v>2816</v>
      </c>
    </row>
    <row r="1318" spans="1:6" x14ac:dyDescent="0.2">
      <c r="A1318" t="s">
        <v>2814</v>
      </c>
      <c r="B1318" t="s">
        <v>2908</v>
      </c>
      <c r="C1318">
        <v>14112174</v>
      </c>
      <c r="D1318" t="s">
        <v>114</v>
      </c>
      <c r="E1318" s="134">
        <v>200</v>
      </c>
      <c r="F1318" t="s">
        <v>2816</v>
      </c>
    </row>
    <row r="1319" spans="1:6" x14ac:dyDescent="0.2">
      <c r="A1319" t="s">
        <v>2814</v>
      </c>
      <c r="B1319" t="s">
        <v>2908</v>
      </c>
      <c r="C1319">
        <v>14112449</v>
      </c>
      <c r="D1319" t="s">
        <v>192</v>
      </c>
      <c r="E1319" s="134">
        <v>450</v>
      </c>
      <c r="F1319" t="s">
        <v>2816</v>
      </c>
    </row>
    <row r="1320" spans="1:6" x14ac:dyDescent="0.2">
      <c r="A1320" t="s">
        <v>2814</v>
      </c>
      <c r="B1320" t="s">
        <v>2908</v>
      </c>
      <c r="C1320">
        <v>14112597</v>
      </c>
      <c r="D1320" t="s">
        <v>117</v>
      </c>
      <c r="E1320" s="134">
        <v>400</v>
      </c>
      <c r="F1320" t="s">
        <v>2816</v>
      </c>
    </row>
    <row r="1321" spans="1:6" x14ac:dyDescent="0.2">
      <c r="A1321" t="s">
        <v>2814</v>
      </c>
      <c r="B1321" t="s">
        <v>2908</v>
      </c>
      <c r="C1321">
        <v>14112630</v>
      </c>
      <c r="D1321" t="s">
        <v>121</v>
      </c>
      <c r="E1321" s="134">
        <v>200</v>
      </c>
      <c r="F1321" t="s">
        <v>2816</v>
      </c>
    </row>
    <row r="1322" spans="1:6" x14ac:dyDescent="0.2">
      <c r="A1322" t="s">
        <v>2814</v>
      </c>
      <c r="B1322" t="s">
        <v>2908</v>
      </c>
      <c r="C1322">
        <v>14112757</v>
      </c>
      <c r="D1322" t="s">
        <v>348</v>
      </c>
      <c r="E1322" s="134">
        <v>500</v>
      </c>
      <c r="F1322" t="s">
        <v>2816</v>
      </c>
    </row>
    <row r="1323" spans="1:6" x14ac:dyDescent="0.2">
      <c r="A1323" t="s">
        <v>2814</v>
      </c>
      <c r="B1323" t="s">
        <v>2908</v>
      </c>
      <c r="C1323">
        <v>14113054</v>
      </c>
      <c r="D1323" t="s">
        <v>122</v>
      </c>
      <c r="E1323" s="134">
        <v>450</v>
      </c>
      <c r="F1323" t="s">
        <v>2816</v>
      </c>
    </row>
    <row r="1324" spans="1:6" x14ac:dyDescent="0.2">
      <c r="A1324" t="s">
        <v>2814</v>
      </c>
      <c r="B1324" t="s">
        <v>2908</v>
      </c>
      <c r="C1324">
        <v>14113200</v>
      </c>
      <c r="D1324" t="s">
        <v>125</v>
      </c>
      <c r="E1324" s="134">
        <v>250</v>
      </c>
      <c r="F1324" t="s">
        <v>2816</v>
      </c>
    </row>
    <row r="1325" spans="1:6" x14ac:dyDescent="0.2">
      <c r="A1325" t="s">
        <v>2814</v>
      </c>
      <c r="B1325" t="s">
        <v>2908</v>
      </c>
      <c r="C1325">
        <v>14113311</v>
      </c>
      <c r="D1325" t="s">
        <v>126</v>
      </c>
      <c r="E1325" s="134">
        <v>1700</v>
      </c>
      <c r="F1325" t="s">
        <v>2816</v>
      </c>
    </row>
    <row r="1326" spans="1:6" x14ac:dyDescent="0.2">
      <c r="A1326" t="s">
        <v>2814</v>
      </c>
      <c r="B1326" t="s">
        <v>2908</v>
      </c>
      <c r="C1326">
        <v>14113619</v>
      </c>
      <c r="D1326" t="s">
        <v>130</v>
      </c>
      <c r="E1326" s="134">
        <v>200</v>
      </c>
      <c r="F1326" t="s">
        <v>2816</v>
      </c>
    </row>
    <row r="1327" spans="1:6" x14ac:dyDescent="0.2">
      <c r="A1327" t="s">
        <v>2814</v>
      </c>
      <c r="B1327" t="s">
        <v>2908</v>
      </c>
      <c r="C1327">
        <v>14114062</v>
      </c>
      <c r="D1327" t="s">
        <v>133</v>
      </c>
      <c r="E1327" s="134">
        <v>300</v>
      </c>
      <c r="F1327" t="s">
        <v>2816</v>
      </c>
    </row>
    <row r="1328" spans="1:6" x14ac:dyDescent="0.2">
      <c r="A1328" t="s">
        <v>2814</v>
      </c>
      <c r="B1328" t="s">
        <v>2908</v>
      </c>
      <c r="C1328">
        <v>14114665</v>
      </c>
      <c r="D1328" t="s">
        <v>136</v>
      </c>
      <c r="E1328" s="134">
        <v>200</v>
      </c>
      <c r="F1328" t="s">
        <v>2816</v>
      </c>
    </row>
    <row r="1329" spans="1:6" x14ac:dyDescent="0.2">
      <c r="A1329" t="s">
        <v>2814</v>
      </c>
      <c r="B1329" t="s">
        <v>2908</v>
      </c>
      <c r="C1329">
        <v>14114667</v>
      </c>
      <c r="D1329" t="s">
        <v>137</v>
      </c>
      <c r="E1329" s="134">
        <v>200</v>
      </c>
      <c r="F1329" t="s">
        <v>2816</v>
      </c>
    </row>
    <row r="1330" spans="1:6" x14ac:dyDescent="0.2">
      <c r="A1330" t="s">
        <v>2814</v>
      </c>
      <c r="B1330" t="s">
        <v>2908</v>
      </c>
      <c r="C1330">
        <v>14115136</v>
      </c>
      <c r="D1330" t="s">
        <v>140</v>
      </c>
      <c r="E1330" s="134">
        <v>450</v>
      </c>
      <c r="F1330" t="s">
        <v>2816</v>
      </c>
    </row>
    <row r="1331" spans="1:6" x14ac:dyDescent="0.2">
      <c r="A1331" t="s">
        <v>2814</v>
      </c>
      <c r="B1331" t="s">
        <v>2908</v>
      </c>
      <c r="C1331">
        <v>14115536</v>
      </c>
      <c r="D1331" t="s">
        <v>144</v>
      </c>
      <c r="E1331" s="134">
        <v>250</v>
      </c>
      <c r="F1331" t="s">
        <v>2816</v>
      </c>
    </row>
    <row r="1332" spans="1:6" x14ac:dyDescent="0.2">
      <c r="A1332" t="s">
        <v>2814</v>
      </c>
      <c r="B1332" t="s">
        <v>2908</v>
      </c>
      <c r="C1332">
        <v>14115917</v>
      </c>
      <c r="D1332" t="s">
        <v>151</v>
      </c>
      <c r="E1332" s="134">
        <v>250</v>
      </c>
      <c r="F1332" t="s">
        <v>2816</v>
      </c>
    </row>
    <row r="1333" spans="1:6" x14ac:dyDescent="0.2">
      <c r="A1333" t="s">
        <v>2814</v>
      </c>
      <c r="B1333" t="s">
        <v>2908</v>
      </c>
      <c r="C1333">
        <v>14116046</v>
      </c>
      <c r="D1333" t="s">
        <v>153</v>
      </c>
      <c r="E1333" s="134">
        <v>200</v>
      </c>
      <c r="F1333" t="s">
        <v>2816</v>
      </c>
    </row>
    <row r="1334" spans="1:6" x14ac:dyDescent="0.2">
      <c r="A1334" t="s">
        <v>2814</v>
      </c>
      <c r="B1334" t="s">
        <v>2908</v>
      </c>
      <c r="C1334">
        <v>14116058</v>
      </c>
      <c r="D1334" t="s">
        <v>154</v>
      </c>
      <c r="E1334" s="134">
        <v>200</v>
      </c>
      <c r="F1334" t="s">
        <v>2816</v>
      </c>
    </row>
    <row r="1335" spans="1:6" x14ac:dyDescent="0.2">
      <c r="A1335" t="s">
        <v>2814</v>
      </c>
      <c r="B1335" t="s">
        <v>2908</v>
      </c>
      <c r="C1335">
        <v>14116431</v>
      </c>
      <c r="D1335" t="s">
        <v>162</v>
      </c>
      <c r="E1335" s="134">
        <v>450</v>
      </c>
      <c r="F1335" t="s">
        <v>2816</v>
      </c>
    </row>
    <row r="1336" spans="1:6" x14ac:dyDescent="0.2">
      <c r="A1336" t="s">
        <v>2814</v>
      </c>
      <c r="B1336" t="s">
        <v>2908</v>
      </c>
      <c r="C1336">
        <v>14116564</v>
      </c>
      <c r="D1336" t="s">
        <v>166</v>
      </c>
      <c r="E1336" s="134">
        <v>250</v>
      </c>
      <c r="F1336" t="s">
        <v>2816</v>
      </c>
    </row>
    <row r="1337" spans="1:6" x14ac:dyDescent="0.2">
      <c r="A1337" t="s">
        <v>2814</v>
      </c>
      <c r="B1337" t="s">
        <v>2908</v>
      </c>
      <c r="C1337">
        <v>14116917</v>
      </c>
      <c r="D1337" t="s">
        <v>171</v>
      </c>
      <c r="E1337" s="134">
        <v>450</v>
      </c>
      <c r="F1337" t="s">
        <v>2816</v>
      </c>
    </row>
    <row r="1338" spans="1:6" x14ac:dyDescent="0.2">
      <c r="A1338" t="s">
        <v>2814</v>
      </c>
      <c r="B1338" t="s">
        <v>2908</v>
      </c>
      <c r="C1338">
        <v>14117297</v>
      </c>
      <c r="D1338" t="s">
        <v>174</v>
      </c>
      <c r="E1338" s="134">
        <v>250</v>
      </c>
      <c r="F1338" t="s">
        <v>2816</v>
      </c>
    </row>
    <row r="1339" spans="1:6" x14ac:dyDescent="0.2">
      <c r="A1339" t="s">
        <v>2814</v>
      </c>
      <c r="B1339" t="s">
        <v>2908</v>
      </c>
      <c r="C1339">
        <v>14117400</v>
      </c>
      <c r="D1339" t="s">
        <v>175</v>
      </c>
      <c r="E1339" s="134">
        <v>250</v>
      </c>
      <c r="F1339" t="s">
        <v>2816</v>
      </c>
    </row>
    <row r="1340" spans="1:6" x14ac:dyDescent="0.2">
      <c r="A1340" t="s">
        <v>2814</v>
      </c>
      <c r="B1340" t="s">
        <v>2908</v>
      </c>
      <c r="C1340">
        <v>14117542</v>
      </c>
      <c r="D1340" t="s">
        <v>176</v>
      </c>
      <c r="E1340" s="134">
        <v>200</v>
      </c>
      <c r="F1340" t="s">
        <v>2816</v>
      </c>
    </row>
    <row r="1341" spans="1:6" x14ac:dyDescent="0.2">
      <c r="A1341" t="s">
        <v>2814</v>
      </c>
      <c r="B1341" t="s">
        <v>2908</v>
      </c>
      <c r="C1341">
        <v>14117967</v>
      </c>
      <c r="D1341" t="s">
        <v>182</v>
      </c>
      <c r="E1341" s="134">
        <v>450</v>
      </c>
      <c r="F1341" t="s">
        <v>2816</v>
      </c>
    </row>
    <row r="1342" spans="1:6" x14ac:dyDescent="0.2">
      <c r="A1342" t="s">
        <v>2814</v>
      </c>
      <c r="B1342" t="s">
        <v>2908</v>
      </c>
      <c r="C1342">
        <v>14118186</v>
      </c>
      <c r="D1342" t="s">
        <v>187</v>
      </c>
      <c r="E1342" s="134">
        <v>200</v>
      </c>
      <c r="F1342" t="s">
        <v>2816</v>
      </c>
    </row>
    <row r="1343" spans="1:6" x14ac:dyDescent="0.2">
      <c r="A1343" t="s">
        <v>2814</v>
      </c>
      <c r="B1343" t="s">
        <v>2908</v>
      </c>
      <c r="C1343">
        <v>14118196</v>
      </c>
      <c r="D1343" t="s">
        <v>188</v>
      </c>
      <c r="E1343" s="134">
        <v>200</v>
      </c>
      <c r="F1343" t="s">
        <v>2816</v>
      </c>
    </row>
    <row r="1344" spans="1:6" x14ac:dyDescent="0.2">
      <c r="A1344" t="s">
        <v>2814</v>
      </c>
      <c r="B1344" t="s">
        <v>2908</v>
      </c>
      <c r="C1344">
        <v>14121571</v>
      </c>
      <c r="D1344" t="s">
        <v>336</v>
      </c>
      <c r="E1344" s="134">
        <v>250</v>
      </c>
      <c r="F1344" t="s">
        <v>2816</v>
      </c>
    </row>
    <row r="1345" spans="1:6" x14ac:dyDescent="0.2">
      <c r="A1345" t="s">
        <v>2814</v>
      </c>
      <c r="B1345" t="s">
        <v>2910</v>
      </c>
      <c r="C1345">
        <v>14122682</v>
      </c>
      <c r="D1345" t="s">
        <v>434</v>
      </c>
      <c r="E1345" s="134">
        <v>886.72</v>
      </c>
      <c r="F1345" t="s">
        <v>2816</v>
      </c>
    </row>
    <row r="1346" spans="1:6" x14ac:dyDescent="0.2">
      <c r="A1346" t="s">
        <v>2814</v>
      </c>
      <c r="B1346" t="s">
        <v>2910</v>
      </c>
      <c r="C1346">
        <v>14110506</v>
      </c>
      <c r="D1346" t="s">
        <v>421</v>
      </c>
      <c r="E1346" s="134">
        <v>939.56</v>
      </c>
      <c r="F1346" t="s">
        <v>2816</v>
      </c>
    </row>
    <row r="1347" spans="1:6" x14ac:dyDescent="0.2">
      <c r="A1347" t="s">
        <v>2814</v>
      </c>
      <c r="B1347" t="s">
        <v>2910</v>
      </c>
      <c r="C1347">
        <v>14117969</v>
      </c>
      <c r="D1347" t="s">
        <v>399</v>
      </c>
      <c r="E1347" s="134">
        <v>939.56</v>
      </c>
      <c r="F1347" t="s">
        <v>2816</v>
      </c>
    </row>
    <row r="1348" spans="1:6" x14ac:dyDescent="0.2">
      <c r="A1348" t="s">
        <v>2814</v>
      </c>
      <c r="B1348" t="s">
        <v>2910</v>
      </c>
      <c r="C1348">
        <v>14118579</v>
      </c>
      <c r="D1348" t="s">
        <v>464</v>
      </c>
      <c r="E1348" s="134">
        <v>939.56</v>
      </c>
      <c r="F1348" t="s">
        <v>2816</v>
      </c>
    </row>
    <row r="1349" spans="1:6" x14ac:dyDescent="0.2">
      <c r="A1349" t="s">
        <v>2814</v>
      </c>
      <c r="B1349" t="s">
        <v>2910</v>
      </c>
      <c r="C1349">
        <v>14119838</v>
      </c>
      <c r="D1349" t="s">
        <v>498</v>
      </c>
      <c r="E1349" s="134">
        <v>939.56</v>
      </c>
      <c r="F1349" t="s">
        <v>2816</v>
      </c>
    </row>
    <row r="1350" spans="1:6" x14ac:dyDescent="0.2">
      <c r="A1350" t="s">
        <v>2814</v>
      </c>
      <c r="B1350" t="s">
        <v>2910</v>
      </c>
      <c r="C1350">
        <v>14122294</v>
      </c>
      <c r="D1350" t="s">
        <v>404</v>
      </c>
      <c r="E1350" s="134">
        <v>939.56</v>
      </c>
      <c r="F1350" t="s">
        <v>2816</v>
      </c>
    </row>
    <row r="1351" spans="1:6" x14ac:dyDescent="0.2">
      <c r="A1351" t="s">
        <v>2814</v>
      </c>
      <c r="B1351" t="s">
        <v>2910</v>
      </c>
      <c r="C1351">
        <v>14122354</v>
      </c>
      <c r="D1351" t="s">
        <v>410</v>
      </c>
      <c r="E1351" s="134">
        <v>939.56</v>
      </c>
      <c r="F1351" t="s">
        <v>2816</v>
      </c>
    </row>
    <row r="1352" spans="1:6" x14ac:dyDescent="0.2">
      <c r="A1352" t="s">
        <v>2814</v>
      </c>
      <c r="B1352" t="s">
        <v>2910</v>
      </c>
      <c r="C1352">
        <v>14122355</v>
      </c>
      <c r="D1352" t="s">
        <v>411</v>
      </c>
      <c r="E1352" s="134">
        <v>939.56</v>
      </c>
      <c r="F1352" t="s">
        <v>2816</v>
      </c>
    </row>
    <row r="1353" spans="1:6" x14ac:dyDescent="0.2">
      <c r="A1353" t="s">
        <v>2814</v>
      </c>
      <c r="B1353" t="s">
        <v>2910</v>
      </c>
      <c r="C1353">
        <v>14122394</v>
      </c>
      <c r="D1353" t="s">
        <v>413</v>
      </c>
      <c r="E1353" s="134">
        <v>939.56</v>
      </c>
      <c r="F1353" t="s">
        <v>2816</v>
      </c>
    </row>
    <row r="1354" spans="1:6" x14ac:dyDescent="0.2">
      <c r="A1354" t="s">
        <v>2814</v>
      </c>
      <c r="B1354" t="s">
        <v>2910</v>
      </c>
      <c r="C1354">
        <v>14122417</v>
      </c>
      <c r="D1354" t="s">
        <v>415</v>
      </c>
      <c r="E1354" s="134">
        <v>939.56</v>
      </c>
      <c r="F1354" t="s">
        <v>2816</v>
      </c>
    </row>
    <row r="1355" spans="1:6" x14ac:dyDescent="0.2">
      <c r="A1355" t="s">
        <v>2814</v>
      </c>
      <c r="B1355" t="s">
        <v>2910</v>
      </c>
      <c r="C1355">
        <v>14122419</v>
      </c>
      <c r="D1355" t="s">
        <v>416</v>
      </c>
      <c r="E1355" s="134">
        <v>939.56</v>
      </c>
      <c r="F1355" t="s">
        <v>2816</v>
      </c>
    </row>
    <row r="1356" spans="1:6" x14ac:dyDescent="0.2">
      <c r="A1356" t="s">
        <v>2814</v>
      </c>
      <c r="B1356" t="s">
        <v>2910</v>
      </c>
      <c r="C1356">
        <v>14122428</v>
      </c>
      <c r="D1356" t="s">
        <v>417</v>
      </c>
      <c r="E1356" s="134">
        <v>939.56</v>
      </c>
      <c r="F1356" t="s">
        <v>2816</v>
      </c>
    </row>
    <row r="1357" spans="1:6" x14ac:dyDescent="0.2">
      <c r="A1357" t="s">
        <v>2814</v>
      </c>
      <c r="B1357" t="s">
        <v>2910</v>
      </c>
      <c r="C1357">
        <v>14122495</v>
      </c>
      <c r="D1357" t="s">
        <v>423</v>
      </c>
      <c r="E1357" s="134">
        <v>939.56</v>
      </c>
      <c r="F1357" t="s">
        <v>2816</v>
      </c>
    </row>
    <row r="1358" spans="1:6" x14ac:dyDescent="0.2">
      <c r="A1358" t="s">
        <v>2814</v>
      </c>
      <c r="B1358" t="s">
        <v>2910</v>
      </c>
      <c r="C1358">
        <v>14122621</v>
      </c>
      <c r="D1358" t="s">
        <v>431</v>
      </c>
      <c r="E1358" s="134">
        <v>939.56</v>
      </c>
      <c r="F1358" t="s">
        <v>2816</v>
      </c>
    </row>
    <row r="1359" spans="1:6" x14ac:dyDescent="0.2">
      <c r="A1359" t="s">
        <v>2814</v>
      </c>
      <c r="B1359" t="s">
        <v>2910</v>
      </c>
      <c r="C1359">
        <v>14122772</v>
      </c>
      <c r="D1359" t="s">
        <v>443</v>
      </c>
      <c r="E1359" s="134">
        <v>939.56</v>
      </c>
      <c r="F1359" t="s">
        <v>2816</v>
      </c>
    </row>
    <row r="1360" spans="1:6" x14ac:dyDescent="0.2">
      <c r="A1360" t="s">
        <v>2814</v>
      </c>
      <c r="B1360" t="s">
        <v>2910</v>
      </c>
      <c r="C1360">
        <v>14122809</v>
      </c>
      <c r="D1360" t="s">
        <v>446</v>
      </c>
      <c r="E1360" s="134">
        <v>939.56</v>
      </c>
      <c r="F1360" t="s">
        <v>2816</v>
      </c>
    </row>
    <row r="1361" spans="1:6" x14ac:dyDescent="0.2">
      <c r="A1361" t="s">
        <v>2814</v>
      </c>
      <c r="B1361" t="s">
        <v>2910</v>
      </c>
      <c r="C1361">
        <v>14122831</v>
      </c>
      <c r="D1361" t="s">
        <v>447</v>
      </c>
      <c r="E1361" s="134">
        <v>939.56</v>
      </c>
      <c r="F1361" t="s">
        <v>2816</v>
      </c>
    </row>
    <row r="1362" spans="1:6" x14ac:dyDescent="0.2">
      <c r="A1362" t="s">
        <v>2814</v>
      </c>
      <c r="B1362" t="s">
        <v>2910</v>
      </c>
      <c r="C1362">
        <v>14122832</v>
      </c>
      <c r="D1362" t="s">
        <v>448</v>
      </c>
      <c r="E1362" s="134">
        <v>939.56</v>
      </c>
      <c r="F1362" t="s">
        <v>2816</v>
      </c>
    </row>
    <row r="1363" spans="1:6" x14ac:dyDescent="0.2">
      <c r="A1363" t="s">
        <v>2814</v>
      </c>
      <c r="B1363" t="s">
        <v>2910</v>
      </c>
      <c r="C1363">
        <v>14122856</v>
      </c>
      <c r="D1363" t="s">
        <v>452</v>
      </c>
      <c r="E1363" s="134">
        <v>939.56</v>
      </c>
      <c r="F1363" t="s">
        <v>2816</v>
      </c>
    </row>
    <row r="1364" spans="1:6" x14ac:dyDescent="0.2">
      <c r="A1364" t="s">
        <v>2814</v>
      </c>
      <c r="B1364" t="s">
        <v>2910</v>
      </c>
      <c r="C1364">
        <v>14122922</v>
      </c>
      <c r="D1364" t="s">
        <v>458</v>
      </c>
      <c r="E1364" s="134">
        <v>939.56</v>
      </c>
      <c r="F1364" t="s">
        <v>2816</v>
      </c>
    </row>
    <row r="1365" spans="1:6" x14ac:dyDescent="0.2">
      <c r="A1365" t="s">
        <v>2814</v>
      </c>
      <c r="B1365" t="s">
        <v>2910</v>
      </c>
      <c r="C1365">
        <v>14122927</v>
      </c>
      <c r="D1365" t="s">
        <v>461</v>
      </c>
      <c r="E1365" s="134">
        <v>939.56</v>
      </c>
      <c r="F1365" t="s">
        <v>2816</v>
      </c>
    </row>
    <row r="1366" spans="1:6" x14ac:dyDescent="0.2">
      <c r="A1366" t="s">
        <v>2814</v>
      </c>
      <c r="B1366" t="s">
        <v>2910</v>
      </c>
      <c r="C1366">
        <v>14122929</v>
      </c>
      <c r="D1366" t="s">
        <v>463</v>
      </c>
      <c r="E1366" s="134">
        <v>939.56</v>
      </c>
      <c r="F1366" t="s">
        <v>2816</v>
      </c>
    </row>
    <row r="1367" spans="1:6" x14ac:dyDescent="0.2">
      <c r="A1367" t="s">
        <v>2814</v>
      </c>
      <c r="B1367" t="s">
        <v>2910</v>
      </c>
      <c r="C1367">
        <v>14122992</v>
      </c>
      <c r="D1367" t="s">
        <v>465</v>
      </c>
      <c r="E1367" s="134">
        <v>939.56</v>
      </c>
      <c r="F1367" t="s">
        <v>2816</v>
      </c>
    </row>
    <row r="1368" spans="1:6" x14ac:dyDescent="0.2">
      <c r="A1368" t="s">
        <v>2814</v>
      </c>
      <c r="B1368" t="s">
        <v>2910</v>
      </c>
      <c r="C1368">
        <v>14123010</v>
      </c>
      <c r="D1368" t="s">
        <v>470</v>
      </c>
      <c r="E1368" s="134">
        <v>939.56</v>
      </c>
      <c r="F1368" t="s">
        <v>2816</v>
      </c>
    </row>
    <row r="1369" spans="1:6" x14ac:dyDescent="0.2">
      <c r="A1369" t="s">
        <v>2814</v>
      </c>
      <c r="B1369" t="s">
        <v>2910</v>
      </c>
      <c r="C1369">
        <v>14123063</v>
      </c>
      <c r="D1369" t="s">
        <v>473</v>
      </c>
      <c r="E1369" s="134">
        <v>939.56</v>
      </c>
      <c r="F1369" t="s">
        <v>2816</v>
      </c>
    </row>
    <row r="1370" spans="1:6" x14ac:dyDescent="0.2">
      <c r="A1370" t="s">
        <v>2814</v>
      </c>
      <c r="B1370" t="s">
        <v>2910</v>
      </c>
      <c r="C1370">
        <v>14123083</v>
      </c>
      <c r="D1370" t="s">
        <v>478</v>
      </c>
      <c r="E1370" s="134">
        <v>939.56</v>
      </c>
      <c r="F1370" t="s">
        <v>2816</v>
      </c>
    </row>
    <row r="1371" spans="1:6" x14ac:dyDescent="0.2">
      <c r="A1371" t="s">
        <v>2814</v>
      </c>
      <c r="B1371" t="s">
        <v>2910</v>
      </c>
      <c r="C1371">
        <v>14123246</v>
      </c>
      <c r="D1371" t="s">
        <v>489</v>
      </c>
      <c r="E1371" s="134">
        <v>939.56</v>
      </c>
      <c r="F1371" t="s">
        <v>2816</v>
      </c>
    </row>
    <row r="1372" spans="1:6" x14ac:dyDescent="0.2">
      <c r="A1372" t="s">
        <v>2814</v>
      </c>
      <c r="B1372" t="s">
        <v>2910</v>
      </c>
      <c r="C1372">
        <v>14123254</v>
      </c>
      <c r="D1372" t="s">
        <v>490</v>
      </c>
      <c r="E1372" s="134">
        <v>939.56</v>
      </c>
      <c r="F1372" t="s">
        <v>2816</v>
      </c>
    </row>
    <row r="1373" spans="1:6" x14ac:dyDescent="0.2">
      <c r="A1373" t="s">
        <v>2814</v>
      </c>
      <c r="B1373" t="s">
        <v>2910</v>
      </c>
      <c r="C1373">
        <v>14123273</v>
      </c>
      <c r="D1373" t="s">
        <v>491</v>
      </c>
      <c r="E1373" s="134">
        <v>939.56</v>
      </c>
      <c r="F1373" t="s">
        <v>2816</v>
      </c>
    </row>
    <row r="1374" spans="1:6" x14ac:dyDescent="0.2">
      <c r="A1374" t="s">
        <v>2814</v>
      </c>
      <c r="B1374" t="s">
        <v>2910</v>
      </c>
      <c r="C1374">
        <v>14123336</v>
      </c>
      <c r="D1374" t="s">
        <v>503</v>
      </c>
      <c r="E1374" s="134">
        <v>939.56</v>
      </c>
      <c r="F1374" t="s">
        <v>2816</v>
      </c>
    </row>
    <row r="1375" spans="1:6" x14ac:dyDescent="0.2">
      <c r="A1375" t="s">
        <v>2814</v>
      </c>
      <c r="B1375" t="s">
        <v>2910</v>
      </c>
      <c r="C1375">
        <v>14123445</v>
      </c>
      <c r="D1375" t="s">
        <v>506</v>
      </c>
      <c r="E1375" s="134">
        <v>939.56</v>
      </c>
      <c r="F1375" t="s">
        <v>2816</v>
      </c>
    </row>
    <row r="1376" spans="1:6" x14ac:dyDescent="0.2">
      <c r="A1376" t="s">
        <v>2814</v>
      </c>
      <c r="B1376" t="s">
        <v>2910</v>
      </c>
      <c r="C1376">
        <v>14123447</v>
      </c>
      <c r="D1376" t="s">
        <v>508</v>
      </c>
      <c r="E1376" s="134">
        <v>939.56</v>
      </c>
      <c r="F1376" t="s">
        <v>2816</v>
      </c>
    </row>
    <row r="1377" spans="1:6" x14ac:dyDescent="0.2">
      <c r="A1377" t="s">
        <v>2814</v>
      </c>
      <c r="B1377" t="s">
        <v>2910</v>
      </c>
      <c r="C1377">
        <v>14123514</v>
      </c>
      <c r="D1377" t="s">
        <v>519</v>
      </c>
      <c r="E1377" s="134">
        <v>939.56</v>
      </c>
      <c r="F1377" t="s">
        <v>2816</v>
      </c>
    </row>
    <row r="1378" spans="1:6" x14ac:dyDescent="0.2">
      <c r="A1378" t="s">
        <v>2814</v>
      </c>
      <c r="B1378" t="s">
        <v>2910</v>
      </c>
      <c r="C1378">
        <v>14123516</v>
      </c>
      <c r="D1378" t="s">
        <v>520</v>
      </c>
      <c r="E1378" s="134">
        <v>939.56</v>
      </c>
      <c r="F1378" t="s">
        <v>2816</v>
      </c>
    </row>
    <row r="1379" spans="1:6" x14ac:dyDescent="0.2">
      <c r="A1379" t="s">
        <v>2814</v>
      </c>
      <c r="B1379" t="s">
        <v>2910</v>
      </c>
      <c r="C1379">
        <v>14123526</v>
      </c>
      <c r="D1379" t="s">
        <v>524</v>
      </c>
      <c r="E1379" s="134">
        <v>939.56</v>
      </c>
      <c r="F1379" t="s">
        <v>2816</v>
      </c>
    </row>
    <row r="1380" spans="1:6" x14ac:dyDescent="0.2">
      <c r="A1380" t="s">
        <v>2814</v>
      </c>
      <c r="B1380" t="s">
        <v>2910</v>
      </c>
      <c r="C1380">
        <v>14123536</v>
      </c>
      <c r="D1380" t="s">
        <v>528</v>
      </c>
      <c r="E1380" s="134">
        <v>939.56</v>
      </c>
      <c r="F1380" t="s">
        <v>2816</v>
      </c>
    </row>
    <row r="1381" spans="1:6" x14ac:dyDescent="0.2">
      <c r="A1381" t="s">
        <v>2814</v>
      </c>
      <c r="B1381" t="s">
        <v>2910</v>
      </c>
      <c r="C1381">
        <v>14123570</v>
      </c>
      <c r="D1381" t="s">
        <v>535</v>
      </c>
      <c r="E1381" s="134">
        <v>939.56</v>
      </c>
      <c r="F1381" t="s">
        <v>2816</v>
      </c>
    </row>
    <row r="1382" spans="1:6" x14ac:dyDescent="0.2">
      <c r="A1382" t="s">
        <v>2814</v>
      </c>
      <c r="B1382" t="s">
        <v>2910</v>
      </c>
      <c r="C1382">
        <v>14123634</v>
      </c>
      <c r="D1382" t="s">
        <v>897</v>
      </c>
      <c r="E1382" s="134">
        <v>939.56</v>
      </c>
      <c r="F1382" t="s">
        <v>2816</v>
      </c>
    </row>
    <row r="1383" spans="1:6" x14ac:dyDescent="0.2">
      <c r="A1383" t="s">
        <v>2814</v>
      </c>
      <c r="B1383" t="s">
        <v>2910</v>
      </c>
      <c r="C1383">
        <v>14123640</v>
      </c>
      <c r="D1383" t="s">
        <v>900</v>
      </c>
      <c r="E1383" s="134">
        <v>939.56</v>
      </c>
      <c r="F1383" t="s">
        <v>2816</v>
      </c>
    </row>
    <row r="1384" spans="1:6" x14ac:dyDescent="0.2">
      <c r="A1384" t="s">
        <v>2814</v>
      </c>
      <c r="B1384" t="s">
        <v>2910</v>
      </c>
      <c r="C1384">
        <v>14123652</v>
      </c>
      <c r="D1384" t="s">
        <v>905</v>
      </c>
      <c r="E1384" s="134">
        <v>939.56</v>
      </c>
      <c r="F1384" t="s">
        <v>2816</v>
      </c>
    </row>
    <row r="1385" spans="1:6" x14ac:dyDescent="0.2">
      <c r="A1385" t="s">
        <v>2814</v>
      </c>
      <c r="B1385" t="s">
        <v>2910</v>
      </c>
      <c r="C1385">
        <v>14123654</v>
      </c>
      <c r="D1385" t="s">
        <v>934</v>
      </c>
      <c r="E1385" s="134">
        <v>939.56</v>
      </c>
      <c r="F1385" t="s">
        <v>2816</v>
      </c>
    </row>
    <row r="1386" spans="1:6" x14ac:dyDescent="0.2">
      <c r="A1386" t="s">
        <v>2814</v>
      </c>
      <c r="B1386" t="s">
        <v>2910</v>
      </c>
      <c r="C1386">
        <v>14123704</v>
      </c>
      <c r="D1386" t="s">
        <v>942</v>
      </c>
      <c r="E1386" s="134">
        <v>939.56</v>
      </c>
      <c r="F1386" t="s">
        <v>2816</v>
      </c>
    </row>
    <row r="1387" spans="1:6" x14ac:dyDescent="0.2">
      <c r="A1387" t="s">
        <v>2814</v>
      </c>
      <c r="B1387" t="s">
        <v>2910</v>
      </c>
      <c r="C1387">
        <v>14123708</v>
      </c>
      <c r="D1387" t="s">
        <v>945</v>
      </c>
      <c r="E1387" s="134">
        <v>939.56</v>
      </c>
      <c r="F1387" t="s">
        <v>2816</v>
      </c>
    </row>
    <row r="1388" spans="1:6" x14ac:dyDescent="0.2">
      <c r="A1388" t="s">
        <v>2814</v>
      </c>
      <c r="B1388" t="s">
        <v>2910</v>
      </c>
      <c r="C1388">
        <v>14123720</v>
      </c>
      <c r="D1388" t="s">
        <v>955</v>
      </c>
      <c r="E1388" s="134">
        <v>939.56</v>
      </c>
      <c r="F1388" t="s">
        <v>2816</v>
      </c>
    </row>
    <row r="1389" spans="1:6" x14ac:dyDescent="0.2">
      <c r="A1389" t="s">
        <v>2814</v>
      </c>
      <c r="B1389" t="s">
        <v>2910</v>
      </c>
      <c r="C1389">
        <v>14123725</v>
      </c>
      <c r="D1389" t="s">
        <v>956</v>
      </c>
      <c r="E1389" s="134">
        <v>939.56</v>
      </c>
      <c r="F1389" t="s">
        <v>2816</v>
      </c>
    </row>
    <row r="1390" spans="1:6" x14ac:dyDescent="0.2">
      <c r="A1390" t="s">
        <v>2814</v>
      </c>
      <c r="B1390" t="s">
        <v>2910</v>
      </c>
      <c r="C1390">
        <v>14123884</v>
      </c>
      <c r="D1390" t="s">
        <v>976</v>
      </c>
      <c r="E1390" s="134">
        <v>939.56</v>
      </c>
      <c r="F1390" t="s">
        <v>2816</v>
      </c>
    </row>
    <row r="1391" spans="1:6" x14ac:dyDescent="0.2">
      <c r="A1391" t="s">
        <v>2814</v>
      </c>
      <c r="B1391" t="s">
        <v>2910</v>
      </c>
      <c r="C1391">
        <v>14123885</v>
      </c>
      <c r="D1391" t="s">
        <v>978</v>
      </c>
      <c r="E1391" s="134">
        <v>939.56</v>
      </c>
      <c r="F1391" t="s">
        <v>2816</v>
      </c>
    </row>
    <row r="1392" spans="1:6" x14ac:dyDescent="0.2">
      <c r="A1392" t="s">
        <v>2814</v>
      </c>
      <c r="B1392" t="s">
        <v>2910</v>
      </c>
      <c r="C1392">
        <v>14123893</v>
      </c>
      <c r="D1392" t="s">
        <v>979</v>
      </c>
      <c r="E1392" s="134">
        <v>939.56</v>
      </c>
      <c r="F1392" t="s">
        <v>2816</v>
      </c>
    </row>
    <row r="1393" spans="1:6" x14ac:dyDescent="0.2">
      <c r="A1393" t="s">
        <v>2814</v>
      </c>
      <c r="B1393" t="s">
        <v>2910</v>
      </c>
      <c r="C1393">
        <v>14123950</v>
      </c>
      <c r="D1393" t="s">
        <v>997</v>
      </c>
      <c r="E1393" s="134">
        <v>939.56</v>
      </c>
      <c r="F1393" t="s">
        <v>2816</v>
      </c>
    </row>
    <row r="1394" spans="1:6" x14ac:dyDescent="0.2">
      <c r="A1394" t="s">
        <v>2814</v>
      </c>
      <c r="B1394" t="s">
        <v>2910</v>
      </c>
      <c r="C1394">
        <v>14123971</v>
      </c>
      <c r="D1394" t="s">
        <v>999</v>
      </c>
      <c r="E1394" s="134">
        <v>939.56</v>
      </c>
      <c r="F1394" t="s">
        <v>2816</v>
      </c>
    </row>
    <row r="1395" spans="1:6" x14ac:dyDescent="0.2">
      <c r="A1395" t="s">
        <v>2814</v>
      </c>
      <c r="B1395" t="s">
        <v>2910</v>
      </c>
      <c r="C1395">
        <v>14123986</v>
      </c>
      <c r="D1395" t="s">
        <v>1002</v>
      </c>
      <c r="E1395" s="134">
        <v>939.56</v>
      </c>
      <c r="F1395" t="s">
        <v>2816</v>
      </c>
    </row>
    <row r="1396" spans="1:6" x14ac:dyDescent="0.2">
      <c r="A1396" t="s">
        <v>2814</v>
      </c>
      <c r="B1396" t="s">
        <v>2910</v>
      </c>
      <c r="C1396">
        <v>14123987</v>
      </c>
      <c r="D1396" t="s">
        <v>1003</v>
      </c>
      <c r="E1396" s="134">
        <v>939.56</v>
      </c>
      <c r="F1396" t="s">
        <v>2816</v>
      </c>
    </row>
    <row r="1397" spans="1:6" x14ac:dyDescent="0.2">
      <c r="A1397" t="s">
        <v>2814</v>
      </c>
      <c r="B1397" t="s">
        <v>2910</v>
      </c>
      <c r="C1397">
        <v>14123988</v>
      </c>
      <c r="D1397" t="s">
        <v>1004</v>
      </c>
      <c r="E1397" s="134">
        <v>939.56</v>
      </c>
      <c r="F1397" t="s">
        <v>2816</v>
      </c>
    </row>
    <row r="1398" spans="1:6" x14ac:dyDescent="0.2">
      <c r="A1398" t="s">
        <v>2814</v>
      </c>
      <c r="B1398" t="s">
        <v>2910</v>
      </c>
      <c r="C1398">
        <v>14102637</v>
      </c>
      <c r="D1398" t="s">
        <v>2911</v>
      </c>
      <c r="E1398" s="134">
        <v>872.24</v>
      </c>
      <c r="F1398" t="s">
        <v>2816</v>
      </c>
    </row>
    <row r="1399" spans="1:6" x14ac:dyDescent="0.2">
      <c r="A1399" t="s">
        <v>2814</v>
      </c>
      <c r="B1399" t="s">
        <v>2910</v>
      </c>
      <c r="C1399">
        <v>14102638</v>
      </c>
      <c r="D1399" t="s">
        <v>2912</v>
      </c>
      <c r="E1399" s="134">
        <v>872.24</v>
      </c>
      <c r="F1399" t="s">
        <v>2816</v>
      </c>
    </row>
    <row r="1400" spans="1:6" x14ac:dyDescent="0.2">
      <c r="A1400" t="s">
        <v>2814</v>
      </c>
      <c r="B1400" t="s">
        <v>2910</v>
      </c>
      <c r="C1400">
        <v>14103046</v>
      </c>
      <c r="D1400" t="s">
        <v>2913</v>
      </c>
      <c r="E1400" s="134">
        <v>872.24</v>
      </c>
      <c r="F1400" t="s">
        <v>2816</v>
      </c>
    </row>
    <row r="1401" spans="1:6" x14ac:dyDescent="0.2">
      <c r="A1401" t="s">
        <v>2814</v>
      </c>
      <c r="B1401" t="s">
        <v>2910</v>
      </c>
      <c r="C1401">
        <v>14111652</v>
      </c>
      <c r="D1401" t="s">
        <v>2914</v>
      </c>
      <c r="E1401" s="134">
        <v>872.24</v>
      </c>
      <c r="F1401" t="s">
        <v>2816</v>
      </c>
    </row>
    <row r="1402" spans="1:6" x14ac:dyDescent="0.2">
      <c r="A1402" t="s">
        <v>2814</v>
      </c>
      <c r="B1402" t="s">
        <v>2910</v>
      </c>
      <c r="C1402">
        <v>14213524</v>
      </c>
      <c r="D1402" t="s">
        <v>2915</v>
      </c>
      <c r="E1402" s="134">
        <v>872.24</v>
      </c>
      <c r="F1402" t="s">
        <v>2816</v>
      </c>
    </row>
    <row r="1403" spans="1:6" x14ac:dyDescent="0.2">
      <c r="A1403" t="s">
        <v>2814</v>
      </c>
      <c r="B1403" t="s">
        <v>2910</v>
      </c>
      <c r="C1403">
        <v>14221921</v>
      </c>
      <c r="D1403" t="s">
        <v>2916</v>
      </c>
      <c r="E1403" s="134">
        <v>872.24</v>
      </c>
      <c r="F1403" t="s">
        <v>2816</v>
      </c>
    </row>
    <row r="1404" spans="1:6" x14ac:dyDescent="0.2">
      <c r="A1404" t="s">
        <v>2814</v>
      </c>
      <c r="B1404" t="s">
        <v>2910</v>
      </c>
      <c r="C1404">
        <v>14222997</v>
      </c>
      <c r="D1404" t="s">
        <v>2917</v>
      </c>
      <c r="E1404" s="134">
        <v>872.24</v>
      </c>
      <c r="F1404" t="s">
        <v>2816</v>
      </c>
    </row>
    <row r="1405" spans="1:6" x14ac:dyDescent="0.2">
      <c r="A1405" t="s">
        <v>2814</v>
      </c>
      <c r="B1405" t="s">
        <v>2910</v>
      </c>
      <c r="C1405">
        <v>14223662</v>
      </c>
      <c r="D1405" t="s">
        <v>2918</v>
      </c>
      <c r="E1405" s="134">
        <v>872.24</v>
      </c>
      <c r="F1405" t="s">
        <v>2816</v>
      </c>
    </row>
    <row r="1406" spans="1:6" x14ac:dyDescent="0.2">
      <c r="A1406" t="s">
        <v>2814</v>
      </c>
      <c r="B1406" t="s">
        <v>2910</v>
      </c>
      <c r="C1406">
        <v>14223826</v>
      </c>
      <c r="D1406" t="s">
        <v>2919</v>
      </c>
      <c r="E1406" s="134">
        <v>872.24</v>
      </c>
      <c r="F1406" t="s">
        <v>2816</v>
      </c>
    </row>
    <row r="1407" spans="1:6" x14ac:dyDescent="0.2">
      <c r="A1407" t="s">
        <v>2814</v>
      </c>
      <c r="B1407" t="s">
        <v>2910</v>
      </c>
      <c r="C1407">
        <v>16101324</v>
      </c>
      <c r="D1407" t="s">
        <v>2821</v>
      </c>
      <c r="E1407" s="134">
        <v>852.5</v>
      </c>
      <c r="F1407" t="s">
        <v>2816</v>
      </c>
    </row>
    <row r="1408" spans="1:6" x14ac:dyDescent="0.2">
      <c r="A1408" t="s">
        <v>2814</v>
      </c>
      <c r="B1408" t="s">
        <v>2910</v>
      </c>
      <c r="C1408">
        <v>16101347</v>
      </c>
      <c r="D1408" t="s">
        <v>2822</v>
      </c>
      <c r="E1408" s="134">
        <v>852.5</v>
      </c>
      <c r="F1408" t="s">
        <v>2816</v>
      </c>
    </row>
    <row r="1409" spans="1:6" x14ac:dyDescent="0.2">
      <c r="A1409" t="s">
        <v>2814</v>
      </c>
      <c r="B1409" t="s">
        <v>2910</v>
      </c>
      <c r="C1409">
        <v>16102265</v>
      </c>
      <c r="D1409" t="s">
        <v>2827</v>
      </c>
      <c r="E1409" s="134">
        <v>852.5</v>
      </c>
      <c r="F1409" t="s">
        <v>2816</v>
      </c>
    </row>
    <row r="1410" spans="1:6" x14ac:dyDescent="0.2">
      <c r="A1410" t="s">
        <v>2814</v>
      </c>
      <c r="B1410" t="s">
        <v>2910</v>
      </c>
      <c r="C1410">
        <v>16104436</v>
      </c>
      <c r="D1410" t="s">
        <v>2832</v>
      </c>
      <c r="E1410" s="134">
        <v>852.5</v>
      </c>
      <c r="F1410" t="s">
        <v>2816</v>
      </c>
    </row>
    <row r="1411" spans="1:6" x14ac:dyDescent="0.2">
      <c r="A1411" t="s">
        <v>2814</v>
      </c>
      <c r="B1411" t="s">
        <v>2910</v>
      </c>
      <c r="C1411">
        <v>16110744</v>
      </c>
      <c r="D1411" t="s">
        <v>2844</v>
      </c>
      <c r="E1411" s="134">
        <v>852.5</v>
      </c>
      <c r="F1411" t="s">
        <v>2816</v>
      </c>
    </row>
    <row r="1412" spans="1:6" x14ac:dyDescent="0.2">
      <c r="A1412" t="s">
        <v>2814</v>
      </c>
      <c r="B1412" t="s">
        <v>2910</v>
      </c>
      <c r="C1412">
        <v>16114063</v>
      </c>
      <c r="D1412" t="s">
        <v>2850</v>
      </c>
      <c r="E1412" s="134">
        <v>852.5</v>
      </c>
      <c r="F1412" t="s">
        <v>2816</v>
      </c>
    </row>
    <row r="1413" spans="1:6" x14ac:dyDescent="0.2">
      <c r="A1413" t="s">
        <v>2814</v>
      </c>
      <c r="B1413" t="s">
        <v>2910</v>
      </c>
      <c r="C1413">
        <v>16114991</v>
      </c>
      <c r="D1413" t="s">
        <v>2852</v>
      </c>
      <c r="E1413" s="134">
        <v>852.5</v>
      </c>
      <c r="F1413" t="s">
        <v>2816</v>
      </c>
    </row>
    <row r="1414" spans="1:6" x14ac:dyDescent="0.2">
      <c r="A1414" t="s">
        <v>2814</v>
      </c>
      <c r="B1414" t="s">
        <v>2910</v>
      </c>
      <c r="C1414">
        <v>16115150</v>
      </c>
      <c r="D1414" t="s">
        <v>2854</v>
      </c>
      <c r="E1414" s="134">
        <v>852.5</v>
      </c>
      <c r="F1414" t="s">
        <v>2816</v>
      </c>
    </row>
    <row r="1415" spans="1:6" x14ac:dyDescent="0.2">
      <c r="A1415" t="s">
        <v>2814</v>
      </c>
      <c r="B1415" t="s">
        <v>2910</v>
      </c>
      <c r="C1415">
        <v>16117764</v>
      </c>
      <c r="D1415" t="s">
        <v>2864</v>
      </c>
      <c r="E1415" s="134">
        <v>852.5</v>
      </c>
      <c r="F1415" t="s">
        <v>2816</v>
      </c>
    </row>
    <row r="1416" spans="1:6" x14ac:dyDescent="0.2">
      <c r="A1416" t="s">
        <v>2814</v>
      </c>
      <c r="B1416" t="s">
        <v>2910</v>
      </c>
      <c r="C1416">
        <v>16118874</v>
      </c>
      <c r="D1416" t="s">
        <v>2869</v>
      </c>
      <c r="E1416" s="134">
        <v>852.5</v>
      </c>
      <c r="F1416" t="s">
        <v>2816</v>
      </c>
    </row>
    <row r="1417" spans="1:6" x14ac:dyDescent="0.2">
      <c r="A1417" t="s">
        <v>2814</v>
      </c>
      <c r="B1417" t="s">
        <v>2910</v>
      </c>
      <c r="C1417">
        <v>16119278</v>
      </c>
      <c r="D1417" t="s">
        <v>2872</v>
      </c>
      <c r="E1417" s="134">
        <v>852.5</v>
      </c>
      <c r="F1417" t="s">
        <v>2816</v>
      </c>
    </row>
    <row r="1418" spans="1:6" x14ac:dyDescent="0.2">
      <c r="A1418" t="s">
        <v>2814</v>
      </c>
      <c r="B1418" t="s">
        <v>2910</v>
      </c>
      <c r="C1418">
        <v>16119563</v>
      </c>
      <c r="D1418" t="s">
        <v>2875</v>
      </c>
      <c r="E1418" s="134">
        <v>852.5</v>
      </c>
      <c r="F1418" t="s">
        <v>2816</v>
      </c>
    </row>
    <row r="1419" spans="1:6" x14ac:dyDescent="0.2">
      <c r="A1419" t="s">
        <v>2814</v>
      </c>
      <c r="B1419" t="s">
        <v>2910</v>
      </c>
      <c r="C1419">
        <v>16119689</v>
      </c>
      <c r="D1419" t="s">
        <v>2876</v>
      </c>
      <c r="E1419" s="134">
        <v>852.5</v>
      </c>
      <c r="F1419" t="s">
        <v>2816</v>
      </c>
    </row>
    <row r="1420" spans="1:6" x14ac:dyDescent="0.2">
      <c r="A1420" t="s">
        <v>2814</v>
      </c>
      <c r="B1420" t="s">
        <v>2910</v>
      </c>
      <c r="C1420">
        <v>16120137</v>
      </c>
      <c r="D1420" t="s">
        <v>2877</v>
      </c>
      <c r="E1420" s="134">
        <v>852.5</v>
      </c>
      <c r="F1420" t="s">
        <v>2816</v>
      </c>
    </row>
    <row r="1421" spans="1:6" x14ac:dyDescent="0.2">
      <c r="A1421" t="s">
        <v>2814</v>
      </c>
      <c r="B1421" t="s">
        <v>2910</v>
      </c>
      <c r="C1421">
        <v>16121844</v>
      </c>
      <c r="D1421" t="s">
        <v>2883</v>
      </c>
      <c r="E1421" s="134">
        <v>852.5</v>
      </c>
      <c r="F1421" t="s">
        <v>2816</v>
      </c>
    </row>
    <row r="1422" spans="1:6" x14ac:dyDescent="0.2">
      <c r="A1422" t="s">
        <v>2814</v>
      </c>
      <c r="B1422" t="s">
        <v>2910</v>
      </c>
      <c r="C1422">
        <v>16122204</v>
      </c>
      <c r="D1422" t="s">
        <v>2886</v>
      </c>
      <c r="E1422" s="134">
        <v>852.5</v>
      </c>
      <c r="F1422" t="s">
        <v>2816</v>
      </c>
    </row>
    <row r="1423" spans="1:6" x14ac:dyDescent="0.2">
      <c r="A1423" t="s">
        <v>2814</v>
      </c>
      <c r="B1423" t="s">
        <v>2910</v>
      </c>
      <c r="C1423">
        <v>16122376</v>
      </c>
      <c r="D1423" t="s">
        <v>2890</v>
      </c>
      <c r="E1423" s="134">
        <v>852.5</v>
      </c>
      <c r="F1423" t="s">
        <v>2816</v>
      </c>
    </row>
    <row r="1424" spans="1:6" x14ac:dyDescent="0.2">
      <c r="A1424" t="s">
        <v>2814</v>
      </c>
      <c r="B1424" t="s">
        <v>2910</v>
      </c>
      <c r="C1424">
        <v>16122568</v>
      </c>
      <c r="D1424" t="s">
        <v>2892</v>
      </c>
      <c r="E1424" s="134">
        <v>852.5</v>
      </c>
      <c r="F1424" t="s">
        <v>2816</v>
      </c>
    </row>
    <row r="1425" spans="1:6" x14ac:dyDescent="0.2">
      <c r="A1425" t="s">
        <v>2814</v>
      </c>
      <c r="B1425" t="s">
        <v>2910</v>
      </c>
      <c r="C1425">
        <v>16123358</v>
      </c>
      <c r="D1425" t="s">
        <v>2893</v>
      </c>
      <c r="E1425" s="134">
        <v>852.5</v>
      </c>
      <c r="F1425" t="s">
        <v>2816</v>
      </c>
    </row>
    <row r="1426" spans="1:6" x14ac:dyDescent="0.2">
      <c r="A1426" t="s">
        <v>2814</v>
      </c>
      <c r="B1426" t="s">
        <v>2910</v>
      </c>
      <c r="C1426">
        <v>16123764</v>
      </c>
      <c r="D1426" t="s">
        <v>2899</v>
      </c>
      <c r="E1426" s="134">
        <v>852.5</v>
      </c>
      <c r="F1426" t="s">
        <v>2816</v>
      </c>
    </row>
    <row r="1427" spans="1:6" x14ac:dyDescent="0.2">
      <c r="A1427" t="s">
        <v>2814</v>
      </c>
      <c r="B1427" t="s">
        <v>2910</v>
      </c>
      <c r="C1427">
        <v>16123865</v>
      </c>
      <c r="D1427" t="s">
        <v>2902</v>
      </c>
      <c r="E1427" s="134">
        <v>852.5</v>
      </c>
      <c r="F1427" t="s">
        <v>2816</v>
      </c>
    </row>
    <row r="1428" spans="1:6" x14ac:dyDescent="0.2">
      <c r="A1428" t="s">
        <v>2814</v>
      </c>
      <c r="B1428" t="s">
        <v>2910</v>
      </c>
      <c r="C1428">
        <v>16123866</v>
      </c>
      <c r="D1428" t="s">
        <v>2903</v>
      </c>
      <c r="E1428" s="134">
        <v>852.5</v>
      </c>
      <c r="F1428" t="s">
        <v>2816</v>
      </c>
    </row>
    <row r="1429" spans="1:6" x14ac:dyDescent="0.2">
      <c r="A1429" t="s">
        <v>2814</v>
      </c>
      <c r="B1429" t="s">
        <v>2910</v>
      </c>
      <c r="C1429">
        <v>16123937</v>
      </c>
      <c r="D1429" t="s">
        <v>2920</v>
      </c>
      <c r="E1429" s="134">
        <v>852.5</v>
      </c>
      <c r="F1429" t="s">
        <v>2816</v>
      </c>
    </row>
    <row r="1430" spans="1:6" x14ac:dyDescent="0.2">
      <c r="A1430" t="s">
        <v>2814</v>
      </c>
      <c r="B1430" t="s">
        <v>2910</v>
      </c>
      <c r="C1430">
        <v>14100751</v>
      </c>
      <c r="D1430" t="s">
        <v>320</v>
      </c>
      <c r="E1430" s="134">
        <v>966.02</v>
      </c>
      <c r="F1430" t="s">
        <v>2816</v>
      </c>
    </row>
    <row r="1431" spans="1:6" x14ac:dyDescent="0.2">
      <c r="A1431" t="s">
        <v>2814</v>
      </c>
      <c r="B1431" t="s">
        <v>2910</v>
      </c>
      <c r="C1431">
        <v>14102081</v>
      </c>
      <c r="D1431" t="s">
        <v>28</v>
      </c>
      <c r="E1431" s="134">
        <v>966.02</v>
      </c>
      <c r="F1431" t="s">
        <v>2816</v>
      </c>
    </row>
    <row r="1432" spans="1:6" x14ac:dyDescent="0.2">
      <c r="A1432" t="s">
        <v>2814</v>
      </c>
      <c r="B1432" t="s">
        <v>2910</v>
      </c>
      <c r="C1432">
        <v>14104853</v>
      </c>
      <c r="D1432" t="s">
        <v>181</v>
      </c>
      <c r="E1432" s="134">
        <v>966.02</v>
      </c>
      <c r="F1432" t="s">
        <v>2816</v>
      </c>
    </row>
    <row r="1433" spans="1:6" x14ac:dyDescent="0.2">
      <c r="A1433" t="s">
        <v>2814</v>
      </c>
      <c r="B1433" t="s">
        <v>2910</v>
      </c>
      <c r="C1433">
        <v>14109748</v>
      </c>
      <c r="D1433" t="s">
        <v>94</v>
      </c>
      <c r="E1433" s="134">
        <v>966.02</v>
      </c>
      <c r="F1433" t="s">
        <v>2816</v>
      </c>
    </row>
    <row r="1434" spans="1:6" x14ac:dyDescent="0.2">
      <c r="A1434" t="s">
        <v>2814</v>
      </c>
      <c r="B1434" t="s">
        <v>2910</v>
      </c>
      <c r="C1434">
        <v>14109802</v>
      </c>
      <c r="D1434" t="s">
        <v>95</v>
      </c>
      <c r="E1434" s="134">
        <v>966.02</v>
      </c>
      <c r="F1434" t="s">
        <v>2816</v>
      </c>
    </row>
    <row r="1435" spans="1:6" x14ac:dyDescent="0.2">
      <c r="A1435" t="s">
        <v>2814</v>
      </c>
      <c r="B1435" t="s">
        <v>2910</v>
      </c>
      <c r="C1435">
        <v>14110707</v>
      </c>
      <c r="D1435" t="s">
        <v>267</v>
      </c>
      <c r="E1435" s="134">
        <v>966.02</v>
      </c>
      <c r="F1435" t="s">
        <v>2816</v>
      </c>
    </row>
    <row r="1436" spans="1:6" x14ac:dyDescent="0.2">
      <c r="A1436" t="s">
        <v>2814</v>
      </c>
      <c r="B1436" t="s">
        <v>2910</v>
      </c>
      <c r="C1436">
        <v>14111675</v>
      </c>
      <c r="D1436" t="s">
        <v>112</v>
      </c>
      <c r="E1436" s="134">
        <v>966.02</v>
      </c>
      <c r="F1436" t="s">
        <v>2816</v>
      </c>
    </row>
    <row r="1437" spans="1:6" x14ac:dyDescent="0.2">
      <c r="A1437" t="s">
        <v>2814</v>
      </c>
      <c r="B1437" t="s">
        <v>2910</v>
      </c>
      <c r="C1437">
        <v>14114320</v>
      </c>
      <c r="D1437" t="s">
        <v>312</v>
      </c>
      <c r="E1437" s="134">
        <v>966.02</v>
      </c>
      <c r="F1437" t="s">
        <v>2816</v>
      </c>
    </row>
    <row r="1438" spans="1:6" x14ac:dyDescent="0.2">
      <c r="A1438" t="s">
        <v>2814</v>
      </c>
      <c r="B1438" t="s">
        <v>2910</v>
      </c>
      <c r="C1438">
        <v>14114737</v>
      </c>
      <c r="D1438" t="s">
        <v>139</v>
      </c>
      <c r="E1438" s="134">
        <v>966.02</v>
      </c>
      <c r="F1438" t="s">
        <v>2816</v>
      </c>
    </row>
    <row r="1439" spans="1:6" x14ac:dyDescent="0.2">
      <c r="A1439" t="s">
        <v>2814</v>
      </c>
      <c r="B1439" t="s">
        <v>2910</v>
      </c>
      <c r="C1439">
        <v>14115820</v>
      </c>
      <c r="D1439" t="s">
        <v>148</v>
      </c>
      <c r="E1439" s="134">
        <v>966.02</v>
      </c>
      <c r="F1439" t="s">
        <v>2816</v>
      </c>
    </row>
    <row r="1440" spans="1:6" x14ac:dyDescent="0.2">
      <c r="A1440" t="s">
        <v>2814</v>
      </c>
      <c r="B1440" t="s">
        <v>2910</v>
      </c>
      <c r="C1440">
        <v>14116860</v>
      </c>
      <c r="D1440" t="s">
        <v>170</v>
      </c>
      <c r="E1440" s="134">
        <v>966.02</v>
      </c>
      <c r="F1440" t="s">
        <v>2816</v>
      </c>
    </row>
    <row r="1441" spans="1:6" x14ac:dyDescent="0.2">
      <c r="A1441" t="s">
        <v>2814</v>
      </c>
      <c r="B1441" t="s">
        <v>2910</v>
      </c>
      <c r="C1441">
        <v>14117158</v>
      </c>
      <c r="D1441" t="s">
        <v>172</v>
      </c>
      <c r="E1441" s="134">
        <v>966.02</v>
      </c>
      <c r="F1441" t="s">
        <v>2816</v>
      </c>
    </row>
    <row r="1442" spans="1:6" x14ac:dyDescent="0.2">
      <c r="A1442" t="s">
        <v>2814</v>
      </c>
      <c r="B1442" t="s">
        <v>2910</v>
      </c>
      <c r="C1442">
        <v>14117508</v>
      </c>
      <c r="D1442" t="s">
        <v>313</v>
      </c>
      <c r="E1442" s="134">
        <v>966.02</v>
      </c>
      <c r="F1442" t="s">
        <v>2816</v>
      </c>
    </row>
    <row r="1443" spans="1:6" x14ac:dyDescent="0.2">
      <c r="A1443" t="s">
        <v>2814</v>
      </c>
      <c r="B1443" t="s">
        <v>2910</v>
      </c>
      <c r="C1443">
        <v>14118505</v>
      </c>
      <c r="D1443" t="s">
        <v>349</v>
      </c>
      <c r="E1443" s="134">
        <v>966.02</v>
      </c>
      <c r="F1443" t="s">
        <v>2816</v>
      </c>
    </row>
    <row r="1444" spans="1:6" x14ac:dyDescent="0.2">
      <c r="A1444" t="s">
        <v>2814</v>
      </c>
      <c r="B1444" t="s">
        <v>2910</v>
      </c>
      <c r="C1444">
        <v>14120613</v>
      </c>
      <c r="D1444" t="s">
        <v>290</v>
      </c>
      <c r="E1444" s="134">
        <v>966.02</v>
      </c>
      <c r="F1444" t="s">
        <v>2816</v>
      </c>
    </row>
    <row r="1445" spans="1:6" x14ac:dyDescent="0.2">
      <c r="A1445" t="s">
        <v>2814</v>
      </c>
      <c r="B1445" t="s">
        <v>2910</v>
      </c>
      <c r="C1445">
        <v>14120668</v>
      </c>
      <c r="D1445" t="s">
        <v>294</v>
      </c>
      <c r="E1445" s="134">
        <v>966.02</v>
      </c>
      <c r="F1445" t="s">
        <v>2816</v>
      </c>
    </row>
    <row r="1446" spans="1:6" x14ac:dyDescent="0.2">
      <c r="A1446" t="s">
        <v>2814</v>
      </c>
      <c r="B1446" t="s">
        <v>2910</v>
      </c>
      <c r="C1446">
        <v>14120807</v>
      </c>
      <c r="D1446" t="s">
        <v>300</v>
      </c>
      <c r="E1446" s="134">
        <v>966.02</v>
      </c>
      <c r="F1446" t="s">
        <v>2816</v>
      </c>
    </row>
    <row r="1447" spans="1:6" x14ac:dyDescent="0.2">
      <c r="A1447" t="s">
        <v>2814</v>
      </c>
      <c r="B1447" t="s">
        <v>2910</v>
      </c>
      <c r="C1447">
        <v>14120850</v>
      </c>
      <c r="D1447" t="s">
        <v>301</v>
      </c>
      <c r="E1447" s="134">
        <v>966.02</v>
      </c>
      <c r="F1447" t="s">
        <v>2816</v>
      </c>
    </row>
    <row r="1448" spans="1:6" x14ac:dyDescent="0.2">
      <c r="A1448" t="s">
        <v>2814</v>
      </c>
      <c r="B1448" t="s">
        <v>2910</v>
      </c>
      <c r="C1448">
        <v>14121013</v>
      </c>
      <c r="D1448" t="s">
        <v>305</v>
      </c>
      <c r="E1448" s="134">
        <v>966.02</v>
      </c>
      <c r="F1448" t="s">
        <v>2816</v>
      </c>
    </row>
    <row r="1449" spans="1:6" x14ac:dyDescent="0.2">
      <c r="A1449" t="s">
        <v>2814</v>
      </c>
      <c r="B1449" t="s">
        <v>2910</v>
      </c>
      <c r="C1449">
        <v>14121103</v>
      </c>
      <c r="D1449" t="s">
        <v>307</v>
      </c>
      <c r="E1449" s="134">
        <v>966.02</v>
      </c>
      <c r="F1449" t="s">
        <v>2816</v>
      </c>
    </row>
    <row r="1450" spans="1:6" x14ac:dyDescent="0.2">
      <c r="A1450" t="s">
        <v>2814</v>
      </c>
      <c r="B1450" t="s">
        <v>2910</v>
      </c>
      <c r="C1450">
        <v>14121158</v>
      </c>
      <c r="D1450" t="s">
        <v>317</v>
      </c>
      <c r="E1450" s="134">
        <v>966.02</v>
      </c>
      <c r="F1450" t="s">
        <v>2816</v>
      </c>
    </row>
    <row r="1451" spans="1:6" x14ac:dyDescent="0.2">
      <c r="A1451" t="s">
        <v>2814</v>
      </c>
      <c r="B1451" t="s">
        <v>2910</v>
      </c>
      <c r="C1451">
        <v>14121235</v>
      </c>
      <c r="D1451" t="s">
        <v>321</v>
      </c>
      <c r="E1451" s="134">
        <v>966.02</v>
      </c>
      <c r="F1451" t="s">
        <v>2816</v>
      </c>
    </row>
    <row r="1452" spans="1:6" x14ac:dyDescent="0.2">
      <c r="A1452" t="s">
        <v>2814</v>
      </c>
      <c r="B1452" t="s">
        <v>2910</v>
      </c>
      <c r="C1452">
        <v>14121239</v>
      </c>
      <c r="D1452" t="s">
        <v>323</v>
      </c>
      <c r="E1452" s="134">
        <v>966.02</v>
      </c>
      <c r="F1452" t="s">
        <v>2816</v>
      </c>
    </row>
    <row r="1453" spans="1:6" x14ac:dyDescent="0.2">
      <c r="A1453" t="s">
        <v>2814</v>
      </c>
      <c r="B1453" t="s">
        <v>2910</v>
      </c>
      <c r="C1453">
        <v>14121266</v>
      </c>
      <c r="D1453" t="s">
        <v>324</v>
      </c>
      <c r="E1453" s="134">
        <v>966.02</v>
      </c>
      <c r="F1453" t="s">
        <v>2816</v>
      </c>
    </row>
    <row r="1454" spans="1:6" x14ac:dyDescent="0.2">
      <c r="A1454" t="s">
        <v>2814</v>
      </c>
      <c r="B1454" t="s">
        <v>2910</v>
      </c>
      <c r="C1454">
        <v>14121271</v>
      </c>
      <c r="D1454" t="s">
        <v>325</v>
      </c>
      <c r="E1454" s="134">
        <v>966.02</v>
      </c>
      <c r="F1454" t="s">
        <v>2816</v>
      </c>
    </row>
    <row r="1455" spans="1:6" x14ac:dyDescent="0.2">
      <c r="A1455" t="s">
        <v>2814</v>
      </c>
      <c r="B1455" t="s">
        <v>2910</v>
      </c>
      <c r="C1455">
        <v>14121328</v>
      </c>
      <c r="D1455" t="s">
        <v>326</v>
      </c>
      <c r="E1455" s="134">
        <v>966.02</v>
      </c>
      <c r="F1455" t="s">
        <v>2816</v>
      </c>
    </row>
    <row r="1456" spans="1:6" x14ac:dyDescent="0.2">
      <c r="A1456" t="s">
        <v>2814</v>
      </c>
      <c r="B1456" t="s">
        <v>2910</v>
      </c>
      <c r="C1456">
        <v>14121398</v>
      </c>
      <c r="D1456" t="s">
        <v>327</v>
      </c>
      <c r="E1456" s="134">
        <v>966.02</v>
      </c>
      <c r="F1456" t="s">
        <v>2816</v>
      </c>
    </row>
    <row r="1457" spans="1:6" x14ac:dyDescent="0.2">
      <c r="A1457" t="s">
        <v>2814</v>
      </c>
      <c r="B1457" t="s">
        <v>2910</v>
      </c>
      <c r="C1457">
        <v>14121523</v>
      </c>
      <c r="D1457" t="s">
        <v>332</v>
      </c>
      <c r="E1457" s="134">
        <v>966.02</v>
      </c>
      <c r="F1457" t="s">
        <v>2816</v>
      </c>
    </row>
    <row r="1458" spans="1:6" x14ac:dyDescent="0.2">
      <c r="A1458" t="s">
        <v>2814</v>
      </c>
      <c r="B1458" t="s">
        <v>2910</v>
      </c>
      <c r="C1458">
        <v>14121598</v>
      </c>
      <c r="D1458" t="s">
        <v>338</v>
      </c>
      <c r="E1458" s="134">
        <v>966.02</v>
      </c>
      <c r="F1458" t="s">
        <v>2816</v>
      </c>
    </row>
    <row r="1459" spans="1:6" x14ac:dyDescent="0.2">
      <c r="A1459" t="s">
        <v>2814</v>
      </c>
      <c r="B1459" t="s">
        <v>2910</v>
      </c>
      <c r="C1459">
        <v>14121733</v>
      </c>
      <c r="D1459" t="s">
        <v>346</v>
      </c>
      <c r="E1459" s="134">
        <v>966.02</v>
      </c>
      <c r="F1459" t="s">
        <v>2816</v>
      </c>
    </row>
    <row r="1460" spans="1:6" x14ac:dyDescent="0.2">
      <c r="A1460" t="s">
        <v>2814</v>
      </c>
      <c r="B1460" t="s">
        <v>2910</v>
      </c>
      <c r="C1460">
        <v>14121756</v>
      </c>
      <c r="D1460" t="s">
        <v>350</v>
      </c>
      <c r="E1460" s="134">
        <v>966.02</v>
      </c>
      <c r="F1460" t="s">
        <v>2816</v>
      </c>
    </row>
    <row r="1461" spans="1:6" x14ac:dyDescent="0.2">
      <c r="A1461" t="s">
        <v>2814</v>
      </c>
      <c r="B1461" t="s">
        <v>2910</v>
      </c>
      <c r="C1461">
        <v>14121785</v>
      </c>
      <c r="D1461" t="s">
        <v>353</v>
      </c>
      <c r="E1461" s="134">
        <v>966.02</v>
      </c>
      <c r="F1461" t="s">
        <v>2816</v>
      </c>
    </row>
    <row r="1462" spans="1:6" x14ac:dyDescent="0.2">
      <c r="A1462" t="s">
        <v>2814</v>
      </c>
      <c r="B1462" t="s">
        <v>2910</v>
      </c>
      <c r="C1462">
        <v>14121791</v>
      </c>
      <c r="D1462" t="s">
        <v>354</v>
      </c>
      <c r="E1462" s="134">
        <v>966.02</v>
      </c>
      <c r="F1462" t="s">
        <v>2816</v>
      </c>
    </row>
    <row r="1463" spans="1:6" x14ac:dyDescent="0.2">
      <c r="A1463" t="s">
        <v>2814</v>
      </c>
      <c r="B1463" t="s">
        <v>2910</v>
      </c>
      <c r="C1463">
        <v>14121809</v>
      </c>
      <c r="D1463" t="s">
        <v>355</v>
      </c>
      <c r="E1463" s="134">
        <v>966.02</v>
      </c>
      <c r="F1463" t="s">
        <v>2816</v>
      </c>
    </row>
    <row r="1464" spans="1:6" x14ac:dyDescent="0.2">
      <c r="A1464" t="s">
        <v>2814</v>
      </c>
      <c r="B1464" t="s">
        <v>2910</v>
      </c>
      <c r="C1464">
        <v>14121856</v>
      </c>
      <c r="D1464" t="s">
        <v>358</v>
      </c>
      <c r="E1464" s="134">
        <v>966.02</v>
      </c>
      <c r="F1464" t="s">
        <v>2816</v>
      </c>
    </row>
    <row r="1465" spans="1:6" x14ac:dyDescent="0.2">
      <c r="A1465" t="s">
        <v>2814</v>
      </c>
      <c r="B1465" t="s">
        <v>2910</v>
      </c>
      <c r="C1465">
        <v>14121985</v>
      </c>
      <c r="D1465" t="s">
        <v>369</v>
      </c>
      <c r="E1465" s="134">
        <v>966.02</v>
      </c>
      <c r="F1465" t="s">
        <v>2816</v>
      </c>
    </row>
    <row r="1466" spans="1:6" x14ac:dyDescent="0.2">
      <c r="A1466" t="s">
        <v>2814</v>
      </c>
      <c r="B1466" t="s">
        <v>2910</v>
      </c>
      <c r="C1466">
        <v>14122033</v>
      </c>
      <c r="D1466" t="s">
        <v>371</v>
      </c>
      <c r="E1466" s="134">
        <v>966.02</v>
      </c>
      <c r="F1466" t="s">
        <v>2816</v>
      </c>
    </row>
    <row r="1467" spans="1:6" x14ac:dyDescent="0.2">
      <c r="A1467" t="s">
        <v>2814</v>
      </c>
      <c r="B1467" t="s">
        <v>2910</v>
      </c>
      <c r="C1467">
        <v>14122072</v>
      </c>
      <c r="D1467" t="s">
        <v>375</v>
      </c>
      <c r="E1467" s="134">
        <v>966.02</v>
      </c>
      <c r="F1467" t="s">
        <v>2816</v>
      </c>
    </row>
    <row r="1468" spans="1:6" x14ac:dyDescent="0.2">
      <c r="A1468" t="s">
        <v>2814</v>
      </c>
      <c r="B1468" t="s">
        <v>2910</v>
      </c>
      <c r="C1468">
        <v>14122135</v>
      </c>
      <c r="D1468" t="s">
        <v>385</v>
      </c>
      <c r="E1468" s="134">
        <v>966.02</v>
      </c>
      <c r="F1468" t="s">
        <v>2816</v>
      </c>
    </row>
    <row r="1469" spans="1:6" x14ac:dyDescent="0.2">
      <c r="A1469" t="s">
        <v>2814</v>
      </c>
      <c r="B1469" t="s">
        <v>2910</v>
      </c>
      <c r="C1469">
        <v>14122136</v>
      </c>
      <c r="D1469" t="s">
        <v>386</v>
      </c>
      <c r="E1469" s="134">
        <v>966.02</v>
      </c>
      <c r="F1469" t="s">
        <v>2816</v>
      </c>
    </row>
    <row r="1470" spans="1:6" x14ac:dyDescent="0.2">
      <c r="A1470" t="s">
        <v>2814</v>
      </c>
      <c r="B1470" t="s">
        <v>2910</v>
      </c>
      <c r="C1470">
        <v>14122149</v>
      </c>
      <c r="D1470" t="s">
        <v>389</v>
      </c>
      <c r="E1470" s="134">
        <v>966.02</v>
      </c>
      <c r="F1470" t="s">
        <v>2816</v>
      </c>
    </row>
    <row r="1471" spans="1:6" x14ac:dyDescent="0.2">
      <c r="A1471" t="s">
        <v>2814</v>
      </c>
      <c r="B1471" t="s">
        <v>2910</v>
      </c>
      <c r="C1471">
        <v>14122158</v>
      </c>
      <c r="D1471" t="s">
        <v>390</v>
      </c>
      <c r="E1471" s="134">
        <v>966.02</v>
      </c>
      <c r="F1471" t="s">
        <v>2816</v>
      </c>
    </row>
    <row r="1472" spans="1:6" x14ac:dyDescent="0.2">
      <c r="A1472" t="s">
        <v>2814</v>
      </c>
      <c r="B1472" t="s">
        <v>2910</v>
      </c>
      <c r="C1472">
        <v>14100843</v>
      </c>
      <c r="D1472" t="s">
        <v>221</v>
      </c>
      <c r="E1472" s="134">
        <v>1001.26</v>
      </c>
      <c r="F1472" t="s">
        <v>2816</v>
      </c>
    </row>
    <row r="1473" spans="1:6" x14ac:dyDescent="0.2">
      <c r="A1473" t="s">
        <v>2814</v>
      </c>
      <c r="B1473" t="s">
        <v>2910</v>
      </c>
      <c r="C1473">
        <v>14111678</v>
      </c>
      <c r="D1473" t="s">
        <v>283</v>
      </c>
      <c r="E1473" s="134">
        <v>1001.26</v>
      </c>
      <c r="F1473" t="s">
        <v>2816</v>
      </c>
    </row>
    <row r="1474" spans="1:6" x14ac:dyDescent="0.2">
      <c r="A1474" t="s">
        <v>2814</v>
      </c>
      <c r="B1474" t="s">
        <v>2910</v>
      </c>
      <c r="C1474">
        <v>14113056</v>
      </c>
      <c r="D1474" t="s">
        <v>234</v>
      </c>
      <c r="E1474" s="134">
        <v>1001.26</v>
      </c>
      <c r="F1474" t="s">
        <v>2816</v>
      </c>
    </row>
    <row r="1475" spans="1:6" x14ac:dyDescent="0.2">
      <c r="A1475" t="s">
        <v>2814</v>
      </c>
      <c r="B1475" t="s">
        <v>2910</v>
      </c>
      <c r="C1475">
        <v>14118184</v>
      </c>
      <c r="D1475" t="s">
        <v>237</v>
      </c>
      <c r="E1475" s="134">
        <v>1001.26</v>
      </c>
      <c r="F1475" t="s">
        <v>2816</v>
      </c>
    </row>
    <row r="1476" spans="1:6" x14ac:dyDescent="0.2">
      <c r="A1476" t="s">
        <v>2814</v>
      </c>
      <c r="B1476" t="s">
        <v>2910</v>
      </c>
      <c r="C1476">
        <v>14118627</v>
      </c>
      <c r="D1476" t="s">
        <v>204</v>
      </c>
      <c r="E1476" s="134">
        <v>1001.26</v>
      </c>
      <c r="F1476" t="s">
        <v>2816</v>
      </c>
    </row>
    <row r="1477" spans="1:6" x14ac:dyDescent="0.2">
      <c r="A1477" t="s">
        <v>2814</v>
      </c>
      <c r="B1477" t="s">
        <v>2910</v>
      </c>
      <c r="C1477">
        <v>14118660</v>
      </c>
      <c r="D1477" t="s">
        <v>206</v>
      </c>
      <c r="E1477" s="134">
        <v>1001.26</v>
      </c>
      <c r="F1477" t="s">
        <v>2816</v>
      </c>
    </row>
    <row r="1478" spans="1:6" x14ac:dyDescent="0.2">
      <c r="A1478" t="s">
        <v>2814</v>
      </c>
      <c r="B1478" t="s">
        <v>2910</v>
      </c>
      <c r="C1478">
        <v>14118849</v>
      </c>
      <c r="D1478" t="s">
        <v>216</v>
      </c>
      <c r="E1478" s="134">
        <v>1001.26</v>
      </c>
      <c r="F1478" t="s">
        <v>2816</v>
      </c>
    </row>
    <row r="1479" spans="1:6" x14ac:dyDescent="0.2">
      <c r="A1479" t="s">
        <v>2814</v>
      </c>
      <c r="B1479" t="s">
        <v>2910</v>
      </c>
      <c r="C1479">
        <v>14118889</v>
      </c>
      <c r="D1479" t="s">
        <v>218</v>
      </c>
      <c r="E1479" s="134">
        <v>1001.26</v>
      </c>
      <c r="F1479" t="s">
        <v>2816</v>
      </c>
    </row>
    <row r="1480" spans="1:6" x14ac:dyDescent="0.2">
      <c r="A1480" t="s">
        <v>2814</v>
      </c>
      <c r="B1480" t="s">
        <v>2910</v>
      </c>
      <c r="C1480">
        <v>14118892</v>
      </c>
      <c r="D1480" t="s">
        <v>219</v>
      </c>
      <c r="E1480" s="134">
        <v>1001.26</v>
      </c>
      <c r="F1480" t="s">
        <v>2816</v>
      </c>
    </row>
    <row r="1481" spans="1:6" x14ac:dyDescent="0.2">
      <c r="A1481" t="s">
        <v>2814</v>
      </c>
      <c r="B1481" t="s">
        <v>2910</v>
      </c>
      <c r="C1481">
        <v>14118893</v>
      </c>
      <c r="D1481" t="s">
        <v>220</v>
      </c>
      <c r="E1481" s="134">
        <v>1001.26</v>
      </c>
      <c r="F1481" t="s">
        <v>2816</v>
      </c>
    </row>
    <row r="1482" spans="1:6" x14ac:dyDescent="0.2">
      <c r="A1482" t="s">
        <v>2814</v>
      </c>
      <c r="B1482" t="s">
        <v>2910</v>
      </c>
      <c r="C1482">
        <v>14118956</v>
      </c>
      <c r="D1482" t="s">
        <v>222</v>
      </c>
      <c r="E1482" s="134">
        <v>1001.26</v>
      </c>
      <c r="F1482" t="s">
        <v>2816</v>
      </c>
    </row>
    <row r="1483" spans="1:6" x14ac:dyDescent="0.2">
      <c r="A1483" t="s">
        <v>2814</v>
      </c>
      <c r="B1483" t="s">
        <v>2910</v>
      </c>
      <c r="C1483">
        <v>14118957</v>
      </c>
      <c r="D1483" t="s">
        <v>223</v>
      </c>
      <c r="E1483" s="134">
        <v>1001.26</v>
      </c>
      <c r="F1483" t="s">
        <v>2816</v>
      </c>
    </row>
    <row r="1484" spans="1:6" x14ac:dyDescent="0.2">
      <c r="A1484" t="s">
        <v>2814</v>
      </c>
      <c r="B1484" t="s">
        <v>2910</v>
      </c>
      <c r="C1484">
        <v>14119076</v>
      </c>
      <c r="D1484" t="s">
        <v>230</v>
      </c>
      <c r="E1484" s="134">
        <v>1001.26</v>
      </c>
      <c r="F1484" t="s">
        <v>2816</v>
      </c>
    </row>
    <row r="1485" spans="1:6" x14ac:dyDescent="0.2">
      <c r="A1485" t="s">
        <v>2814</v>
      </c>
      <c r="B1485" t="s">
        <v>2910</v>
      </c>
      <c r="C1485">
        <v>14119155</v>
      </c>
      <c r="D1485" t="s">
        <v>233</v>
      </c>
      <c r="E1485" s="134">
        <v>1001.26</v>
      </c>
      <c r="F1485" t="s">
        <v>2816</v>
      </c>
    </row>
    <row r="1486" spans="1:6" x14ac:dyDescent="0.2">
      <c r="A1486" t="s">
        <v>2814</v>
      </c>
      <c r="B1486" t="s">
        <v>2910</v>
      </c>
      <c r="C1486">
        <v>14119482</v>
      </c>
      <c r="D1486" t="s">
        <v>247</v>
      </c>
      <c r="E1486" s="134">
        <v>1001.26</v>
      </c>
      <c r="F1486" t="s">
        <v>2816</v>
      </c>
    </row>
    <row r="1487" spans="1:6" x14ac:dyDescent="0.2">
      <c r="A1487" t="s">
        <v>2814</v>
      </c>
      <c r="B1487" t="s">
        <v>2910</v>
      </c>
      <c r="C1487">
        <v>14119517</v>
      </c>
      <c r="D1487" t="s">
        <v>251</v>
      </c>
      <c r="E1487" s="134">
        <v>1001.26</v>
      </c>
      <c r="F1487" t="s">
        <v>2816</v>
      </c>
    </row>
    <row r="1488" spans="1:6" x14ac:dyDescent="0.2">
      <c r="A1488" t="s">
        <v>2814</v>
      </c>
      <c r="B1488" t="s">
        <v>2910</v>
      </c>
      <c r="C1488">
        <v>14119701</v>
      </c>
      <c r="D1488" t="s">
        <v>256</v>
      </c>
      <c r="E1488" s="134">
        <v>1001.26</v>
      </c>
      <c r="F1488" t="s">
        <v>2816</v>
      </c>
    </row>
    <row r="1489" spans="1:6" x14ac:dyDescent="0.2">
      <c r="A1489" t="s">
        <v>2814</v>
      </c>
      <c r="B1489" t="s">
        <v>2910</v>
      </c>
      <c r="C1489">
        <v>14119751</v>
      </c>
      <c r="D1489" t="s">
        <v>257</v>
      </c>
      <c r="E1489" s="134">
        <v>1001.26</v>
      </c>
      <c r="F1489" t="s">
        <v>2816</v>
      </c>
    </row>
    <row r="1490" spans="1:6" x14ac:dyDescent="0.2">
      <c r="A1490" t="s">
        <v>2814</v>
      </c>
      <c r="B1490" t="s">
        <v>2910</v>
      </c>
      <c r="C1490">
        <v>14119785</v>
      </c>
      <c r="D1490" t="s">
        <v>258</v>
      </c>
      <c r="E1490" s="134">
        <v>1001.26</v>
      </c>
      <c r="F1490" t="s">
        <v>2816</v>
      </c>
    </row>
    <row r="1491" spans="1:6" x14ac:dyDescent="0.2">
      <c r="A1491" t="s">
        <v>2814</v>
      </c>
      <c r="B1491" t="s">
        <v>2910</v>
      </c>
      <c r="C1491">
        <v>14119787</v>
      </c>
      <c r="D1491" t="s">
        <v>260</v>
      </c>
      <c r="E1491" s="134">
        <v>1001.26</v>
      </c>
      <c r="F1491" t="s">
        <v>2816</v>
      </c>
    </row>
    <row r="1492" spans="1:6" x14ac:dyDescent="0.2">
      <c r="A1492" t="s">
        <v>2814</v>
      </c>
      <c r="B1492" t="s">
        <v>2910</v>
      </c>
      <c r="C1492">
        <v>14119837</v>
      </c>
      <c r="D1492" t="s">
        <v>264</v>
      </c>
      <c r="E1492" s="134">
        <v>1001.26</v>
      </c>
      <c r="F1492" t="s">
        <v>2816</v>
      </c>
    </row>
    <row r="1493" spans="1:6" x14ac:dyDescent="0.2">
      <c r="A1493" t="s">
        <v>2814</v>
      </c>
      <c r="B1493" t="s">
        <v>2910</v>
      </c>
      <c r="C1493">
        <v>14120041</v>
      </c>
      <c r="D1493" t="s">
        <v>272</v>
      </c>
      <c r="E1493" s="134">
        <v>1001.26</v>
      </c>
      <c r="F1493" t="s">
        <v>2816</v>
      </c>
    </row>
    <row r="1494" spans="1:6" x14ac:dyDescent="0.2">
      <c r="A1494" t="s">
        <v>2814</v>
      </c>
      <c r="B1494" t="s">
        <v>2910</v>
      </c>
      <c r="C1494">
        <v>14120044</v>
      </c>
      <c r="D1494" t="s">
        <v>273</v>
      </c>
      <c r="E1494" s="134">
        <v>1001.26</v>
      </c>
      <c r="F1494" t="s">
        <v>2816</v>
      </c>
    </row>
    <row r="1495" spans="1:6" x14ac:dyDescent="0.2">
      <c r="A1495" t="s">
        <v>2814</v>
      </c>
      <c r="B1495" t="s">
        <v>2910</v>
      </c>
      <c r="C1495">
        <v>14120106</v>
      </c>
      <c r="D1495" t="s">
        <v>277</v>
      </c>
      <c r="E1495" s="134">
        <v>1001.26</v>
      </c>
      <c r="F1495" t="s">
        <v>2816</v>
      </c>
    </row>
    <row r="1496" spans="1:6" x14ac:dyDescent="0.2">
      <c r="A1496" t="s">
        <v>2814</v>
      </c>
      <c r="B1496" t="s">
        <v>2910</v>
      </c>
      <c r="C1496">
        <v>14120121</v>
      </c>
      <c r="D1496" t="s">
        <v>278</v>
      </c>
      <c r="E1496" s="134">
        <v>1001.26</v>
      </c>
      <c r="F1496" t="s">
        <v>2816</v>
      </c>
    </row>
    <row r="1497" spans="1:6" x14ac:dyDescent="0.2">
      <c r="A1497" t="s">
        <v>2814</v>
      </c>
      <c r="B1497" t="s">
        <v>2910</v>
      </c>
      <c r="C1497">
        <v>14103700</v>
      </c>
      <c r="D1497" t="s">
        <v>910</v>
      </c>
      <c r="E1497" s="134">
        <v>1042.6600000000001</v>
      </c>
      <c r="F1497" t="s">
        <v>2816</v>
      </c>
    </row>
    <row r="1498" spans="1:6" x14ac:dyDescent="0.2">
      <c r="A1498" t="s">
        <v>2814</v>
      </c>
      <c r="B1498" t="s">
        <v>2910</v>
      </c>
      <c r="C1498">
        <v>14109275</v>
      </c>
      <c r="D1498" t="s">
        <v>912</v>
      </c>
      <c r="E1498" s="134">
        <v>1042.6600000000001</v>
      </c>
      <c r="F1498" t="s">
        <v>2816</v>
      </c>
    </row>
    <row r="1499" spans="1:6" x14ac:dyDescent="0.2">
      <c r="A1499" t="s">
        <v>2814</v>
      </c>
      <c r="B1499" t="s">
        <v>2910</v>
      </c>
      <c r="C1499">
        <v>14100787</v>
      </c>
      <c r="D1499" t="s">
        <v>20</v>
      </c>
      <c r="E1499" s="134">
        <v>1042.6600000000001</v>
      </c>
      <c r="F1499" t="s">
        <v>2816</v>
      </c>
    </row>
    <row r="1500" spans="1:6" x14ac:dyDescent="0.2">
      <c r="A1500" t="s">
        <v>2814</v>
      </c>
      <c r="B1500" t="s">
        <v>2910</v>
      </c>
      <c r="C1500">
        <v>14100807</v>
      </c>
      <c r="D1500" t="s">
        <v>23</v>
      </c>
      <c r="E1500" s="134">
        <v>1042.6600000000001</v>
      </c>
      <c r="F1500" t="s">
        <v>2816</v>
      </c>
    </row>
    <row r="1501" spans="1:6" x14ac:dyDescent="0.2">
      <c r="A1501" t="s">
        <v>2814</v>
      </c>
      <c r="B1501" t="s">
        <v>2910</v>
      </c>
      <c r="C1501">
        <v>14101881</v>
      </c>
      <c r="D1501" t="s">
        <v>26</v>
      </c>
      <c r="E1501" s="134">
        <v>1042.6600000000001</v>
      </c>
      <c r="F1501" t="s">
        <v>2816</v>
      </c>
    </row>
    <row r="1502" spans="1:6" x14ac:dyDescent="0.2">
      <c r="A1502" t="s">
        <v>2814</v>
      </c>
      <c r="B1502" t="s">
        <v>2910</v>
      </c>
      <c r="C1502">
        <v>14103679</v>
      </c>
      <c r="D1502" t="s">
        <v>37</v>
      </c>
      <c r="E1502" s="134">
        <v>1042.6600000000001</v>
      </c>
      <c r="F1502" t="s">
        <v>2816</v>
      </c>
    </row>
    <row r="1503" spans="1:6" x14ac:dyDescent="0.2">
      <c r="A1503" t="s">
        <v>2814</v>
      </c>
      <c r="B1503" t="s">
        <v>2910</v>
      </c>
      <c r="C1503">
        <v>14104315</v>
      </c>
      <c r="D1503" t="s">
        <v>328</v>
      </c>
      <c r="E1503" s="134">
        <v>1042.6600000000001</v>
      </c>
      <c r="F1503" t="s">
        <v>2816</v>
      </c>
    </row>
    <row r="1504" spans="1:6" x14ac:dyDescent="0.2">
      <c r="A1504" t="s">
        <v>2814</v>
      </c>
      <c r="B1504" t="s">
        <v>2910</v>
      </c>
      <c r="C1504">
        <v>14104316</v>
      </c>
      <c r="D1504" t="s">
        <v>39</v>
      </c>
      <c r="E1504" s="134">
        <v>1042.6600000000001</v>
      </c>
      <c r="F1504" t="s">
        <v>2816</v>
      </c>
    </row>
    <row r="1505" spans="1:6" x14ac:dyDescent="0.2">
      <c r="A1505" t="s">
        <v>2814</v>
      </c>
      <c r="B1505" t="s">
        <v>2910</v>
      </c>
      <c r="C1505">
        <v>14104599</v>
      </c>
      <c r="D1505" t="s">
        <v>40</v>
      </c>
      <c r="E1505" s="134">
        <v>1042.6600000000001</v>
      </c>
      <c r="F1505" t="s">
        <v>2816</v>
      </c>
    </row>
    <row r="1506" spans="1:6" x14ac:dyDescent="0.2">
      <c r="A1506" t="s">
        <v>2814</v>
      </c>
      <c r="B1506" t="s">
        <v>2910</v>
      </c>
      <c r="C1506">
        <v>14105586</v>
      </c>
      <c r="D1506" t="s">
        <v>46</v>
      </c>
      <c r="E1506" s="134">
        <v>1042.6600000000001</v>
      </c>
      <c r="F1506" t="s">
        <v>2816</v>
      </c>
    </row>
    <row r="1507" spans="1:6" x14ac:dyDescent="0.2">
      <c r="A1507" t="s">
        <v>2814</v>
      </c>
      <c r="B1507" t="s">
        <v>2910</v>
      </c>
      <c r="C1507">
        <v>14106368</v>
      </c>
      <c r="D1507" t="s">
        <v>50</v>
      </c>
      <c r="E1507" s="134">
        <v>1042.6600000000001</v>
      </c>
      <c r="F1507" t="s">
        <v>2816</v>
      </c>
    </row>
    <row r="1508" spans="1:6" x14ac:dyDescent="0.2">
      <c r="A1508" t="s">
        <v>2814</v>
      </c>
      <c r="B1508" t="s">
        <v>2910</v>
      </c>
      <c r="C1508">
        <v>14106949</v>
      </c>
      <c r="D1508" t="s">
        <v>53</v>
      </c>
      <c r="E1508" s="134">
        <v>1042.6600000000001</v>
      </c>
      <c r="F1508" t="s">
        <v>2816</v>
      </c>
    </row>
    <row r="1509" spans="1:6" x14ac:dyDescent="0.2">
      <c r="A1509" t="s">
        <v>2814</v>
      </c>
      <c r="B1509" t="s">
        <v>2910</v>
      </c>
      <c r="C1509">
        <v>14106980</v>
      </c>
      <c r="D1509" t="s">
        <v>54</v>
      </c>
      <c r="E1509" s="134">
        <v>1042.6600000000001</v>
      </c>
      <c r="F1509" t="s">
        <v>2816</v>
      </c>
    </row>
    <row r="1510" spans="1:6" x14ac:dyDescent="0.2">
      <c r="A1510" t="s">
        <v>2814</v>
      </c>
      <c r="B1510" t="s">
        <v>2910</v>
      </c>
      <c r="C1510">
        <v>14107293</v>
      </c>
      <c r="D1510" t="s">
        <v>191</v>
      </c>
      <c r="E1510" s="134">
        <v>1042.6600000000001</v>
      </c>
      <c r="F1510" t="s">
        <v>2816</v>
      </c>
    </row>
    <row r="1511" spans="1:6" x14ac:dyDescent="0.2">
      <c r="A1511" t="s">
        <v>2814</v>
      </c>
      <c r="B1511" t="s">
        <v>2910</v>
      </c>
      <c r="C1511">
        <v>14107552</v>
      </c>
      <c r="D1511" t="s">
        <v>63</v>
      </c>
      <c r="E1511" s="134">
        <v>1042.6600000000001</v>
      </c>
      <c r="F1511" t="s">
        <v>2816</v>
      </c>
    </row>
    <row r="1512" spans="1:6" x14ac:dyDescent="0.2">
      <c r="A1512" t="s">
        <v>2814</v>
      </c>
      <c r="B1512" t="s">
        <v>2910</v>
      </c>
      <c r="C1512">
        <v>14107735</v>
      </c>
      <c r="D1512" t="s">
        <v>64</v>
      </c>
      <c r="E1512" s="134">
        <v>1042.6600000000001</v>
      </c>
      <c r="F1512" t="s">
        <v>2816</v>
      </c>
    </row>
    <row r="1513" spans="1:6" x14ac:dyDescent="0.2">
      <c r="A1513" t="s">
        <v>2814</v>
      </c>
      <c r="B1513" t="s">
        <v>2910</v>
      </c>
      <c r="C1513">
        <v>14107754</v>
      </c>
      <c r="D1513" t="s">
        <v>65</v>
      </c>
      <c r="E1513" s="134">
        <v>1042.6600000000001</v>
      </c>
      <c r="F1513" t="s">
        <v>2816</v>
      </c>
    </row>
    <row r="1514" spans="1:6" x14ac:dyDescent="0.2">
      <c r="A1514" t="s">
        <v>2814</v>
      </c>
      <c r="B1514" t="s">
        <v>2910</v>
      </c>
      <c r="C1514">
        <v>14108267</v>
      </c>
      <c r="D1514" t="s">
        <v>72</v>
      </c>
      <c r="E1514" s="134">
        <v>1042.6600000000001</v>
      </c>
      <c r="F1514" t="s">
        <v>2816</v>
      </c>
    </row>
    <row r="1515" spans="1:6" x14ac:dyDescent="0.2">
      <c r="A1515" t="s">
        <v>2814</v>
      </c>
      <c r="B1515" t="s">
        <v>2910</v>
      </c>
      <c r="C1515">
        <v>14109097</v>
      </c>
      <c r="D1515" t="s">
        <v>81</v>
      </c>
      <c r="E1515" s="134">
        <v>1042.6600000000001</v>
      </c>
      <c r="F1515" t="s">
        <v>2816</v>
      </c>
    </row>
    <row r="1516" spans="1:6" x14ac:dyDescent="0.2">
      <c r="A1516" t="s">
        <v>2814</v>
      </c>
      <c r="B1516" t="s">
        <v>2910</v>
      </c>
      <c r="C1516">
        <v>14109131</v>
      </c>
      <c r="D1516" t="s">
        <v>82</v>
      </c>
      <c r="E1516" s="134">
        <v>1042.6600000000001</v>
      </c>
      <c r="F1516" t="s">
        <v>2816</v>
      </c>
    </row>
    <row r="1517" spans="1:6" x14ac:dyDescent="0.2">
      <c r="A1517" t="s">
        <v>2814</v>
      </c>
      <c r="B1517" t="s">
        <v>2910</v>
      </c>
      <c r="C1517">
        <v>14109133</v>
      </c>
      <c r="D1517" t="s">
        <v>83</v>
      </c>
      <c r="E1517" s="134">
        <v>1042.6600000000001</v>
      </c>
      <c r="F1517" t="s">
        <v>2816</v>
      </c>
    </row>
    <row r="1518" spans="1:6" x14ac:dyDescent="0.2">
      <c r="A1518" t="s">
        <v>2814</v>
      </c>
      <c r="B1518" t="s">
        <v>2910</v>
      </c>
      <c r="C1518">
        <v>14109674</v>
      </c>
      <c r="D1518" t="s">
        <v>90</v>
      </c>
      <c r="E1518" s="134">
        <v>1042.6600000000001</v>
      </c>
      <c r="F1518" t="s">
        <v>2816</v>
      </c>
    </row>
    <row r="1519" spans="1:6" x14ac:dyDescent="0.2">
      <c r="A1519" t="s">
        <v>2814</v>
      </c>
      <c r="B1519" t="s">
        <v>2910</v>
      </c>
      <c r="C1519">
        <v>14109707</v>
      </c>
      <c r="D1519" t="s">
        <v>92</v>
      </c>
      <c r="E1519" s="134">
        <v>1042.6600000000001</v>
      </c>
      <c r="F1519" t="s">
        <v>2816</v>
      </c>
    </row>
    <row r="1520" spans="1:6" x14ac:dyDescent="0.2">
      <c r="A1520" t="s">
        <v>2814</v>
      </c>
      <c r="B1520" t="s">
        <v>2910</v>
      </c>
      <c r="C1520">
        <v>14110039</v>
      </c>
      <c r="D1520" t="s">
        <v>98</v>
      </c>
      <c r="E1520" s="134">
        <v>1042.6600000000001</v>
      </c>
      <c r="F1520" t="s">
        <v>2816</v>
      </c>
    </row>
    <row r="1521" spans="1:6" x14ac:dyDescent="0.2">
      <c r="A1521" t="s">
        <v>2814</v>
      </c>
      <c r="B1521" t="s">
        <v>2910</v>
      </c>
      <c r="C1521">
        <v>14110040</v>
      </c>
      <c r="D1521" t="s">
        <v>99</v>
      </c>
      <c r="E1521" s="134">
        <v>1042.6600000000001</v>
      </c>
      <c r="F1521" t="s">
        <v>2816</v>
      </c>
    </row>
    <row r="1522" spans="1:6" x14ac:dyDescent="0.2">
      <c r="A1522" t="s">
        <v>2814</v>
      </c>
      <c r="B1522" t="s">
        <v>2910</v>
      </c>
      <c r="C1522">
        <v>14110042</v>
      </c>
      <c r="D1522" t="s">
        <v>329</v>
      </c>
      <c r="E1522" s="134">
        <v>1042.6600000000001</v>
      </c>
      <c r="F1522" t="s">
        <v>2816</v>
      </c>
    </row>
    <row r="1523" spans="1:6" x14ac:dyDescent="0.2">
      <c r="A1523" t="s">
        <v>2814</v>
      </c>
      <c r="B1523" t="s">
        <v>2910</v>
      </c>
      <c r="C1523">
        <v>14110465</v>
      </c>
      <c r="D1523" t="s">
        <v>102</v>
      </c>
      <c r="E1523" s="134">
        <v>1042.6600000000001</v>
      </c>
      <c r="F1523" t="s">
        <v>2816</v>
      </c>
    </row>
    <row r="1524" spans="1:6" x14ac:dyDescent="0.2">
      <c r="A1524" t="s">
        <v>2814</v>
      </c>
      <c r="B1524" t="s">
        <v>2910</v>
      </c>
      <c r="C1524">
        <v>14110512</v>
      </c>
      <c r="D1524" t="s">
        <v>183</v>
      </c>
      <c r="E1524" s="134">
        <v>1042.6600000000001</v>
      </c>
      <c r="F1524" t="s">
        <v>2816</v>
      </c>
    </row>
    <row r="1525" spans="1:6" x14ac:dyDescent="0.2">
      <c r="A1525" t="s">
        <v>2814</v>
      </c>
      <c r="B1525" t="s">
        <v>2910</v>
      </c>
      <c r="C1525">
        <v>14111143</v>
      </c>
      <c r="D1525" t="s">
        <v>109</v>
      </c>
      <c r="E1525" s="134">
        <v>1042.6600000000001</v>
      </c>
      <c r="F1525" t="s">
        <v>2816</v>
      </c>
    </row>
    <row r="1526" spans="1:6" x14ac:dyDescent="0.2">
      <c r="A1526" t="s">
        <v>2814</v>
      </c>
      <c r="B1526" t="s">
        <v>2910</v>
      </c>
      <c r="C1526">
        <v>14111266</v>
      </c>
      <c r="D1526" t="s">
        <v>110</v>
      </c>
      <c r="E1526" s="134">
        <v>1042.6600000000001</v>
      </c>
      <c r="F1526" t="s">
        <v>2816</v>
      </c>
    </row>
    <row r="1527" spans="1:6" x14ac:dyDescent="0.2">
      <c r="A1527" t="s">
        <v>2814</v>
      </c>
      <c r="B1527" t="s">
        <v>2910</v>
      </c>
      <c r="C1527">
        <v>14112174</v>
      </c>
      <c r="D1527" t="s">
        <v>114</v>
      </c>
      <c r="E1527" s="134">
        <v>1042.6600000000001</v>
      </c>
      <c r="F1527" t="s">
        <v>2816</v>
      </c>
    </row>
    <row r="1528" spans="1:6" x14ac:dyDescent="0.2">
      <c r="A1528" t="s">
        <v>2814</v>
      </c>
      <c r="B1528" t="s">
        <v>2910</v>
      </c>
      <c r="C1528">
        <v>14112292</v>
      </c>
      <c r="D1528" t="s">
        <v>190</v>
      </c>
      <c r="E1528" s="134">
        <v>1042.6600000000001</v>
      </c>
      <c r="F1528" t="s">
        <v>2816</v>
      </c>
    </row>
    <row r="1529" spans="1:6" x14ac:dyDescent="0.2">
      <c r="A1529" t="s">
        <v>2814</v>
      </c>
      <c r="B1529" t="s">
        <v>2910</v>
      </c>
      <c r="C1529">
        <v>14112591</v>
      </c>
      <c r="D1529" t="s">
        <v>115</v>
      </c>
      <c r="E1529" s="134">
        <v>1042.6600000000001</v>
      </c>
      <c r="F1529" t="s">
        <v>2816</v>
      </c>
    </row>
    <row r="1530" spans="1:6" x14ac:dyDescent="0.2">
      <c r="A1530" t="s">
        <v>2814</v>
      </c>
      <c r="B1530" t="s">
        <v>2910</v>
      </c>
      <c r="C1530">
        <v>14112602</v>
      </c>
      <c r="D1530" t="s">
        <v>118</v>
      </c>
      <c r="E1530" s="134">
        <v>1042.6600000000001</v>
      </c>
      <c r="F1530" t="s">
        <v>2816</v>
      </c>
    </row>
    <row r="1531" spans="1:6" x14ac:dyDescent="0.2">
      <c r="A1531" t="s">
        <v>2814</v>
      </c>
      <c r="B1531" t="s">
        <v>2910</v>
      </c>
      <c r="C1531">
        <v>14112603</v>
      </c>
      <c r="D1531" t="s">
        <v>119</v>
      </c>
      <c r="E1531" s="134">
        <v>1042.6600000000001</v>
      </c>
      <c r="F1531" t="s">
        <v>2816</v>
      </c>
    </row>
    <row r="1532" spans="1:6" x14ac:dyDescent="0.2">
      <c r="A1532" t="s">
        <v>2814</v>
      </c>
      <c r="B1532" t="s">
        <v>2910</v>
      </c>
      <c r="C1532">
        <v>14112605</v>
      </c>
      <c r="D1532" t="s">
        <v>120</v>
      </c>
      <c r="E1532" s="134">
        <v>1042.6600000000001</v>
      </c>
      <c r="F1532" t="s">
        <v>2816</v>
      </c>
    </row>
    <row r="1533" spans="1:6" x14ac:dyDescent="0.2">
      <c r="A1533" t="s">
        <v>2814</v>
      </c>
      <c r="B1533" t="s">
        <v>2910</v>
      </c>
      <c r="C1533">
        <v>14112630</v>
      </c>
      <c r="D1533" t="s">
        <v>121</v>
      </c>
      <c r="E1533" s="134">
        <v>1042.6600000000001</v>
      </c>
      <c r="F1533" t="s">
        <v>2816</v>
      </c>
    </row>
    <row r="1534" spans="1:6" x14ac:dyDescent="0.2">
      <c r="A1534" t="s">
        <v>2814</v>
      </c>
      <c r="B1534" t="s">
        <v>2910</v>
      </c>
      <c r="C1534">
        <v>14112757</v>
      </c>
      <c r="D1534" t="s">
        <v>348</v>
      </c>
      <c r="E1534" s="134">
        <v>1042.6600000000001</v>
      </c>
      <c r="F1534" t="s">
        <v>2816</v>
      </c>
    </row>
    <row r="1535" spans="1:6" x14ac:dyDescent="0.2">
      <c r="A1535" t="s">
        <v>2814</v>
      </c>
      <c r="B1535" t="s">
        <v>2910</v>
      </c>
      <c r="C1535">
        <v>14113054</v>
      </c>
      <c r="D1535" t="s">
        <v>122</v>
      </c>
      <c r="E1535" s="134">
        <v>1042.6600000000001</v>
      </c>
      <c r="F1535" t="s">
        <v>2816</v>
      </c>
    </row>
    <row r="1536" spans="1:6" x14ac:dyDescent="0.2">
      <c r="A1536" t="s">
        <v>2814</v>
      </c>
      <c r="B1536" t="s">
        <v>2910</v>
      </c>
      <c r="C1536">
        <v>14113140</v>
      </c>
      <c r="D1536" t="s">
        <v>123</v>
      </c>
      <c r="E1536" s="134">
        <v>1042.6600000000001</v>
      </c>
      <c r="F1536" t="s">
        <v>2816</v>
      </c>
    </row>
    <row r="1537" spans="1:6" x14ac:dyDescent="0.2">
      <c r="A1537" t="s">
        <v>2814</v>
      </c>
      <c r="B1537" t="s">
        <v>2910</v>
      </c>
      <c r="C1537">
        <v>14113562</v>
      </c>
      <c r="D1537" t="s">
        <v>393</v>
      </c>
      <c r="E1537" s="134">
        <v>1042.6600000000001</v>
      </c>
      <c r="F1537" t="s">
        <v>2816</v>
      </c>
    </row>
    <row r="1538" spans="1:6" x14ac:dyDescent="0.2">
      <c r="A1538" t="s">
        <v>2814</v>
      </c>
      <c r="B1538" t="s">
        <v>2910</v>
      </c>
      <c r="C1538">
        <v>14114030</v>
      </c>
      <c r="D1538" t="s">
        <v>132</v>
      </c>
      <c r="E1538" s="134">
        <v>1042.6600000000001</v>
      </c>
      <c r="F1538" t="s">
        <v>2816</v>
      </c>
    </row>
    <row r="1539" spans="1:6" x14ac:dyDescent="0.2">
      <c r="A1539" t="s">
        <v>2814</v>
      </c>
      <c r="B1539" t="s">
        <v>2910</v>
      </c>
      <c r="C1539">
        <v>14114062</v>
      </c>
      <c r="D1539" t="s">
        <v>133</v>
      </c>
      <c r="E1539" s="134">
        <v>1042.6600000000001</v>
      </c>
      <c r="F1539" t="s">
        <v>2816</v>
      </c>
    </row>
    <row r="1540" spans="1:6" x14ac:dyDescent="0.2">
      <c r="A1540" t="s">
        <v>2814</v>
      </c>
      <c r="B1540" t="s">
        <v>2910</v>
      </c>
      <c r="C1540">
        <v>14114324</v>
      </c>
      <c r="D1540" t="s">
        <v>341</v>
      </c>
      <c r="E1540" s="134">
        <v>1042.6600000000001</v>
      </c>
      <c r="F1540" t="s">
        <v>2816</v>
      </c>
    </row>
    <row r="1541" spans="1:6" x14ac:dyDescent="0.2">
      <c r="A1541" t="s">
        <v>2814</v>
      </c>
      <c r="B1541" t="s">
        <v>2910</v>
      </c>
      <c r="C1541">
        <v>14114665</v>
      </c>
      <c r="D1541" t="s">
        <v>136</v>
      </c>
      <c r="E1541" s="134">
        <v>1042.6600000000001</v>
      </c>
      <c r="F1541" t="s">
        <v>2816</v>
      </c>
    </row>
    <row r="1542" spans="1:6" x14ac:dyDescent="0.2">
      <c r="A1542" t="s">
        <v>2814</v>
      </c>
      <c r="B1542" t="s">
        <v>2910</v>
      </c>
      <c r="C1542">
        <v>14115136</v>
      </c>
      <c r="D1542" t="s">
        <v>140</v>
      </c>
      <c r="E1542" s="134">
        <v>1042.6600000000001</v>
      </c>
      <c r="F1542" t="s">
        <v>2816</v>
      </c>
    </row>
    <row r="1543" spans="1:6" x14ac:dyDescent="0.2">
      <c r="A1543" t="s">
        <v>2814</v>
      </c>
      <c r="B1543" t="s">
        <v>2910</v>
      </c>
      <c r="C1543">
        <v>14115630</v>
      </c>
      <c r="D1543" t="s">
        <v>146</v>
      </c>
      <c r="E1543" s="134">
        <v>1042.6600000000001</v>
      </c>
      <c r="F1543" t="s">
        <v>2816</v>
      </c>
    </row>
    <row r="1544" spans="1:6" x14ac:dyDescent="0.2">
      <c r="A1544" t="s">
        <v>2814</v>
      </c>
      <c r="B1544" t="s">
        <v>2910</v>
      </c>
      <c r="C1544">
        <v>14115909</v>
      </c>
      <c r="D1544" t="s">
        <v>335</v>
      </c>
      <c r="E1544" s="134">
        <v>1042.6600000000001</v>
      </c>
      <c r="F1544" t="s">
        <v>2816</v>
      </c>
    </row>
    <row r="1545" spans="1:6" x14ac:dyDescent="0.2">
      <c r="A1545" t="s">
        <v>2814</v>
      </c>
      <c r="B1545" t="s">
        <v>2910</v>
      </c>
      <c r="C1545">
        <v>14116600</v>
      </c>
      <c r="D1545" t="s">
        <v>167</v>
      </c>
      <c r="E1545" s="134">
        <v>1042.6600000000001</v>
      </c>
      <c r="F1545" t="s">
        <v>2816</v>
      </c>
    </row>
    <row r="1546" spans="1:6" x14ac:dyDescent="0.2">
      <c r="A1546" t="s">
        <v>2814</v>
      </c>
      <c r="B1546" t="s">
        <v>2910</v>
      </c>
      <c r="C1546">
        <v>14116917</v>
      </c>
      <c r="D1546" t="s">
        <v>171</v>
      </c>
      <c r="E1546" s="134">
        <v>1042.6600000000001</v>
      </c>
      <c r="F1546" t="s">
        <v>2816</v>
      </c>
    </row>
    <row r="1547" spans="1:6" x14ac:dyDescent="0.2">
      <c r="A1547" t="s">
        <v>2814</v>
      </c>
      <c r="B1547" t="s">
        <v>2910</v>
      </c>
      <c r="C1547">
        <v>14116929</v>
      </c>
      <c r="D1547" t="s">
        <v>366</v>
      </c>
      <c r="E1547" s="134">
        <v>1042.6600000000001</v>
      </c>
      <c r="F1547" t="s">
        <v>2816</v>
      </c>
    </row>
    <row r="1548" spans="1:6" x14ac:dyDescent="0.2">
      <c r="A1548" t="s">
        <v>2814</v>
      </c>
      <c r="B1548" t="s">
        <v>2910</v>
      </c>
      <c r="C1548">
        <v>14117160</v>
      </c>
      <c r="D1548" t="s">
        <v>173</v>
      </c>
      <c r="E1548" s="134">
        <v>1042.6600000000001</v>
      </c>
      <c r="F1548" t="s">
        <v>2816</v>
      </c>
    </row>
    <row r="1549" spans="1:6" x14ac:dyDescent="0.2">
      <c r="A1549" t="s">
        <v>2814</v>
      </c>
      <c r="B1549" t="s">
        <v>2910</v>
      </c>
      <c r="C1549">
        <v>14117967</v>
      </c>
      <c r="D1549" t="s">
        <v>182</v>
      </c>
      <c r="E1549" s="134">
        <v>1042.6600000000001</v>
      </c>
      <c r="F1549" t="s">
        <v>2816</v>
      </c>
    </row>
    <row r="1550" spans="1:6" x14ac:dyDescent="0.2">
      <c r="A1550" t="s">
        <v>2814</v>
      </c>
      <c r="B1550" t="s">
        <v>2910</v>
      </c>
      <c r="C1550">
        <v>14121582</v>
      </c>
      <c r="D1550" t="s">
        <v>337</v>
      </c>
      <c r="E1550" s="134">
        <v>1042.6600000000001</v>
      </c>
      <c r="F1550" t="s">
        <v>2816</v>
      </c>
    </row>
    <row r="1551" spans="1:6" x14ac:dyDescent="0.2">
      <c r="A1551" t="s">
        <v>2814</v>
      </c>
      <c r="B1551" t="s">
        <v>2910</v>
      </c>
      <c r="C1551">
        <v>14121766</v>
      </c>
      <c r="D1551" t="s">
        <v>351</v>
      </c>
      <c r="E1551" s="134">
        <v>1042.6600000000001</v>
      </c>
      <c r="F1551" t="s">
        <v>2816</v>
      </c>
    </row>
    <row r="1552" spans="1:6" x14ac:dyDescent="0.2">
      <c r="A1552" t="s">
        <v>2814</v>
      </c>
      <c r="B1552" t="s">
        <v>2910</v>
      </c>
      <c r="C1552">
        <v>14122034</v>
      </c>
      <c r="D1552" t="s">
        <v>372</v>
      </c>
      <c r="E1552" s="134">
        <v>1042.6600000000001</v>
      </c>
      <c r="F1552" t="s">
        <v>2816</v>
      </c>
    </row>
    <row r="1553" spans="1:6" x14ac:dyDescent="0.2">
      <c r="A1553" t="s">
        <v>2814</v>
      </c>
      <c r="B1553" t="s">
        <v>2910</v>
      </c>
      <c r="C1553">
        <v>14122083</v>
      </c>
      <c r="D1553" t="s">
        <v>378</v>
      </c>
      <c r="E1553" s="134">
        <v>1042.6600000000001</v>
      </c>
      <c r="F1553" t="s">
        <v>2816</v>
      </c>
    </row>
    <row r="1554" spans="1:6" x14ac:dyDescent="0.2">
      <c r="A1554" t="s">
        <v>2814</v>
      </c>
      <c r="B1554" t="s">
        <v>2921</v>
      </c>
      <c r="C1554">
        <v>16123865</v>
      </c>
      <c r="D1554" t="s">
        <v>2902</v>
      </c>
      <c r="E1554" s="134">
        <v>852.5</v>
      </c>
      <c r="F1554" t="s">
        <v>2816</v>
      </c>
    </row>
    <row r="1555" spans="1:6" x14ac:dyDescent="0.2">
      <c r="A1555" t="s">
        <v>2814</v>
      </c>
      <c r="B1555" t="s">
        <v>2921</v>
      </c>
      <c r="C1555">
        <v>14121821</v>
      </c>
      <c r="D1555" t="s">
        <v>357</v>
      </c>
      <c r="E1555" s="134">
        <v>966.02</v>
      </c>
      <c r="F1555" t="s">
        <v>2816</v>
      </c>
    </row>
    <row r="1556" spans="1:6" x14ac:dyDescent="0.2">
      <c r="A1556" t="s">
        <v>2814</v>
      </c>
      <c r="B1556" t="s">
        <v>2921</v>
      </c>
      <c r="C1556">
        <v>14122096</v>
      </c>
      <c r="D1556" t="s">
        <v>381</v>
      </c>
      <c r="E1556" s="134">
        <v>966.02</v>
      </c>
      <c r="F1556" t="s">
        <v>2816</v>
      </c>
    </row>
    <row r="1557" spans="1:6" x14ac:dyDescent="0.2">
      <c r="A1557" t="s">
        <v>2814</v>
      </c>
      <c r="B1557" t="s">
        <v>2921</v>
      </c>
      <c r="C1557">
        <v>14117509</v>
      </c>
      <c r="D1557" t="s">
        <v>235</v>
      </c>
      <c r="E1557" s="134">
        <v>1001.26</v>
      </c>
      <c r="F1557" t="s">
        <v>2816</v>
      </c>
    </row>
    <row r="1558" spans="1:6" x14ac:dyDescent="0.2">
      <c r="A1558" t="s">
        <v>2814</v>
      </c>
      <c r="B1558" t="s">
        <v>2922</v>
      </c>
      <c r="C1558">
        <v>14100716</v>
      </c>
      <c r="D1558" t="s">
        <v>7</v>
      </c>
      <c r="E1558" s="134">
        <v>41.66</v>
      </c>
      <c r="F1558" t="s">
        <v>2816</v>
      </c>
    </row>
    <row r="1559" spans="1:6" x14ac:dyDescent="0.2">
      <c r="A1559" t="s">
        <v>2814</v>
      </c>
      <c r="B1559" t="s">
        <v>2922</v>
      </c>
      <c r="C1559">
        <v>14106035</v>
      </c>
      <c r="D1559" t="s">
        <v>48</v>
      </c>
      <c r="E1559" s="134">
        <v>41.66</v>
      </c>
      <c r="F1559" t="s">
        <v>2816</v>
      </c>
    </row>
    <row r="1560" spans="1:6" x14ac:dyDescent="0.2">
      <c r="A1560" t="s">
        <v>2814</v>
      </c>
      <c r="B1560" t="s">
        <v>2922</v>
      </c>
      <c r="C1560">
        <v>14106270</v>
      </c>
      <c r="D1560" t="s">
        <v>2923</v>
      </c>
      <c r="E1560" s="134">
        <v>30.44</v>
      </c>
      <c r="F1560" t="s">
        <v>2816</v>
      </c>
    </row>
    <row r="1561" spans="1:6" x14ac:dyDescent="0.2">
      <c r="A1561" t="s">
        <v>2814</v>
      </c>
      <c r="B1561" t="s">
        <v>2922</v>
      </c>
      <c r="C1561">
        <v>16101311</v>
      </c>
      <c r="D1561" t="s">
        <v>2924</v>
      </c>
      <c r="E1561" s="134">
        <v>36.96</v>
      </c>
      <c r="F1561" t="s">
        <v>2816</v>
      </c>
    </row>
    <row r="1562" spans="1:6" x14ac:dyDescent="0.2">
      <c r="A1562" t="s">
        <v>2814</v>
      </c>
      <c r="B1562" t="s">
        <v>2922</v>
      </c>
      <c r="C1562">
        <v>14118625</v>
      </c>
      <c r="D1562" t="s">
        <v>422</v>
      </c>
      <c r="E1562" s="134">
        <v>31.04</v>
      </c>
      <c r="F1562" t="s">
        <v>2816</v>
      </c>
    </row>
    <row r="1563" spans="1:6" x14ac:dyDescent="0.2">
      <c r="A1563" t="s">
        <v>2814</v>
      </c>
      <c r="B1563" t="s">
        <v>2922</v>
      </c>
      <c r="C1563">
        <v>14122681</v>
      </c>
      <c r="D1563" t="s">
        <v>433</v>
      </c>
      <c r="E1563" s="134">
        <v>31.04</v>
      </c>
      <c r="F1563" t="s">
        <v>2816</v>
      </c>
    </row>
    <row r="1564" spans="1:6" x14ac:dyDescent="0.2">
      <c r="A1564" t="s">
        <v>2814</v>
      </c>
      <c r="B1564" t="s">
        <v>2922</v>
      </c>
      <c r="C1564">
        <v>14122682</v>
      </c>
      <c r="D1564" t="s">
        <v>434</v>
      </c>
      <c r="E1564" s="134">
        <v>31.04</v>
      </c>
      <c r="F1564" t="s">
        <v>2816</v>
      </c>
    </row>
    <row r="1565" spans="1:6" x14ac:dyDescent="0.2">
      <c r="A1565" t="s">
        <v>2814</v>
      </c>
      <c r="B1565" t="s">
        <v>2922</v>
      </c>
      <c r="C1565">
        <v>14122706</v>
      </c>
      <c r="D1565" t="s">
        <v>438</v>
      </c>
      <c r="E1565" s="134">
        <v>31.04</v>
      </c>
      <c r="F1565" t="s">
        <v>2816</v>
      </c>
    </row>
    <row r="1566" spans="1:6" x14ac:dyDescent="0.2">
      <c r="A1566" t="s">
        <v>2814</v>
      </c>
      <c r="B1566" t="s">
        <v>2922</v>
      </c>
      <c r="C1566">
        <v>14122708</v>
      </c>
      <c r="D1566" t="s">
        <v>440</v>
      </c>
      <c r="E1566" s="134">
        <v>31.04</v>
      </c>
      <c r="F1566" t="s">
        <v>2816</v>
      </c>
    </row>
    <row r="1567" spans="1:6" x14ac:dyDescent="0.2">
      <c r="A1567" t="s">
        <v>2814</v>
      </c>
      <c r="B1567" t="s">
        <v>2922</v>
      </c>
      <c r="C1567">
        <v>14122994</v>
      </c>
      <c r="D1567" t="s">
        <v>467</v>
      </c>
      <c r="E1567" s="134">
        <v>31.04</v>
      </c>
      <c r="F1567" t="s">
        <v>2816</v>
      </c>
    </row>
    <row r="1568" spans="1:6" x14ac:dyDescent="0.2">
      <c r="A1568" t="s">
        <v>2814</v>
      </c>
      <c r="B1568" t="s">
        <v>2922</v>
      </c>
      <c r="C1568">
        <v>14123082</v>
      </c>
      <c r="D1568" t="s">
        <v>477</v>
      </c>
      <c r="E1568" s="134">
        <v>31.04</v>
      </c>
      <c r="F1568" t="s">
        <v>2816</v>
      </c>
    </row>
    <row r="1569" spans="1:6" x14ac:dyDescent="0.2">
      <c r="A1569" t="s">
        <v>2814</v>
      </c>
      <c r="B1569" t="s">
        <v>2922</v>
      </c>
      <c r="C1569">
        <v>14123145</v>
      </c>
      <c r="D1569" t="s">
        <v>482</v>
      </c>
      <c r="E1569" s="134">
        <v>31.04</v>
      </c>
      <c r="F1569" t="s">
        <v>2816</v>
      </c>
    </row>
    <row r="1570" spans="1:6" x14ac:dyDescent="0.2">
      <c r="A1570" t="s">
        <v>2814</v>
      </c>
      <c r="B1570" t="s">
        <v>2922</v>
      </c>
      <c r="C1570">
        <v>14123332</v>
      </c>
      <c r="D1570" t="s">
        <v>501</v>
      </c>
      <c r="E1570" s="134">
        <v>31.04</v>
      </c>
      <c r="F1570" t="s">
        <v>2816</v>
      </c>
    </row>
    <row r="1571" spans="1:6" x14ac:dyDescent="0.2">
      <c r="A1571" t="s">
        <v>2814</v>
      </c>
      <c r="B1571" t="s">
        <v>2922</v>
      </c>
      <c r="C1571">
        <v>14103470</v>
      </c>
      <c r="D1571" t="s">
        <v>518</v>
      </c>
      <c r="E1571" s="134">
        <v>32.880000000000003</v>
      </c>
      <c r="F1571" t="s">
        <v>2816</v>
      </c>
    </row>
    <row r="1572" spans="1:6" x14ac:dyDescent="0.2">
      <c r="A1572" t="s">
        <v>2814</v>
      </c>
      <c r="B1572" t="s">
        <v>2922</v>
      </c>
      <c r="C1572">
        <v>14110336</v>
      </c>
      <c r="D1572" t="s">
        <v>983</v>
      </c>
      <c r="E1572" s="134">
        <v>32.880000000000003</v>
      </c>
      <c r="F1572" t="s">
        <v>2816</v>
      </c>
    </row>
    <row r="1573" spans="1:6" x14ac:dyDescent="0.2">
      <c r="A1573" t="s">
        <v>2814</v>
      </c>
      <c r="B1573" t="s">
        <v>2922</v>
      </c>
      <c r="C1573">
        <v>14110506</v>
      </c>
      <c r="D1573" t="s">
        <v>421</v>
      </c>
      <c r="E1573" s="134">
        <v>32.880000000000003</v>
      </c>
      <c r="F1573" t="s">
        <v>2816</v>
      </c>
    </row>
    <row r="1574" spans="1:6" x14ac:dyDescent="0.2">
      <c r="A1574" t="s">
        <v>2814</v>
      </c>
      <c r="B1574" t="s">
        <v>2922</v>
      </c>
      <c r="C1574">
        <v>14110604</v>
      </c>
      <c r="D1574" t="s">
        <v>330</v>
      </c>
      <c r="E1574" s="134">
        <v>32.880000000000003</v>
      </c>
      <c r="F1574" t="s">
        <v>2816</v>
      </c>
    </row>
    <row r="1575" spans="1:6" x14ac:dyDescent="0.2">
      <c r="A1575" t="s">
        <v>2814</v>
      </c>
      <c r="B1575" t="s">
        <v>2922</v>
      </c>
      <c r="C1575">
        <v>14110799</v>
      </c>
      <c r="D1575" t="s">
        <v>455</v>
      </c>
      <c r="E1575" s="134">
        <v>32.880000000000003</v>
      </c>
      <c r="F1575" t="s">
        <v>2816</v>
      </c>
    </row>
    <row r="1576" spans="1:6" x14ac:dyDescent="0.2">
      <c r="A1576" t="s">
        <v>2814</v>
      </c>
      <c r="B1576" t="s">
        <v>2922</v>
      </c>
      <c r="C1576">
        <v>14112588</v>
      </c>
      <c r="D1576" t="s">
        <v>931</v>
      </c>
      <c r="E1576" s="134">
        <v>32.880000000000003</v>
      </c>
      <c r="F1576" t="s">
        <v>2816</v>
      </c>
    </row>
    <row r="1577" spans="1:6" x14ac:dyDescent="0.2">
      <c r="A1577" t="s">
        <v>2814</v>
      </c>
      <c r="B1577" t="s">
        <v>2922</v>
      </c>
      <c r="C1577">
        <v>14112635</v>
      </c>
      <c r="D1577" t="s">
        <v>985</v>
      </c>
      <c r="E1577" s="134">
        <v>32.880000000000003</v>
      </c>
      <c r="F1577" t="s">
        <v>2816</v>
      </c>
    </row>
    <row r="1578" spans="1:6" x14ac:dyDescent="0.2">
      <c r="A1578" t="s">
        <v>2814</v>
      </c>
      <c r="B1578" t="s">
        <v>2922</v>
      </c>
      <c r="C1578">
        <v>14112962</v>
      </c>
      <c r="D1578" t="s">
        <v>483</v>
      </c>
      <c r="E1578" s="134">
        <v>23.49</v>
      </c>
      <c r="F1578" t="s">
        <v>2816</v>
      </c>
    </row>
    <row r="1579" spans="1:6" x14ac:dyDescent="0.2">
      <c r="A1579" t="s">
        <v>2814</v>
      </c>
      <c r="B1579" t="s">
        <v>2922</v>
      </c>
      <c r="C1579">
        <v>14116250</v>
      </c>
      <c r="D1579" t="s">
        <v>425</v>
      </c>
      <c r="E1579" s="134">
        <v>32.880000000000003</v>
      </c>
      <c r="F1579" t="s">
        <v>2816</v>
      </c>
    </row>
    <row r="1580" spans="1:6" x14ac:dyDescent="0.2">
      <c r="A1580" t="s">
        <v>2814</v>
      </c>
      <c r="B1580" t="s">
        <v>2922</v>
      </c>
      <c r="C1580">
        <v>14116565</v>
      </c>
      <c r="D1580" t="s">
        <v>456</v>
      </c>
      <c r="E1580" s="134">
        <v>32.880000000000003</v>
      </c>
      <c r="F1580" t="s">
        <v>2816</v>
      </c>
    </row>
    <row r="1581" spans="1:6" x14ac:dyDescent="0.2">
      <c r="A1581" t="s">
        <v>2814</v>
      </c>
      <c r="B1581" t="s">
        <v>2922</v>
      </c>
      <c r="C1581">
        <v>14117969</v>
      </c>
      <c r="D1581" t="s">
        <v>399</v>
      </c>
      <c r="E1581" s="134">
        <v>32.880000000000003</v>
      </c>
      <c r="F1581" t="s">
        <v>2816</v>
      </c>
    </row>
    <row r="1582" spans="1:6" x14ac:dyDescent="0.2">
      <c r="A1582" t="s">
        <v>2814</v>
      </c>
      <c r="B1582" t="s">
        <v>2922</v>
      </c>
      <c r="C1582">
        <v>14118212</v>
      </c>
      <c r="D1582" t="s">
        <v>426</v>
      </c>
      <c r="E1582" s="134">
        <v>32.880000000000003</v>
      </c>
      <c r="F1582" t="s">
        <v>2816</v>
      </c>
    </row>
    <row r="1583" spans="1:6" x14ac:dyDescent="0.2">
      <c r="A1583" t="s">
        <v>2814</v>
      </c>
      <c r="B1583" t="s">
        <v>2922</v>
      </c>
      <c r="C1583">
        <v>14118579</v>
      </c>
      <c r="D1583" t="s">
        <v>464</v>
      </c>
      <c r="E1583" s="134">
        <v>32.880000000000003</v>
      </c>
      <c r="F1583" t="s">
        <v>2816</v>
      </c>
    </row>
    <row r="1584" spans="1:6" x14ac:dyDescent="0.2">
      <c r="A1584" t="s">
        <v>2814</v>
      </c>
      <c r="B1584" t="s">
        <v>2922</v>
      </c>
      <c r="C1584">
        <v>14119838</v>
      </c>
      <c r="D1584" t="s">
        <v>498</v>
      </c>
      <c r="E1584" s="134">
        <v>32.880000000000003</v>
      </c>
      <c r="F1584" t="s">
        <v>2816</v>
      </c>
    </row>
    <row r="1585" spans="1:6" x14ac:dyDescent="0.2">
      <c r="A1585" t="s">
        <v>2814</v>
      </c>
      <c r="B1585" t="s">
        <v>2922</v>
      </c>
      <c r="C1585">
        <v>14120199</v>
      </c>
      <c r="D1585" t="s">
        <v>400</v>
      </c>
      <c r="E1585" s="134">
        <v>32.880000000000003</v>
      </c>
      <c r="F1585" t="s">
        <v>2816</v>
      </c>
    </row>
    <row r="1586" spans="1:6" x14ac:dyDescent="0.2">
      <c r="A1586" t="s">
        <v>2814</v>
      </c>
      <c r="B1586" t="s">
        <v>2922</v>
      </c>
      <c r="C1586">
        <v>14120455</v>
      </c>
      <c r="D1586" t="s">
        <v>287</v>
      </c>
      <c r="E1586" s="134">
        <v>32.880000000000003</v>
      </c>
      <c r="F1586" t="s">
        <v>2816</v>
      </c>
    </row>
    <row r="1587" spans="1:6" x14ac:dyDescent="0.2">
      <c r="A1587" t="s">
        <v>2814</v>
      </c>
      <c r="B1587" t="s">
        <v>2922</v>
      </c>
      <c r="C1587">
        <v>14120715</v>
      </c>
      <c r="D1587" t="s">
        <v>295</v>
      </c>
      <c r="E1587" s="134">
        <v>32.880000000000003</v>
      </c>
      <c r="F1587" t="s">
        <v>2816</v>
      </c>
    </row>
    <row r="1588" spans="1:6" x14ac:dyDescent="0.2">
      <c r="A1588" t="s">
        <v>2814</v>
      </c>
      <c r="B1588" t="s">
        <v>2922</v>
      </c>
      <c r="C1588">
        <v>14122191</v>
      </c>
      <c r="D1588" t="s">
        <v>394</v>
      </c>
      <c r="E1588" s="134">
        <v>32.880000000000003</v>
      </c>
      <c r="F1588" t="s">
        <v>2816</v>
      </c>
    </row>
    <row r="1589" spans="1:6" x14ac:dyDescent="0.2">
      <c r="A1589" t="s">
        <v>2814</v>
      </c>
      <c r="B1589" t="s">
        <v>2922</v>
      </c>
      <c r="C1589">
        <v>14122194</v>
      </c>
      <c r="D1589" t="s">
        <v>395</v>
      </c>
      <c r="E1589" s="134">
        <v>32.880000000000003</v>
      </c>
      <c r="F1589" t="s">
        <v>2816</v>
      </c>
    </row>
    <row r="1590" spans="1:6" x14ac:dyDescent="0.2">
      <c r="A1590" t="s">
        <v>2814</v>
      </c>
      <c r="B1590" t="s">
        <v>2922</v>
      </c>
      <c r="C1590">
        <v>14122221</v>
      </c>
      <c r="D1590" t="s">
        <v>396</v>
      </c>
      <c r="E1590" s="134">
        <v>32.880000000000003</v>
      </c>
      <c r="F1590" t="s">
        <v>2816</v>
      </c>
    </row>
    <row r="1591" spans="1:6" x14ac:dyDescent="0.2">
      <c r="A1591" t="s">
        <v>2814</v>
      </c>
      <c r="B1591" t="s">
        <v>2922</v>
      </c>
      <c r="C1591">
        <v>14122230</v>
      </c>
      <c r="D1591" t="s">
        <v>397</v>
      </c>
      <c r="E1591" s="134">
        <v>32.880000000000003</v>
      </c>
      <c r="F1591" t="s">
        <v>2816</v>
      </c>
    </row>
    <row r="1592" spans="1:6" x14ac:dyDescent="0.2">
      <c r="A1592" t="s">
        <v>2814</v>
      </c>
      <c r="B1592" t="s">
        <v>2922</v>
      </c>
      <c r="C1592">
        <v>14122263</v>
      </c>
      <c r="D1592" t="s">
        <v>401</v>
      </c>
      <c r="E1592" s="134">
        <v>32.880000000000003</v>
      </c>
      <c r="F1592" t="s">
        <v>2816</v>
      </c>
    </row>
    <row r="1593" spans="1:6" x14ac:dyDescent="0.2">
      <c r="A1593" t="s">
        <v>2814</v>
      </c>
      <c r="B1593" t="s">
        <v>2922</v>
      </c>
      <c r="C1593">
        <v>14122291</v>
      </c>
      <c r="D1593" t="s">
        <v>402</v>
      </c>
      <c r="E1593" s="134">
        <v>32.880000000000003</v>
      </c>
      <c r="F1593" t="s">
        <v>2816</v>
      </c>
    </row>
    <row r="1594" spans="1:6" x14ac:dyDescent="0.2">
      <c r="A1594" t="s">
        <v>2814</v>
      </c>
      <c r="B1594" t="s">
        <v>2922</v>
      </c>
      <c r="C1594">
        <v>14122293</v>
      </c>
      <c r="D1594" t="s">
        <v>403</v>
      </c>
      <c r="E1594" s="134">
        <v>32.880000000000003</v>
      </c>
      <c r="F1594" t="s">
        <v>2816</v>
      </c>
    </row>
    <row r="1595" spans="1:6" x14ac:dyDescent="0.2">
      <c r="A1595" t="s">
        <v>2814</v>
      </c>
      <c r="B1595" t="s">
        <v>2922</v>
      </c>
      <c r="C1595">
        <v>14122294</v>
      </c>
      <c r="D1595" t="s">
        <v>404</v>
      </c>
      <c r="E1595" s="134">
        <v>32.880000000000003</v>
      </c>
      <c r="F1595" t="s">
        <v>2816</v>
      </c>
    </row>
    <row r="1596" spans="1:6" x14ac:dyDescent="0.2">
      <c r="A1596" t="s">
        <v>2814</v>
      </c>
      <c r="B1596" t="s">
        <v>2922</v>
      </c>
      <c r="C1596">
        <v>14122320</v>
      </c>
      <c r="D1596" t="s">
        <v>405</v>
      </c>
      <c r="E1596" s="134">
        <v>32.880000000000003</v>
      </c>
      <c r="F1596" t="s">
        <v>2816</v>
      </c>
    </row>
    <row r="1597" spans="1:6" x14ac:dyDescent="0.2">
      <c r="A1597" t="s">
        <v>2814</v>
      </c>
      <c r="B1597" t="s">
        <v>2922</v>
      </c>
      <c r="C1597">
        <v>14122329</v>
      </c>
      <c r="D1597" t="s">
        <v>406</v>
      </c>
      <c r="E1597" s="134">
        <v>32.880000000000003</v>
      </c>
      <c r="F1597" t="s">
        <v>2816</v>
      </c>
    </row>
    <row r="1598" spans="1:6" x14ac:dyDescent="0.2">
      <c r="A1598" t="s">
        <v>2814</v>
      </c>
      <c r="B1598" t="s">
        <v>2922</v>
      </c>
      <c r="C1598">
        <v>14122330</v>
      </c>
      <c r="D1598" t="s">
        <v>407</v>
      </c>
      <c r="E1598" s="134">
        <v>32.880000000000003</v>
      </c>
      <c r="F1598" t="s">
        <v>2816</v>
      </c>
    </row>
    <row r="1599" spans="1:6" x14ac:dyDescent="0.2">
      <c r="A1599" t="s">
        <v>2814</v>
      </c>
      <c r="B1599" t="s">
        <v>2922</v>
      </c>
      <c r="C1599">
        <v>14122331</v>
      </c>
      <c r="D1599" t="s">
        <v>408</v>
      </c>
      <c r="E1599" s="134">
        <v>32.880000000000003</v>
      </c>
      <c r="F1599" t="s">
        <v>2816</v>
      </c>
    </row>
    <row r="1600" spans="1:6" x14ac:dyDescent="0.2">
      <c r="A1600" t="s">
        <v>2814</v>
      </c>
      <c r="B1600" t="s">
        <v>2922</v>
      </c>
      <c r="C1600">
        <v>14122353</v>
      </c>
      <c r="D1600" t="s">
        <v>409</v>
      </c>
      <c r="E1600" s="134">
        <v>32.880000000000003</v>
      </c>
      <c r="F1600" t="s">
        <v>2816</v>
      </c>
    </row>
    <row r="1601" spans="1:6" x14ac:dyDescent="0.2">
      <c r="A1601" t="s">
        <v>2814</v>
      </c>
      <c r="B1601" t="s">
        <v>2922</v>
      </c>
      <c r="C1601">
        <v>14122354</v>
      </c>
      <c r="D1601" t="s">
        <v>410</v>
      </c>
      <c r="E1601" s="134">
        <v>32.880000000000003</v>
      </c>
      <c r="F1601" t="s">
        <v>2816</v>
      </c>
    </row>
    <row r="1602" spans="1:6" x14ac:dyDescent="0.2">
      <c r="A1602" t="s">
        <v>2814</v>
      </c>
      <c r="B1602" t="s">
        <v>2922</v>
      </c>
      <c r="C1602">
        <v>14122355</v>
      </c>
      <c r="D1602" t="s">
        <v>411</v>
      </c>
      <c r="E1602" s="134">
        <v>32.880000000000003</v>
      </c>
      <c r="F1602" t="s">
        <v>2816</v>
      </c>
    </row>
    <row r="1603" spans="1:6" x14ac:dyDescent="0.2">
      <c r="A1603" t="s">
        <v>2814</v>
      </c>
      <c r="B1603" t="s">
        <v>2922</v>
      </c>
      <c r="C1603">
        <v>14122377</v>
      </c>
      <c r="D1603" t="s">
        <v>412</v>
      </c>
      <c r="E1603" s="134">
        <v>32.880000000000003</v>
      </c>
      <c r="F1603" t="s">
        <v>2816</v>
      </c>
    </row>
    <row r="1604" spans="1:6" x14ac:dyDescent="0.2">
      <c r="A1604" t="s">
        <v>2814</v>
      </c>
      <c r="B1604" t="s">
        <v>2922</v>
      </c>
      <c r="C1604">
        <v>14122394</v>
      </c>
      <c r="D1604" t="s">
        <v>413</v>
      </c>
      <c r="E1604" s="134">
        <v>32.880000000000003</v>
      </c>
      <c r="F1604" t="s">
        <v>2816</v>
      </c>
    </row>
    <row r="1605" spans="1:6" x14ac:dyDescent="0.2">
      <c r="A1605" t="s">
        <v>2814</v>
      </c>
      <c r="B1605" t="s">
        <v>2922</v>
      </c>
      <c r="C1605">
        <v>14122416</v>
      </c>
      <c r="D1605" t="s">
        <v>414</v>
      </c>
      <c r="E1605" s="134">
        <v>32.880000000000003</v>
      </c>
      <c r="F1605" t="s">
        <v>2816</v>
      </c>
    </row>
    <row r="1606" spans="1:6" x14ac:dyDescent="0.2">
      <c r="A1606" t="s">
        <v>2814</v>
      </c>
      <c r="B1606" t="s">
        <v>2922</v>
      </c>
      <c r="C1606">
        <v>14122417</v>
      </c>
      <c r="D1606" t="s">
        <v>415</v>
      </c>
      <c r="E1606" s="134">
        <v>32.880000000000003</v>
      </c>
      <c r="F1606" t="s">
        <v>2816</v>
      </c>
    </row>
    <row r="1607" spans="1:6" x14ac:dyDescent="0.2">
      <c r="A1607" t="s">
        <v>2814</v>
      </c>
      <c r="B1607" t="s">
        <v>2922</v>
      </c>
      <c r="C1607">
        <v>14122419</v>
      </c>
      <c r="D1607" t="s">
        <v>416</v>
      </c>
      <c r="E1607" s="134">
        <v>32.880000000000003</v>
      </c>
      <c r="F1607" t="s">
        <v>2816</v>
      </c>
    </row>
    <row r="1608" spans="1:6" x14ac:dyDescent="0.2">
      <c r="A1608" t="s">
        <v>2814</v>
      </c>
      <c r="B1608" t="s">
        <v>2922</v>
      </c>
      <c r="C1608">
        <v>14122428</v>
      </c>
      <c r="D1608" t="s">
        <v>417</v>
      </c>
      <c r="E1608" s="134">
        <v>32.880000000000003</v>
      </c>
      <c r="F1608" t="s">
        <v>2816</v>
      </c>
    </row>
    <row r="1609" spans="1:6" x14ac:dyDescent="0.2">
      <c r="A1609" t="s">
        <v>2814</v>
      </c>
      <c r="B1609" t="s">
        <v>2922</v>
      </c>
      <c r="C1609">
        <v>14122429</v>
      </c>
      <c r="D1609" t="s">
        <v>418</v>
      </c>
      <c r="E1609" s="134">
        <v>32.880000000000003</v>
      </c>
      <c r="F1609" t="s">
        <v>2816</v>
      </c>
    </row>
    <row r="1610" spans="1:6" x14ac:dyDescent="0.2">
      <c r="A1610" t="s">
        <v>2814</v>
      </c>
      <c r="B1610" t="s">
        <v>2922</v>
      </c>
      <c r="C1610">
        <v>14122431</v>
      </c>
      <c r="D1610" t="s">
        <v>419</v>
      </c>
      <c r="E1610" s="134">
        <v>32.880000000000003</v>
      </c>
      <c r="F1610" t="s">
        <v>2816</v>
      </c>
    </row>
    <row r="1611" spans="1:6" x14ac:dyDescent="0.2">
      <c r="A1611" t="s">
        <v>2814</v>
      </c>
      <c r="B1611" t="s">
        <v>2922</v>
      </c>
      <c r="C1611">
        <v>14122481</v>
      </c>
      <c r="D1611" t="s">
        <v>420</v>
      </c>
      <c r="E1611" s="134">
        <v>32.880000000000003</v>
      </c>
      <c r="F1611" t="s">
        <v>2816</v>
      </c>
    </row>
    <row r="1612" spans="1:6" x14ac:dyDescent="0.2">
      <c r="A1612" t="s">
        <v>2814</v>
      </c>
      <c r="B1612" t="s">
        <v>2922</v>
      </c>
      <c r="C1612">
        <v>14122495</v>
      </c>
      <c r="D1612" t="s">
        <v>423</v>
      </c>
      <c r="E1612" s="134">
        <v>32.880000000000003</v>
      </c>
      <c r="F1612" t="s">
        <v>2816</v>
      </c>
    </row>
    <row r="1613" spans="1:6" x14ac:dyDescent="0.2">
      <c r="A1613" t="s">
        <v>2814</v>
      </c>
      <c r="B1613" t="s">
        <v>2922</v>
      </c>
      <c r="C1613">
        <v>14122510</v>
      </c>
      <c r="D1613" t="s">
        <v>424</v>
      </c>
      <c r="E1613" s="134">
        <v>32.880000000000003</v>
      </c>
      <c r="F1613" t="s">
        <v>2816</v>
      </c>
    </row>
    <row r="1614" spans="1:6" x14ac:dyDescent="0.2">
      <c r="A1614" t="s">
        <v>2814</v>
      </c>
      <c r="B1614" t="s">
        <v>2922</v>
      </c>
      <c r="C1614">
        <v>14122543</v>
      </c>
      <c r="D1614" t="s">
        <v>427</v>
      </c>
      <c r="E1614" s="134">
        <v>32.880000000000003</v>
      </c>
      <c r="F1614" t="s">
        <v>2816</v>
      </c>
    </row>
    <row r="1615" spans="1:6" x14ac:dyDescent="0.2">
      <c r="A1615" t="s">
        <v>2814</v>
      </c>
      <c r="B1615" t="s">
        <v>2922</v>
      </c>
      <c r="C1615">
        <v>14122546</v>
      </c>
      <c r="D1615" t="s">
        <v>428</v>
      </c>
      <c r="E1615" s="134">
        <v>32.880000000000003</v>
      </c>
      <c r="F1615" t="s">
        <v>2816</v>
      </c>
    </row>
    <row r="1616" spans="1:6" x14ac:dyDescent="0.2">
      <c r="A1616" t="s">
        <v>2814</v>
      </c>
      <c r="B1616" t="s">
        <v>2922</v>
      </c>
      <c r="C1616">
        <v>14122617</v>
      </c>
      <c r="D1616" t="s">
        <v>429</v>
      </c>
      <c r="E1616" s="134">
        <v>32.880000000000003</v>
      </c>
      <c r="F1616" t="s">
        <v>2816</v>
      </c>
    </row>
    <row r="1617" spans="1:6" x14ac:dyDescent="0.2">
      <c r="A1617" t="s">
        <v>2814</v>
      </c>
      <c r="B1617" t="s">
        <v>2922</v>
      </c>
      <c r="C1617">
        <v>14122618</v>
      </c>
      <c r="D1617" t="s">
        <v>430</v>
      </c>
      <c r="E1617" s="134">
        <v>32.880000000000003</v>
      </c>
      <c r="F1617" t="s">
        <v>2816</v>
      </c>
    </row>
    <row r="1618" spans="1:6" x14ac:dyDescent="0.2">
      <c r="A1618" t="s">
        <v>2814</v>
      </c>
      <c r="B1618" t="s">
        <v>2922</v>
      </c>
      <c r="C1618">
        <v>14122621</v>
      </c>
      <c r="D1618" t="s">
        <v>431</v>
      </c>
      <c r="E1618" s="134">
        <v>32.880000000000003</v>
      </c>
      <c r="F1618" t="s">
        <v>2816</v>
      </c>
    </row>
    <row r="1619" spans="1:6" x14ac:dyDescent="0.2">
      <c r="A1619" t="s">
        <v>2814</v>
      </c>
      <c r="B1619" t="s">
        <v>2922</v>
      </c>
      <c r="C1619">
        <v>14122673</v>
      </c>
      <c r="D1619" t="s">
        <v>432</v>
      </c>
      <c r="E1619" s="134">
        <v>32.880000000000003</v>
      </c>
      <c r="F1619" t="s">
        <v>2816</v>
      </c>
    </row>
    <row r="1620" spans="1:6" x14ac:dyDescent="0.2">
      <c r="A1620" t="s">
        <v>2814</v>
      </c>
      <c r="B1620" t="s">
        <v>2922</v>
      </c>
      <c r="C1620">
        <v>14122683</v>
      </c>
      <c r="D1620" t="s">
        <v>435</v>
      </c>
      <c r="E1620" s="134">
        <v>32.880000000000003</v>
      </c>
      <c r="F1620" t="s">
        <v>2816</v>
      </c>
    </row>
    <row r="1621" spans="1:6" x14ac:dyDescent="0.2">
      <c r="A1621" t="s">
        <v>2814</v>
      </c>
      <c r="B1621" t="s">
        <v>2922</v>
      </c>
      <c r="C1621">
        <v>14122685</v>
      </c>
      <c r="D1621" t="s">
        <v>436</v>
      </c>
      <c r="E1621" s="134">
        <v>32.880000000000003</v>
      </c>
      <c r="F1621" t="s">
        <v>2816</v>
      </c>
    </row>
    <row r="1622" spans="1:6" x14ac:dyDescent="0.2">
      <c r="A1622" t="s">
        <v>2814</v>
      </c>
      <c r="B1622" t="s">
        <v>2922</v>
      </c>
      <c r="C1622">
        <v>14122687</v>
      </c>
      <c r="D1622" t="s">
        <v>437</v>
      </c>
      <c r="E1622" s="134">
        <v>32.880000000000003</v>
      </c>
      <c r="F1622" t="s">
        <v>2816</v>
      </c>
    </row>
    <row r="1623" spans="1:6" x14ac:dyDescent="0.2">
      <c r="A1623" t="s">
        <v>2814</v>
      </c>
      <c r="B1623" t="s">
        <v>2922</v>
      </c>
      <c r="C1623">
        <v>14122707</v>
      </c>
      <c r="D1623" t="s">
        <v>439</v>
      </c>
      <c r="E1623" s="134">
        <v>32.880000000000003</v>
      </c>
      <c r="F1623" t="s">
        <v>2816</v>
      </c>
    </row>
    <row r="1624" spans="1:6" x14ac:dyDescent="0.2">
      <c r="A1624" t="s">
        <v>2814</v>
      </c>
      <c r="B1624" t="s">
        <v>2922</v>
      </c>
      <c r="C1624">
        <v>14122709</v>
      </c>
      <c r="D1624" t="s">
        <v>441</v>
      </c>
      <c r="E1624" s="134">
        <v>32.880000000000003</v>
      </c>
      <c r="F1624" t="s">
        <v>2816</v>
      </c>
    </row>
    <row r="1625" spans="1:6" x14ac:dyDescent="0.2">
      <c r="A1625" t="s">
        <v>2814</v>
      </c>
      <c r="B1625" t="s">
        <v>2922</v>
      </c>
      <c r="C1625">
        <v>14122758</v>
      </c>
      <c r="D1625" t="s">
        <v>442</v>
      </c>
      <c r="E1625" s="134">
        <v>32.880000000000003</v>
      </c>
      <c r="F1625" t="s">
        <v>2816</v>
      </c>
    </row>
    <row r="1626" spans="1:6" x14ac:dyDescent="0.2">
      <c r="A1626" t="s">
        <v>2814</v>
      </c>
      <c r="B1626" t="s">
        <v>2922</v>
      </c>
      <c r="C1626">
        <v>14122772</v>
      </c>
      <c r="D1626" t="s">
        <v>443</v>
      </c>
      <c r="E1626" s="134">
        <v>32.880000000000003</v>
      </c>
      <c r="F1626" t="s">
        <v>2816</v>
      </c>
    </row>
    <row r="1627" spans="1:6" x14ac:dyDescent="0.2">
      <c r="A1627" t="s">
        <v>2814</v>
      </c>
      <c r="B1627" t="s">
        <v>2922</v>
      </c>
      <c r="C1627">
        <v>14122773</v>
      </c>
      <c r="D1627" t="s">
        <v>444</v>
      </c>
      <c r="E1627" s="134">
        <v>32.880000000000003</v>
      </c>
      <c r="F1627" t="s">
        <v>2816</v>
      </c>
    </row>
    <row r="1628" spans="1:6" x14ac:dyDescent="0.2">
      <c r="A1628" t="s">
        <v>2814</v>
      </c>
      <c r="B1628" t="s">
        <v>2922</v>
      </c>
      <c r="C1628">
        <v>14122775</v>
      </c>
      <c r="D1628" t="s">
        <v>445</v>
      </c>
      <c r="E1628" s="134">
        <v>32.880000000000003</v>
      </c>
      <c r="F1628" t="s">
        <v>2816</v>
      </c>
    </row>
    <row r="1629" spans="1:6" x14ac:dyDescent="0.2">
      <c r="A1629" t="s">
        <v>2814</v>
      </c>
      <c r="B1629" t="s">
        <v>2922</v>
      </c>
      <c r="C1629">
        <v>14122809</v>
      </c>
      <c r="D1629" t="s">
        <v>446</v>
      </c>
      <c r="E1629" s="134">
        <v>32.880000000000003</v>
      </c>
      <c r="F1629" t="s">
        <v>2816</v>
      </c>
    </row>
    <row r="1630" spans="1:6" x14ac:dyDescent="0.2">
      <c r="A1630" t="s">
        <v>2814</v>
      </c>
      <c r="B1630" t="s">
        <v>2922</v>
      </c>
      <c r="C1630">
        <v>14122831</v>
      </c>
      <c r="D1630" t="s">
        <v>447</v>
      </c>
      <c r="E1630" s="134">
        <v>32.880000000000003</v>
      </c>
      <c r="F1630" t="s">
        <v>2816</v>
      </c>
    </row>
    <row r="1631" spans="1:6" x14ac:dyDescent="0.2">
      <c r="A1631" t="s">
        <v>2814</v>
      </c>
      <c r="B1631" t="s">
        <v>2922</v>
      </c>
      <c r="C1631">
        <v>14122832</v>
      </c>
      <c r="D1631" t="s">
        <v>448</v>
      </c>
      <c r="E1631" s="134">
        <v>32.880000000000003</v>
      </c>
      <c r="F1631" t="s">
        <v>2816</v>
      </c>
    </row>
    <row r="1632" spans="1:6" x14ac:dyDescent="0.2">
      <c r="A1632" t="s">
        <v>2814</v>
      </c>
      <c r="B1632" t="s">
        <v>2922</v>
      </c>
      <c r="C1632">
        <v>14122852</v>
      </c>
      <c r="D1632" t="s">
        <v>449</v>
      </c>
      <c r="E1632" s="134">
        <v>32.880000000000003</v>
      </c>
      <c r="F1632" t="s">
        <v>2816</v>
      </c>
    </row>
    <row r="1633" spans="1:6" x14ac:dyDescent="0.2">
      <c r="A1633" t="s">
        <v>2814</v>
      </c>
      <c r="B1633" t="s">
        <v>2922</v>
      </c>
      <c r="C1633">
        <v>14122854</v>
      </c>
      <c r="D1633" t="s">
        <v>450</v>
      </c>
      <c r="E1633" s="134">
        <v>32.880000000000003</v>
      </c>
      <c r="F1633" t="s">
        <v>2816</v>
      </c>
    </row>
    <row r="1634" spans="1:6" x14ac:dyDescent="0.2">
      <c r="A1634" t="s">
        <v>2814</v>
      </c>
      <c r="B1634" t="s">
        <v>2922</v>
      </c>
      <c r="C1634">
        <v>14122855</v>
      </c>
      <c r="D1634" t="s">
        <v>451</v>
      </c>
      <c r="E1634" s="134">
        <v>32.880000000000003</v>
      </c>
      <c r="F1634" t="s">
        <v>2816</v>
      </c>
    </row>
    <row r="1635" spans="1:6" x14ac:dyDescent="0.2">
      <c r="A1635" t="s">
        <v>2814</v>
      </c>
      <c r="B1635" t="s">
        <v>2922</v>
      </c>
      <c r="C1635">
        <v>14122856</v>
      </c>
      <c r="D1635" t="s">
        <v>452</v>
      </c>
      <c r="E1635" s="134">
        <v>32.880000000000003</v>
      </c>
      <c r="F1635" t="s">
        <v>2816</v>
      </c>
    </row>
    <row r="1636" spans="1:6" x14ac:dyDescent="0.2">
      <c r="A1636" t="s">
        <v>2814</v>
      </c>
      <c r="B1636" t="s">
        <v>2922</v>
      </c>
      <c r="C1636">
        <v>14122871</v>
      </c>
      <c r="D1636" t="s">
        <v>453</v>
      </c>
      <c r="E1636" s="134">
        <v>32.880000000000003</v>
      </c>
      <c r="F1636" t="s">
        <v>2816</v>
      </c>
    </row>
    <row r="1637" spans="1:6" x14ac:dyDescent="0.2">
      <c r="A1637" t="s">
        <v>2814</v>
      </c>
      <c r="B1637" t="s">
        <v>2922</v>
      </c>
      <c r="C1637">
        <v>14122873</v>
      </c>
      <c r="D1637" t="s">
        <v>454</v>
      </c>
      <c r="E1637" s="134">
        <v>5.48</v>
      </c>
      <c r="F1637" t="s">
        <v>2816</v>
      </c>
    </row>
    <row r="1638" spans="1:6" x14ac:dyDescent="0.2">
      <c r="A1638" t="s">
        <v>2814</v>
      </c>
      <c r="B1638" t="s">
        <v>2922</v>
      </c>
      <c r="C1638">
        <v>14122904</v>
      </c>
      <c r="D1638" t="s">
        <v>457</v>
      </c>
      <c r="E1638" s="134">
        <v>32.880000000000003</v>
      </c>
      <c r="F1638" t="s">
        <v>2816</v>
      </c>
    </row>
    <row r="1639" spans="1:6" x14ac:dyDescent="0.2">
      <c r="A1639" t="s">
        <v>2814</v>
      </c>
      <c r="B1639" t="s">
        <v>2922</v>
      </c>
      <c r="C1639">
        <v>14122922</v>
      </c>
      <c r="D1639" t="s">
        <v>458</v>
      </c>
      <c r="E1639" s="134">
        <v>32.880000000000003</v>
      </c>
      <c r="F1639" t="s">
        <v>2816</v>
      </c>
    </row>
    <row r="1640" spans="1:6" x14ac:dyDescent="0.2">
      <c r="A1640" t="s">
        <v>2814</v>
      </c>
      <c r="B1640" t="s">
        <v>2922</v>
      </c>
      <c r="C1640">
        <v>14122923</v>
      </c>
      <c r="D1640" t="s">
        <v>459</v>
      </c>
      <c r="E1640" s="134">
        <v>32.880000000000003</v>
      </c>
      <c r="F1640" t="s">
        <v>2816</v>
      </c>
    </row>
    <row r="1641" spans="1:6" x14ac:dyDescent="0.2">
      <c r="A1641" t="s">
        <v>2814</v>
      </c>
      <c r="B1641" t="s">
        <v>2922</v>
      </c>
      <c r="C1641">
        <v>14122925</v>
      </c>
      <c r="D1641" t="s">
        <v>460</v>
      </c>
      <c r="E1641" s="134">
        <v>32.880000000000003</v>
      </c>
      <c r="F1641" t="s">
        <v>2816</v>
      </c>
    </row>
    <row r="1642" spans="1:6" x14ac:dyDescent="0.2">
      <c r="A1642" t="s">
        <v>2814</v>
      </c>
      <c r="B1642" t="s">
        <v>2922</v>
      </c>
      <c r="C1642">
        <v>14122927</v>
      </c>
      <c r="D1642" t="s">
        <v>461</v>
      </c>
      <c r="E1642" s="134">
        <v>32.880000000000003</v>
      </c>
      <c r="F1642" t="s">
        <v>2816</v>
      </c>
    </row>
    <row r="1643" spans="1:6" x14ac:dyDescent="0.2">
      <c r="A1643" t="s">
        <v>2814</v>
      </c>
      <c r="B1643" t="s">
        <v>2922</v>
      </c>
      <c r="C1643">
        <v>14122928</v>
      </c>
      <c r="D1643" t="s">
        <v>462</v>
      </c>
      <c r="E1643" s="134">
        <v>32.880000000000003</v>
      </c>
      <c r="F1643" t="s">
        <v>2816</v>
      </c>
    </row>
    <row r="1644" spans="1:6" x14ac:dyDescent="0.2">
      <c r="A1644" t="s">
        <v>2814</v>
      </c>
      <c r="B1644" t="s">
        <v>2922</v>
      </c>
      <c r="C1644">
        <v>14122929</v>
      </c>
      <c r="D1644" t="s">
        <v>463</v>
      </c>
      <c r="E1644" s="134">
        <v>32.880000000000003</v>
      </c>
      <c r="F1644" t="s">
        <v>2816</v>
      </c>
    </row>
    <row r="1645" spans="1:6" x14ac:dyDescent="0.2">
      <c r="A1645" t="s">
        <v>2814</v>
      </c>
      <c r="B1645" t="s">
        <v>2922</v>
      </c>
      <c r="C1645">
        <v>14122992</v>
      </c>
      <c r="D1645" t="s">
        <v>465</v>
      </c>
      <c r="E1645" s="134">
        <v>32.880000000000003</v>
      </c>
      <c r="F1645" t="s">
        <v>2816</v>
      </c>
    </row>
    <row r="1646" spans="1:6" x14ac:dyDescent="0.2">
      <c r="A1646" t="s">
        <v>2814</v>
      </c>
      <c r="B1646" t="s">
        <v>2922</v>
      </c>
      <c r="C1646">
        <v>14122993</v>
      </c>
      <c r="D1646" t="s">
        <v>466</v>
      </c>
      <c r="E1646" s="134">
        <v>32.880000000000003</v>
      </c>
      <c r="F1646" t="s">
        <v>2816</v>
      </c>
    </row>
    <row r="1647" spans="1:6" x14ac:dyDescent="0.2">
      <c r="A1647" t="s">
        <v>2814</v>
      </c>
      <c r="B1647" t="s">
        <v>2922</v>
      </c>
      <c r="C1647">
        <v>14123004</v>
      </c>
      <c r="D1647" t="s">
        <v>468</v>
      </c>
      <c r="E1647" s="134">
        <v>32.880000000000003</v>
      </c>
      <c r="F1647" t="s">
        <v>2816</v>
      </c>
    </row>
    <row r="1648" spans="1:6" x14ac:dyDescent="0.2">
      <c r="A1648" t="s">
        <v>2814</v>
      </c>
      <c r="B1648" t="s">
        <v>2922</v>
      </c>
      <c r="C1648">
        <v>14123008</v>
      </c>
      <c r="D1648" t="s">
        <v>469</v>
      </c>
      <c r="E1648" s="134">
        <v>32.880000000000003</v>
      </c>
      <c r="F1648" t="s">
        <v>2816</v>
      </c>
    </row>
    <row r="1649" spans="1:6" x14ac:dyDescent="0.2">
      <c r="A1649" t="s">
        <v>2814</v>
      </c>
      <c r="B1649" t="s">
        <v>2922</v>
      </c>
      <c r="C1649">
        <v>14123010</v>
      </c>
      <c r="D1649" t="s">
        <v>470</v>
      </c>
      <c r="E1649" s="134">
        <v>32.880000000000003</v>
      </c>
      <c r="F1649" t="s">
        <v>2816</v>
      </c>
    </row>
    <row r="1650" spans="1:6" x14ac:dyDescent="0.2">
      <c r="A1650" t="s">
        <v>2814</v>
      </c>
      <c r="B1650" t="s">
        <v>2922</v>
      </c>
      <c r="C1650">
        <v>14123049</v>
      </c>
      <c r="D1650" t="s">
        <v>472</v>
      </c>
      <c r="E1650" s="134">
        <v>32.880000000000003</v>
      </c>
      <c r="F1650" t="s">
        <v>2816</v>
      </c>
    </row>
    <row r="1651" spans="1:6" x14ac:dyDescent="0.2">
      <c r="A1651" t="s">
        <v>2814</v>
      </c>
      <c r="B1651" t="s">
        <v>2922</v>
      </c>
      <c r="C1651">
        <v>14123063</v>
      </c>
      <c r="D1651" t="s">
        <v>473</v>
      </c>
      <c r="E1651" s="134">
        <v>32.880000000000003</v>
      </c>
      <c r="F1651" t="s">
        <v>2816</v>
      </c>
    </row>
    <row r="1652" spans="1:6" x14ac:dyDescent="0.2">
      <c r="A1652" t="s">
        <v>2814</v>
      </c>
      <c r="B1652" t="s">
        <v>2922</v>
      </c>
      <c r="C1652">
        <v>14123066</v>
      </c>
      <c r="D1652" t="s">
        <v>474</v>
      </c>
      <c r="E1652" s="134">
        <v>16.440000000000001</v>
      </c>
      <c r="F1652" t="s">
        <v>2816</v>
      </c>
    </row>
    <row r="1653" spans="1:6" x14ac:dyDescent="0.2">
      <c r="A1653" t="s">
        <v>2814</v>
      </c>
      <c r="B1653" t="s">
        <v>2922</v>
      </c>
      <c r="C1653">
        <v>14123080</v>
      </c>
      <c r="D1653" t="s">
        <v>475</v>
      </c>
      <c r="E1653" s="134">
        <v>32.880000000000003</v>
      </c>
      <c r="F1653" t="s">
        <v>2816</v>
      </c>
    </row>
    <row r="1654" spans="1:6" x14ac:dyDescent="0.2">
      <c r="A1654" t="s">
        <v>2814</v>
      </c>
      <c r="B1654" t="s">
        <v>2922</v>
      </c>
      <c r="C1654">
        <v>14123081</v>
      </c>
      <c r="D1654" t="s">
        <v>476</v>
      </c>
      <c r="E1654" s="134">
        <v>32.880000000000003</v>
      </c>
      <c r="F1654" t="s">
        <v>2816</v>
      </c>
    </row>
    <row r="1655" spans="1:6" x14ac:dyDescent="0.2">
      <c r="A1655" t="s">
        <v>2814</v>
      </c>
      <c r="B1655" t="s">
        <v>2922</v>
      </c>
      <c r="C1655">
        <v>14123083</v>
      </c>
      <c r="D1655" t="s">
        <v>478</v>
      </c>
      <c r="E1655" s="134">
        <v>32.880000000000003</v>
      </c>
      <c r="F1655" t="s">
        <v>2816</v>
      </c>
    </row>
    <row r="1656" spans="1:6" x14ac:dyDescent="0.2">
      <c r="A1656" t="s">
        <v>2814</v>
      </c>
      <c r="B1656" t="s">
        <v>2922</v>
      </c>
      <c r="C1656">
        <v>14123084</v>
      </c>
      <c r="D1656" t="s">
        <v>479</v>
      </c>
      <c r="E1656" s="134">
        <v>32.880000000000003</v>
      </c>
      <c r="F1656" t="s">
        <v>2816</v>
      </c>
    </row>
    <row r="1657" spans="1:6" x14ac:dyDescent="0.2">
      <c r="A1657" t="s">
        <v>2814</v>
      </c>
      <c r="B1657" t="s">
        <v>2922</v>
      </c>
      <c r="C1657">
        <v>14123107</v>
      </c>
      <c r="D1657" t="s">
        <v>480</v>
      </c>
      <c r="E1657" s="134">
        <v>32.880000000000003</v>
      </c>
      <c r="F1657" t="s">
        <v>2816</v>
      </c>
    </row>
    <row r="1658" spans="1:6" x14ac:dyDescent="0.2">
      <c r="A1658" t="s">
        <v>2814</v>
      </c>
      <c r="B1658" t="s">
        <v>2922</v>
      </c>
      <c r="C1658">
        <v>14123133</v>
      </c>
      <c r="D1658" t="s">
        <v>481</v>
      </c>
      <c r="E1658" s="134">
        <v>8.9499999999999993</v>
      </c>
      <c r="F1658" t="s">
        <v>2816</v>
      </c>
    </row>
    <row r="1659" spans="1:6" x14ac:dyDescent="0.2">
      <c r="A1659" t="s">
        <v>2814</v>
      </c>
      <c r="B1659" t="s">
        <v>2922</v>
      </c>
      <c r="C1659">
        <v>14123193</v>
      </c>
      <c r="D1659" t="s">
        <v>484</v>
      </c>
      <c r="E1659" s="134">
        <v>27.4</v>
      </c>
      <c r="F1659" t="s">
        <v>2816</v>
      </c>
    </row>
    <row r="1660" spans="1:6" x14ac:dyDescent="0.2">
      <c r="A1660" t="s">
        <v>2814</v>
      </c>
      <c r="B1660" t="s">
        <v>2922</v>
      </c>
      <c r="C1660">
        <v>14123228</v>
      </c>
      <c r="D1660" t="s">
        <v>486</v>
      </c>
      <c r="E1660" s="134">
        <v>32.880000000000003</v>
      </c>
      <c r="F1660" t="s">
        <v>2816</v>
      </c>
    </row>
    <row r="1661" spans="1:6" x14ac:dyDescent="0.2">
      <c r="A1661" t="s">
        <v>2814</v>
      </c>
      <c r="B1661" t="s">
        <v>2922</v>
      </c>
      <c r="C1661">
        <v>14123238</v>
      </c>
      <c r="D1661" t="s">
        <v>487</v>
      </c>
      <c r="E1661" s="134">
        <v>32.880000000000003</v>
      </c>
      <c r="F1661" t="s">
        <v>2816</v>
      </c>
    </row>
    <row r="1662" spans="1:6" x14ac:dyDescent="0.2">
      <c r="A1662" t="s">
        <v>2814</v>
      </c>
      <c r="B1662" t="s">
        <v>2922</v>
      </c>
      <c r="C1662">
        <v>14123240</v>
      </c>
      <c r="D1662" t="s">
        <v>488</v>
      </c>
      <c r="E1662" s="134">
        <v>32.880000000000003</v>
      </c>
      <c r="F1662" t="s">
        <v>2816</v>
      </c>
    </row>
    <row r="1663" spans="1:6" x14ac:dyDescent="0.2">
      <c r="A1663" t="s">
        <v>2814</v>
      </c>
      <c r="B1663" t="s">
        <v>2922</v>
      </c>
      <c r="C1663">
        <v>14123246</v>
      </c>
      <c r="D1663" t="s">
        <v>489</v>
      </c>
      <c r="E1663" s="134">
        <v>32.880000000000003</v>
      </c>
      <c r="F1663" t="s">
        <v>2816</v>
      </c>
    </row>
    <row r="1664" spans="1:6" x14ac:dyDescent="0.2">
      <c r="A1664" t="s">
        <v>2814</v>
      </c>
      <c r="B1664" t="s">
        <v>2922</v>
      </c>
      <c r="C1664">
        <v>14123254</v>
      </c>
      <c r="D1664" t="s">
        <v>490</v>
      </c>
      <c r="E1664" s="134">
        <v>32.880000000000003</v>
      </c>
      <c r="F1664" t="s">
        <v>2816</v>
      </c>
    </row>
    <row r="1665" spans="1:6" x14ac:dyDescent="0.2">
      <c r="A1665" t="s">
        <v>2814</v>
      </c>
      <c r="B1665" t="s">
        <v>2922</v>
      </c>
      <c r="C1665">
        <v>14123272</v>
      </c>
      <c r="D1665" t="s">
        <v>499</v>
      </c>
      <c r="E1665" s="134">
        <v>32.880000000000003</v>
      </c>
      <c r="F1665" t="s">
        <v>2816</v>
      </c>
    </row>
    <row r="1666" spans="1:6" x14ac:dyDescent="0.2">
      <c r="A1666" t="s">
        <v>2814</v>
      </c>
      <c r="B1666" t="s">
        <v>2922</v>
      </c>
      <c r="C1666">
        <v>14123273</v>
      </c>
      <c r="D1666" t="s">
        <v>491</v>
      </c>
      <c r="E1666" s="134">
        <v>32.880000000000003</v>
      </c>
      <c r="F1666" t="s">
        <v>2816</v>
      </c>
    </row>
    <row r="1667" spans="1:6" x14ac:dyDescent="0.2">
      <c r="A1667" t="s">
        <v>2814</v>
      </c>
      <c r="B1667" t="s">
        <v>2922</v>
      </c>
      <c r="C1667">
        <v>14123274</v>
      </c>
      <c r="D1667" t="s">
        <v>492</v>
      </c>
      <c r="E1667" s="134">
        <v>32.880000000000003</v>
      </c>
      <c r="F1667" t="s">
        <v>2816</v>
      </c>
    </row>
    <row r="1668" spans="1:6" x14ac:dyDescent="0.2">
      <c r="A1668" t="s">
        <v>2814</v>
      </c>
      <c r="B1668" t="s">
        <v>2922</v>
      </c>
      <c r="C1668">
        <v>14123275</v>
      </c>
      <c r="D1668" t="s">
        <v>493</v>
      </c>
      <c r="E1668" s="134">
        <v>32.880000000000003</v>
      </c>
      <c r="F1668" t="s">
        <v>2816</v>
      </c>
    </row>
    <row r="1669" spans="1:6" x14ac:dyDescent="0.2">
      <c r="A1669" t="s">
        <v>2814</v>
      </c>
      <c r="B1669" t="s">
        <v>2922</v>
      </c>
      <c r="C1669">
        <v>14123276</v>
      </c>
      <c r="D1669" t="s">
        <v>494</v>
      </c>
      <c r="E1669" s="134">
        <v>32.880000000000003</v>
      </c>
      <c r="F1669" t="s">
        <v>2816</v>
      </c>
    </row>
    <row r="1670" spans="1:6" x14ac:dyDescent="0.2">
      <c r="A1670" t="s">
        <v>2814</v>
      </c>
      <c r="B1670" t="s">
        <v>2922</v>
      </c>
      <c r="C1670">
        <v>14123277</v>
      </c>
      <c r="D1670" t="s">
        <v>495</v>
      </c>
      <c r="E1670" s="134">
        <v>32.880000000000003</v>
      </c>
      <c r="F1670" t="s">
        <v>2816</v>
      </c>
    </row>
    <row r="1671" spans="1:6" x14ac:dyDescent="0.2">
      <c r="A1671" t="s">
        <v>2814</v>
      </c>
      <c r="B1671" t="s">
        <v>2922</v>
      </c>
      <c r="C1671">
        <v>14123312</v>
      </c>
      <c r="D1671" t="s">
        <v>496</v>
      </c>
      <c r="E1671" s="134">
        <v>32.880000000000003</v>
      </c>
      <c r="F1671" t="s">
        <v>2816</v>
      </c>
    </row>
    <row r="1672" spans="1:6" x14ac:dyDescent="0.2">
      <c r="A1672" t="s">
        <v>2814</v>
      </c>
      <c r="B1672" t="s">
        <v>2922</v>
      </c>
      <c r="C1672">
        <v>14123313</v>
      </c>
      <c r="D1672" t="s">
        <v>497</v>
      </c>
      <c r="E1672" s="134">
        <v>32.880000000000003</v>
      </c>
      <c r="F1672" t="s">
        <v>2816</v>
      </c>
    </row>
    <row r="1673" spans="1:6" x14ac:dyDescent="0.2">
      <c r="A1673" t="s">
        <v>2814</v>
      </c>
      <c r="B1673" t="s">
        <v>2922</v>
      </c>
      <c r="C1673">
        <v>14123331</v>
      </c>
      <c r="D1673" t="s">
        <v>500</v>
      </c>
      <c r="E1673" s="134">
        <v>32.880000000000003</v>
      </c>
      <c r="F1673" t="s">
        <v>2816</v>
      </c>
    </row>
    <row r="1674" spans="1:6" x14ac:dyDescent="0.2">
      <c r="A1674" t="s">
        <v>2814</v>
      </c>
      <c r="B1674" t="s">
        <v>2922</v>
      </c>
      <c r="C1674">
        <v>14123334</v>
      </c>
      <c r="D1674" t="s">
        <v>502</v>
      </c>
      <c r="E1674" s="134">
        <v>32.880000000000003</v>
      </c>
      <c r="F1674" t="s">
        <v>2816</v>
      </c>
    </row>
    <row r="1675" spans="1:6" x14ac:dyDescent="0.2">
      <c r="A1675" t="s">
        <v>2814</v>
      </c>
      <c r="B1675" t="s">
        <v>2922</v>
      </c>
      <c r="C1675">
        <v>14123336</v>
      </c>
      <c r="D1675" t="s">
        <v>503</v>
      </c>
      <c r="E1675" s="134">
        <v>32.880000000000003</v>
      </c>
      <c r="F1675" t="s">
        <v>2816</v>
      </c>
    </row>
    <row r="1676" spans="1:6" x14ac:dyDescent="0.2">
      <c r="A1676" t="s">
        <v>2814</v>
      </c>
      <c r="B1676" t="s">
        <v>2922</v>
      </c>
      <c r="C1676">
        <v>14123375</v>
      </c>
      <c r="D1676" t="s">
        <v>504</v>
      </c>
      <c r="E1676" s="134">
        <v>32.880000000000003</v>
      </c>
      <c r="F1676" t="s">
        <v>2816</v>
      </c>
    </row>
    <row r="1677" spans="1:6" x14ac:dyDescent="0.2">
      <c r="A1677" t="s">
        <v>2814</v>
      </c>
      <c r="B1677" t="s">
        <v>2922</v>
      </c>
      <c r="C1677">
        <v>14123377</v>
      </c>
      <c r="D1677" t="s">
        <v>505</v>
      </c>
      <c r="E1677" s="134">
        <v>32.880000000000003</v>
      </c>
      <c r="F1677" t="s">
        <v>2816</v>
      </c>
    </row>
    <row r="1678" spans="1:6" x14ac:dyDescent="0.2">
      <c r="A1678" t="s">
        <v>2814</v>
      </c>
      <c r="B1678" t="s">
        <v>2922</v>
      </c>
      <c r="C1678">
        <v>14123445</v>
      </c>
      <c r="D1678" t="s">
        <v>506</v>
      </c>
      <c r="E1678" s="134">
        <v>32.880000000000003</v>
      </c>
      <c r="F1678" t="s">
        <v>2816</v>
      </c>
    </row>
    <row r="1679" spans="1:6" x14ac:dyDescent="0.2">
      <c r="A1679" t="s">
        <v>2814</v>
      </c>
      <c r="B1679" t="s">
        <v>2922</v>
      </c>
      <c r="C1679">
        <v>14123446</v>
      </c>
      <c r="D1679" t="s">
        <v>507</v>
      </c>
      <c r="E1679" s="134">
        <v>32.880000000000003</v>
      </c>
      <c r="F1679" t="s">
        <v>2816</v>
      </c>
    </row>
    <row r="1680" spans="1:6" x14ac:dyDescent="0.2">
      <c r="A1680" t="s">
        <v>2814</v>
      </c>
      <c r="B1680" t="s">
        <v>2922</v>
      </c>
      <c r="C1680">
        <v>14123447</v>
      </c>
      <c r="D1680" t="s">
        <v>508</v>
      </c>
      <c r="E1680" s="134">
        <v>32.880000000000003</v>
      </c>
      <c r="F1680" t="s">
        <v>2816</v>
      </c>
    </row>
    <row r="1681" spans="1:6" x14ac:dyDescent="0.2">
      <c r="A1681" t="s">
        <v>2814</v>
      </c>
      <c r="B1681" t="s">
        <v>2922</v>
      </c>
      <c r="C1681">
        <v>14123459</v>
      </c>
      <c r="D1681" t="s">
        <v>509</v>
      </c>
      <c r="E1681" s="134">
        <v>32.880000000000003</v>
      </c>
      <c r="F1681" t="s">
        <v>2816</v>
      </c>
    </row>
    <row r="1682" spans="1:6" x14ac:dyDescent="0.2">
      <c r="A1682" t="s">
        <v>2814</v>
      </c>
      <c r="B1682" t="s">
        <v>2922</v>
      </c>
      <c r="C1682">
        <v>14123460</v>
      </c>
      <c r="D1682" t="s">
        <v>510</v>
      </c>
      <c r="E1682" s="134">
        <v>32.880000000000003</v>
      </c>
      <c r="F1682" t="s">
        <v>2816</v>
      </c>
    </row>
    <row r="1683" spans="1:6" x14ac:dyDescent="0.2">
      <c r="A1683" t="s">
        <v>2814</v>
      </c>
      <c r="B1683" t="s">
        <v>2922</v>
      </c>
      <c r="C1683">
        <v>14123461</v>
      </c>
      <c r="D1683" t="s">
        <v>511</v>
      </c>
      <c r="E1683" s="134">
        <v>32.880000000000003</v>
      </c>
      <c r="F1683" t="s">
        <v>2816</v>
      </c>
    </row>
    <row r="1684" spans="1:6" x14ac:dyDescent="0.2">
      <c r="A1684" t="s">
        <v>2814</v>
      </c>
      <c r="B1684" t="s">
        <v>2922</v>
      </c>
      <c r="C1684">
        <v>14123462</v>
      </c>
      <c r="D1684" t="s">
        <v>517</v>
      </c>
      <c r="E1684" s="134">
        <v>32.880000000000003</v>
      </c>
      <c r="F1684" t="s">
        <v>2816</v>
      </c>
    </row>
    <row r="1685" spans="1:6" x14ac:dyDescent="0.2">
      <c r="A1685" t="s">
        <v>2814</v>
      </c>
      <c r="B1685" t="s">
        <v>2922</v>
      </c>
      <c r="C1685">
        <v>14123463</v>
      </c>
      <c r="D1685" t="s">
        <v>512</v>
      </c>
      <c r="E1685" s="134">
        <v>32.880000000000003</v>
      </c>
      <c r="F1685" t="s">
        <v>2816</v>
      </c>
    </row>
    <row r="1686" spans="1:6" x14ac:dyDescent="0.2">
      <c r="A1686" t="s">
        <v>2814</v>
      </c>
      <c r="B1686" t="s">
        <v>2922</v>
      </c>
      <c r="C1686">
        <v>14123471</v>
      </c>
      <c r="D1686" t="s">
        <v>513</v>
      </c>
      <c r="E1686" s="134">
        <v>32.880000000000003</v>
      </c>
      <c r="F1686" t="s">
        <v>2816</v>
      </c>
    </row>
    <row r="1687" spans="1:6" x14ac:dyDescent="0.2">
      <c r="A1687" t="s">
        <v>2814</v>
      </c>
      <c r="B1687" t="s">
        <v>2922</v>
      </c>
      <c r="C1687">
        <v>14123473</v>
      </c>
      <c r="D1687" t="s">
        <v>514</v>
      </c>
      <c r="E1687" s="134">
        <v>32.880000000000003</v>
      </c>
      <c r="F1687" t="s">
        <v>2816</v>
      </c>
    </row>
    <row r="1688" spans="1:6" x14ac:dyDescent="0.2">
      <c r="A1688" t="s">
        <v>2814</v>
      </c>
      <c r="B1688" t="s">
        <v>2922</v>
      </c>
      <c r="C1688">
        <v>14123488</v>
      </c>
      <c r="D1688" t="s">
        <v>515</v>
      </c>
      <c r="E1688" s="134">
        <v>32.880000000000003</v>
      </c>
      <c r="F1688" t="s">
        <v>2816</v>
      </c>
    </row>
    <row r="1689" spans="1:6" x14ac:dyDescent="0.2">
      <c r="A1689" t="s">
        <v>2814</v>
      </c>
      <c r="B1689" t="s">
        <v>2922</v>
      </c>
      <c r="C1689">
        <v>14123489</v>
      </c>
      <c r="D1689" t="s">
        <v>516</v>
      </c>
      <c r="E1689" s="134">
        <v>32.880000000000003</v>
      </c>
      <c r="F1689" t="s">
        <v>2816</v>
      </c>
    </row>
    <row r="1690" spans="1:6" x14ac:dyDescent="0.2">
      <c r="A1690" t="s">
        <v>2814</v>
      </c>
      <c r="B1690" t="s">
        <v>2922</v>
      </c>
      <c r="C1690">
        <v>14123514</v>
      </c>
      <c r="D1690" t="s">
        <v>519</v>
      </c>
      <c r="E1690" s="134">
        <v>32.880000000000003</v>
      </c>
      <c r="F1690" t="s">
        <v>2816</v>
      </c>
    </row>
    <row r="1691" spans="1:6" x14ac:dyDescent="0.2">
      <c r="A1691" t="s">
        <v>2814</v>
      </c>
      <c r="B1691" t="s">
        <v>2922</v>
      </c>
      <c r="C1691">
        <v>14123516</v>
      </c>
      <c r="D1691" t="s">
        <v>520</v>
      </c>
      <c r="E1691" s="134">
        <v>32.880000000000003</v>
      </c>
      <c r="F1691" t="s">
        <v>2816</v>
      </c>
    </row>
    <row r="1692" spans="1:6" x14ac:dyDescent="0.2">
      <c r="A1692" t="s">
        <v>2814</v>
      </c>
      <c r="B1692" t="s">
        <v>2922</v>
      </c>
      <c r="C1692">
        <v>14123519</v>
      </c>
      <c r="D1692" t="s">
        <v>521</v>
      </c>
      <c r="E1692" s="134">
        <v>32.880000000000003</v>
      </c>
      <c r="F1692" t="s">
        <v>2816</v>
      </c>
    </row>
    <row r="1693" spans="1:6" x14ac:dyDescent="0.2">
      <c r="A1693" t="s">
        <v>2814</v>
      </c>
      <c r="B1693" t="s">
        <v>2922</v>
      </c>
      <c r="C1693">
        <v>14123522</v>
      </c>
      <c r="D1693" t="s">
        <v>522</v>
      </c>
      <c r="E1693" s="134">
        <v>32.880000000000003</v>
      </c>
      <c r="F1693" t="s">
        <v>2816</v>
      </c>
    </row>
    <row r="1694" spans="1:6" x14ac:dyDescent="0.2">
      <c r="A1694" t="s">
        <v>2814</v>
      </c>
      <c r="B1694" t="s">
        <v>2922</v>
      </c>
      <c r="C1694">
        <v>14123523</v>
      </c>
      <c r="D1694" t="s">
        <v>523</v>
      </c>
      <c r="E1694" s="134">
        <v>32.880000000000003</v>
      </c>
      <c r="F1694" t="s">
        <v>2816</v>
      </c>
    </row>
    <row r="1695" spans="1:6" x14ac:dyDescent="0.2">
      <c r="A1695" t="s">
        <v>2814</v>
      </c>
      <c r="B1695" t="s">
        <v>2922</v>
      </c>
      <c r="C1695">
        <v>14123526</v>
      </c>
      <c r="D1695" t="s">
        <v>524</v>
      </c>
      <c r="E1695" s="134">
        <v>32.880000000000003</v>
      </c>
      <c r="F1695" t="s">
        <v>2816</v>
      </c>
    </row>
    <row r="1696" spans="1:6" x14ac:dyDescent="0.2">
      <c r="A1696" t="s">
        <v>2814</v>
      </c>
      <c r="B1696" t="s">
        <v>2922</v>
      </c>
      <c r="C1696">
        <v>14123527</v>
      </c>
      <c r="D1696" t="s">
        <v>525</v>
      </c>
      <c r="E1696" s="134">
        <v>32.880000000000003</v>
      </c>
      <c r="F1696" t="s">
        <v>2816</v>
      </c>
    </row>
    <row r="1697" spans="1:6" x14ac:dyDescent="0.2">
      <c r="A1697" t="s">
        <v>2814</v>
      </c>
      <c r="B1697" t="s">
        <v>2922</v>
      </c>
      <c r="C1697">
        <v>14123528</v>
      </c>
      <c r="D1697" t="s">
        <v>526</v>
      </c>
      <c r="E1697" s="134">
        <v>32.880000000000003</v>
      </c>
      <c r="F1697" t="s">
        <v>2816</v>
      </c>
    </row>
    <row r="1698" spans="1:6" x14ac:dyDescent="0.2">
      <c r="A1698" t="s">
        <v>2814</v>
      </c>
      <c r="B1698" t="s">
        <v>2922</v>
      </c>
      <c r="C1698">
        <v>14123530</v>
      </c>
      <c r="D1698" t="s">
        <v>527</v>
      </c>
      <c r="E1698" s="134">
        <v>32.880000000000003</v>
      </c>
      <c r="F1698" t="s">
        <v>2816</v>
      </c>
    </row>
    <row r="1699" spans="1:6" x14ac:dyDescent="0.2">
      <c r="A1699" t="s">
        <v>2814</v>
      </c>
      <c r="B1699" t="s">
        <v>2922</v>
      </c>
      <c r="C1699">
        <v>14123536</v>
      </c>
      <c r="D1699" t="s">
        <v>528</v>
      </c>
      <c r="E1699" s="134">
        <v>32.880000000000003</v>
      </c>
      <c r="F1699" t="s">
        <v>2816</v>
      </c>
    </row>
    <row r="1700" spans="1:6" x14ac:dyDescent="0.2">
      <c r="A1700" t="s">
        <v>2814</v>
      </c>
      <c r="B1700" t="s">
        <v>2922</v>
      </c>
      <c r="C1700">
        <v>14123541</v>
      </c>
      <c r="D1700" t="s">
        <v>529</v>
      </c>
      <c r="E1700" s="134">
        <v>32.880000000000003</v>
      </c>
      <c r="F1700" t="s">
        <v>2816</v>
      </c>
    </row>
    <row r="1701" spans="1:6" x14ac:dyDescent="0.2">
      <c r="A1701" t="s">
        <v>2814</v>
      </c>
      <c r="B1701" t="s">
        <v>2922</v>
      </c>
      <c r="C1701">
        <v>14123557</v>
      </c>
      <c r="D1701" t="s">
        <v>530</v>
      </c>
      <c r="E1701" s="134">
        <v>32.880000000000003</v>
      </c>
      <c r="F1701" t="s">
        <v>2816</v>
      </c>
    </row>
    <row r="1702" spans="1:6" x14ac:dyDescent="0.2">
      <c r="A1702" t="s">
        <v>2814</v>
      </c>
      <c r="B1702" t="s">
        <v>2922</v>
      </c>
      <c r="C1702">
        <v>14123559</v>
      </c>
      <c r="D1702" t="s">
        <v>531</v>
      </c>
      <c r="E1702" s="134">
        <v>32.880000000000003</v>
      </c>
      <c r="F1702" t="s">
        <v>2816</v>
      </c>
    </row>
    <row r="1703" spans="1:6" x14ac:dyDescent="0.2">
      <c r="A1703" t="s">
        <v>2814</v>
      </c>
      <c r="B1703" t="s">
        <v>2922</v>
      </c>
      <c r="C1703">
        <v>14123562</v>
      </c>
      <c r="D1703" t="s">
        <v>532</v>
      </c>
      <c r="E1703" s="134">
        <v>32.880000000000003</v>
      </c>
      <c r="F1703" t="s">
        <v>2816</v>
      </c>
    </row>
    <row r="1704" spans="1:6" x14ac:dyDescent="0.2">
      <c r="A1704" t="s">
        <v>2814</v>
      </c>
      <c r="B1704" t="s">
        <v>2922</v>
      </c>
      <c r="C1704">
        <v>14123568</v>
      </c>
      <c r="D1704" t="s">
        <v>533</v>
      </c>
      <c r="E1704" s="134">
        <v>32.880000000000003</v>
      </c>
      <c r="F1704" t="s">
        <v>2816</v>
      </c>
    </row>
    <row r="1705" spans="1:6" x14ac:dyDescent="0.2">
      <c r="A1705" t="s">
        <v>2814</v>
      </c>
      <c r="B1705" t="s">
        <v>2922</v>
      </c>
      <c r="C1705">
        <v>14123569</v>
      </c>
      <c r="D1705" t="s">
        <v>534</v>
      </c>
      <c r="E1705" s="134">
        <v>32.880000000000003</v>
      </c>
      <c r="F1705" t="s">
        <v>2816</v>
      </c>
    </row>
    <row r="1706" spans="1:6" x14ac:dyDescent="0.2">
      <c r="A1706" t="s">
        <v>2814</v>
      </c>
      <c r="B1706" t="s">
        <v>2922</v>
      </c>
      <c r="C1706">
        <v>14123570</v>
      </c>
      <c r="D1706" t="s">
        <v>535</v>
      </c>
      <c r="E1706" s="134">
        <v>32.880000000000003</v>
      </c>
      <c r="F1706" t="s">
        <v>2816</v>
      </c>
    </row>
    <row r="1707" spans="1:6" x14ac:dyDescent="0.2">
      <c r="A1707" t="s">
        <v>2814</v>
      </c>
      <c r="B1707" t="s">
        <v>2922</v>
      </c>
      <c r="C1707">
        <v>14123571</v>
      </c>
      <c r="D1707" t="s">
        <v>536</v>
      </c>
      <c r="E1707" s="134">
        <v>32.880000000000003</v>
      </c>
      <c r="F1707" t="s">
        <v>2816</v>
      </c>
    </row>
    <row r="1708" spans="1:6" x14ac:dyDescent="0.2">
      <c r="A1708" t="s">
        <v>2814</v>
      </c>
      <c r="B1708" t="s">
        <v>2922</v>
      </c>
      <c r="C1708">
        <v>14123572</v>
      </c>
      <c r="D1708" t="s">
        <v>537</v>
      </c>
      <c r="E1708" s="134">
        <v>32.880000000000003</v>
      </c>
      <c r="F1708" t="s">
        <v>2816</v>
      </c>
    </row>
    <row r="1709" spans="1:6" x14ac:dyDescent="0.2">
      <c r="A1709" t="s">
        <v>2814</v>
      </c>
      <c r="B1709" t="s">
        <v>2922</v>
      </c>
      <c r="C1709">
        <v>14123573</v>
      </c>
      <c r="D1709" t="s">
        <v>538</v>
      </c>
      <c r="E1709" s="134">
        <v>32.880000000000003</v>
      </c>
      <c r="F1709" t="s">
        <v>2816</v>
      </c>
    </row>
    <row r="1710" spans="1:6" x14ac:dyDescent="0.2">
      <c r="A1710" t="s">
        <v>2814</v>
      </c>
      <c r="B1710" t="s">
        <v>2922</v>
      </c>
      <c r="C1710">
        <v>14123591</v>
      </c>
      <c r="D1710" t="s">
        <v>539</v>
      </c>
      <c r="E1710" s="134">
        <v>32.880000000000003</v>
      </c>
      <c r="F1710" t="s">
        <v>2816</v>
      </c>
    </row>
    <row r="1711" spans="1:6" x14ac:dyDescent="0.2">
      <c r="A1711" t="s">
        <v>2814</v>
      </c>
      <c r="B1711" t="s">
        <v>2922</v>
      </c>
      <c r="C1711">
        <v>14123599</v>
      </c>
      <c r="D1711" t="s">
        <v>540</v>
      </c>
      <c r="E1711" s="134">
        <v>32.880000000000003</v>
      </c>
      <c r="F1711" t="s">
        <v>2816</v>
      </c>
    </row>
    <row r="1712" spans="1:6" x14ac:dyDescent="0.2">
      <c r="A1712" t="s">
        <v>2814</v>
      </c>
      <c r="B1712" t="s">
        <v>2922</v>
      </c>
      <c r="C1712">
        <v>14123629</v>
      </c>
      <c r="D1712" t="s">
        <v>541</v>
      </c>
      <c r="E1712" s="134">
        <v>32.880000000000003</v>
      </c>
      <c r="F1712" t="s">
        <v>2816</v>
      </c>
    </row>
    <row r="1713" spans="1:6" x14ac:dyDescent="0.2">
      <c r="A1713" t="s">
        <v>2814</v>
      </c>
      <c r="B1713" t="s">
        <v>2922</v>
      </c>
      <c r="C1713">
        <v>14123634</v>
      </c>
      <c r="D1713" t="s">
        <v>897</v>
      </c>
      <c r="E1713" s="134">
        <v>32.880000000000003</v>
      </c>
      <c r="F1713" t="s">
        <v>2816</v>
      </c>
    </row>
    <row r="1714" spans="1:6" x14ac:dyDescent="0.2">
      <c r="A1714" t="s">
        <v>2814</v>
      </c>
      <c r="B1714" t="s">
        <v>2922</v>
      </c>
      <c r="C1714">
        <v>14123635</v>
      </c>
      <c r="D1714" t="s">
        <v>899</v>
      </c>
      <c r="E1714" s="134">
        <v>32.880000000000003</v>
      </c>
      <c r="F1714" t="s">
        <v>2816</v>
      </c>
    </row>
    <row r="1715" spans="1:6" x14ac:dyDescent="0.2">
      <c r="A1715" t="s">
        <v>2814</v>
      </c>
      <c r="B1715" t="s">
        <v>2922</v>
      </c>
      <c r="C1715">
        <v>14123640</v>
      </c>
      <c r="D1715" t="s">
        <v>900</v>
      </c>
      <c r="E1715" s="134">
        <v>32.880000000000003</v>
      </c>
      <c r="F1715" t="s">
        <v>2816</v>
      </c>
    </row>
    <row r="1716" spans="1:6" x14ac:dyDescent="0.2">
      <c r="A1716" t="s">
        <v>2814</v>
      </c>
      <c r="B1716" t="s">
        <v>2922</v>
      </c>
      <c r="C1716">
        <v>14123642</v>
      </c>
      <c r="D1716" t="s">
        <v>901</v>
      </c>
      <c r="E1716" s="134">
        <v>32.880000000000003</v>
      </c>
      <c r="F1716" t="s">
        <v>2816</v>
      </c>
    </row>
    <row r="1717" spans="1:6" x14ac:dyDescent="0.2">
      <c r="A1717" t="s">
        <v>2814</v>
      </c>
      <c r="B1717" t="s">
        <v>2922</v>
      </c>
      <c r="C1717">
        <v>14123649</v>
      </c>
      <c r="D1717" t="s">
        <v>902</v>
      </c>
      <c r="E1717" s="134">
        <v>32.880000000000003</v>
      </c>
      <c r="F1717" t="s">
        <v>2816</v>
      </c>
    </row>
    <row r="1718" spans="1:6" x14ac:dyDescent="0.2">
      <c r="A1718" t="s">
        <v>2814</v>
      </c>
      <c r="B1718" t="s">
        <v>2922</v>
      </c>
      <c r="C1718">
        <v>14123651</v>
      </c>
      <c r="D1718" t="s">
        <v>904</v>
      </c>
      <c r="E1718" s="134">
        <v>32.880000000000003</v>
      </c>
      <c r="F1718" t="s">
        <v>2816</v>
      </c>
    </row>
    <row r="1719" spans="1:6" x14ac:dyDescent="0.2">
      <c r="A1719" t="s">
        <v>2814</v>
      </c>
      <c r="B1719" t="s">
        <v>2922</v>
      </c>
      <c r="C1719">
        <v>14123652</v>
      </c>
      <c r="D1719" t="s">
        <v>905</v>
      </c>
      <c r="E1719" s="134">
        <v>32.880000000000003</v>
      </c>
      <c r="F1719" t="s">
        <v>2816</v>
      </c>
    </row>
    <row r="1720" spans="1:6" x14ac:dyDescent="0.2">
      <c r="A1720" t="s">
        <v>2814</v>
      </c>
      <c r="B1720" t="s">
        <v>2922</v>
      </c>
      <c r="C1720">
        <v>14123654</v>
      </c>
      <c r="D1720" t="s">
        <v>934</v>
      </c>
      <c r="E1720" s="134">
        <v>32.880000000000003</v>
      </c>
      <c r="F1720" t="s">
        <v>2816</v>
      </c>
    </row>
    <row r="1721" spans="1:6" x14ac:dyDescent="0.2">
      <c r="A1721" t="s">
        <v>2814</v>
      </c>
      <c r="B1721" t="s">
        <v>2922</v>
      </c>
      <c r="C1721">
        <v>14123655</v>
      </c>
      <c r="D1721" t="s">
        <v>935</v>
      </c>
      <c r="E1721" s="134">
        <v>32.880000000000003</v>
      </c>
      <c r="F1721" t="s">
        <v>2816</v>
      </c>
    </row>
    <row r="1722" spans="1:6" x14ac:dyDescent="0.2">
      <c r="A1722" t="s">
        <v>2814</v>
      </c>
      <c r="B1722" t="s">
        <v>2922</v>
      </c>
      <c r="C1722">
        <v>14123656</v>
      </c>
      <c r="D1722" t="s">
        <v>936</v>
      </c>
      <c r="E1722" s="134">
        <v>32.880000000000003</v>
      </c>
      <c r="F1722" t="s">
        <v>2816</v>
      </c>
    </row>
    <row r="1723" spans="1:6" x14ac:dyDescent="0.2">
      <c r="A1723" t="s">
        <v>2814</v>
      </c>
      <c r="B1723" t="s">
        <v>2922</v>
      </c>
      <c r="C1723">
        <v>14123657</v>
      </c>
      <c r="D1723" t="s">
        <v>937</v>
      </c>
      <c r="E1723" s="134">
        <v>32.880000000000003</v>
      </c>
      <c r="F1723" t="s">
        <v>2816</v>
      </c>
    </row>
    <row r="1724" spans="1:6" x14ac:dyDescent="0.2">
      <c r="A1724" t="s">
        <v>2814</v>
      </c>
      <c r="B1724" t="s">
        <v>2922</v>
      </c>
      <c r="C1724">
        <v>14123696</v>
      </c>
      <c r="D1724" t="s">
        <v>938</v>
      </c>
      <c r="E1724" s="134">
        <v>32.880000000000003</v>
      </c>
      <c r="F1724" t="s">
        <v>2816</v>
      </c>
    </row>
    <row r="1725" spans="1:6" x14ac:dyDescent="0.2">
      <c r="A1725" t="s">
        <v>2814</v>
      </c>
      <c r="B1725" t="s">
        <v>2922</v>
      </c>
      <c r="C1725">
        <v>14123702</v>
      </c>
      <c r="D1725" t="s">
        <v>940</v>
      </c>
      <c r="E1725" s="134">
        <v>32.880000000000003</v>
      </c>
      <c r="F1725" t="s">
        <v>2816</v>
      </c>
    </row>
    <row r="1726" spans="1:6" x14ac:dyDescent="0.2">
      <c r="A1726" t="s">
        <v>2814</v>
      </c>
      <c r="B1726" t="s">
        <v>2922</v>
      </c>
      <c r="C1726">
        <v>14123704</v>
      </c>
      <c r="D1726" t="s">
        <v>942</v>
      </c>
      <c r="E1726" s="134">
        <v>32.880000000000003</v>
      </c>
      <c r="F1726" t="s">
        <v>2816</v>
      </c>
    </row>
    <row r="1727" spans="1:6" x14ac:dyDescent="0.2">
      <c r="A1727" t="s">
        <v>2814</v>
      </c>
      <c r="B1727" t="s">
        <v>2922</v>
      </c>
      <c r="C1727">
        <v>14123708</v>
      </c>
      <c r="D1727" t="s">
        <v>945</v>
      </c>
      <c r="E1727" s="134">
        <v>32.880000000000003</v>
      </c>
      <c r="F1727" t="s">
        <v>2816</v>
      </c>
    </row>
    <row r="1728" spans="1:6" x14ac:dyDescent="0.2">
      <c r="A1728" t="s">
        <v>2814</v>
      </c>
      <c r="B1728" t="s">
        <v>2922</v>
      </c>
      <c r="C1728">
        <v>14123709</v>
      </c>
      <c r="D1728" t="s">
        <v>946</v>
      </c>
      <c r="E1728" s="134">
        <v>32.880000000000003</v>
      </c>
      <c r="F1728" t="s">
        <v>2816</v>
      </c>
    </row>
    <row r="1729" spans="1:6" x14ac:dyDescent="0.2">
      <c r="A1729" t="s">
        <v>2814</v>
      </c>
      <c r="B1729" t="s">
        <v>2922</v>
      </c>
      <c r="C1729">
        <v>14123719</v>
      </c>
      <c r="D1729" t="s">
        <v>953</v>
      </c>
      <c r="E1729" s="134">
        <v>32.880000000000003</v>
      </c>
      <c r="F1729" t="s">
        <v>2816</v>
      </c>
    </row>
    <row r="1730" spans="1:6" x14ac:dyDescent="0.2">
      <c r="A1730" t="s">
        <v>2814</v>
      </c>
      <c r="B1730" t="s">
        <v>2922</v>
      </c>
      <c r="C1730">
        <v>14123720</v>
      </c>
      <c r="D1730" t="s">
        <v>955</v>
      </c>
      <c r="E1730" s="134">
        <v>32.880000000000003</v>
      </c>
      <c r="F1730" t="s">
        <v>2816</v>
      </c>
    </row>
    <row r="1731" spans="1:6" x14ac:dyDescent="0.2">
      <c r="A1731" t="s">
        <v>2814</v>
      </c>
      <c r="B1731" t="s">
        <v>2922</v>
      </c>
      <c r="C1731">
        <v>14123725</v>
      </c>
      <c r="D1731" t="s">
        <v>956</v>
      </c>
      <c r="E1731" s="134">
        <v>32.880000000000003</v>
      </c>
      <c r="F1731" t="s">
        <v>2816</v>
      </c>
    </row>
    <row r="1732" spans="1:6" x14ac:dyDescent="0.2">
      <c r="A1732" t="s">
        <v>2814</v>
      </c>
      <c r="B1732" t="s">
        <v>2922</v>
      </c>
      <c r="C1732">
        <v>14123754</v>
      </c>
      <c r="D1732" t="s">
        <v>957</v>
      </c>
      <c r="E1732" s="134">
        <v>32.880000000000003</v>
      </c>
      <c r="F1732" t="s">
        <v>2816</v>
      </c>
    </row>
    <row r="1733" spans="1:6" x14ac:dyDescent="0.2">
      <c r="A1733" t="s">
        <v>2814</v>
      </c>
      <c r="B1733" t="s">
        <v>2922</v>
      </c>
      <c r="C1733">
        <v>14123770</v>
      </c>
      <c r="D1733" t="s">
        <v>959</v>
      </c>
      <c r="E1733" s="134">
        <v>32.880000000000003</v>
      </c>
      <c r="F1733" t="s">
        <v>2816</v>
      </c>
    </row>
    <row r="1734" spans="1:6" x14ac:dyDescent="0.2">
      <c r="A1734" t="s">
        <v>2814</v>
      </c>
      <c r="B1734" t="s">
        <v>2922</v>
      </c>
      <c r="C1734">
        <v>14123771</v>
      </c>
      <c r="D1734" t="s">
        <v>960</v>
      </c>
      <c r="E1734" s="134">
        <v>32.880000000000003</v>
      </c>
      <c r="F1734" t="s">
        <v>2816</v>
      </c>
    </row>
    <row r="1735" spans="1:6" x14ac:dyDescent="0.2">
      <c r="A1735" t="s">
        <v>2814</v>
      </c>
      <c r="B1735" t="s">
        <v>2922</v>
      </c>
      <c r="C1735">
        <v>14123786</v>
      </c>
      <c r="D1735" t="s">
        <v>961</v>
      </c>
      <c r="E1735" s="134">
        <v>32.880000000000003</v>
      </c>
      <c r="F1735" t="s">
        <v>2816</v>
      </c>
    </row>
    <row r="1736" spans="1:6" x14ac:dyDescent="0.2">
      <c r="A1736" t="s">
        <v>2814</v>
      </c>
      <c r="B1736" t="s">
        <v>2922</v>
      </c>
      <c r="C1736">
        <v>14123787</v>
      </c>
      <c r="D1736" t="s">
        <v>963</v>
      </c>
      <c r="E1736" s="134">
        <v>32.880000000000003</v>
      </c>
      <c r="F1736" t="s">
        <v>2816</v>
      </c>
    </row>
    <row r="1737" spans="1:6" x14ac:dyDescent="0.2">
      <c r="A1737" t="s">
        <v>2814</v>
      </c>
      <c r="B1737" t="s">
        <v>2922</v>
      </c>
      <c r="C1737">
        <v>14123789</v>
      </c>
      <c r="D1737" t="s">
        <v>964</v>
      </c>
      <c r="E1737" s="134">
        <v>32.880000000000003</v>
      </c>
      <c r="F1737" t="s">
        <v>2816</v>
      </c>
    </row>
    <row r="1738" spans="1:6" x14ac:dyDescent="0.2">
      <c r="A1738" t="s">
        <v>2814</v>
      </c>
      <c r="B1738" t="s">
        <v>2922</v>
      </c>
      <c r="C1738">
        <v>14123808</v>
      </c>
      <c r="D1738" t="s">
        <v>965</v>
      </c>
      <c r="E1738" s="134">
        <v>32.880000000000003</v>
      </c>
      <c r="F1738" t="s">
        <v>2816</v>
      </c>
    </row>
    <row r="1739" spans="1:6" x14ac:dyDescent="0.2">
      <c r="A1739" t="s">
        <v>2814</v>
      </c>
      <c r="B1739" t="s">
        <v>2922</v>
      </c>
      <c r="C1739">
        <v>14123819</v>
      </c>
      <c r="D1739" t="s">
        <v>967</v>
      </c>
      <c r="E1739" s="134">
        <v>32.880000000000003</v>
      </c>
      <c r="F1739" t="s">
        <v>2816</v>
      </c>
    </row>
    <row r="1740" spans="1:6" x14ac:dyDescent="0.2">
      <c r="A1740" t="s">
        <v>2814</v>
      </c>
      <c r="B1740" t="s">
        <v>2922</v>
      </c>
      <c r="C1740">
        <v>14123843</v>
      </c>
      <c r="D1740" t="s">
        <v>970</v>
      </c>
      <c r="E1740" s="134">
        <v>32.880000000000003</v>
      </c>
      <c r="F1740" t="s">
        <v>2816</v>
      </c>
    </row>
    <row r="1741" spans="1:6" x14ac:dyDescent="0.2">
      <c r="A1741" t="s">
        <v>2814</v>
      </c>
      <c r="B1741" t="s">
        <v>2922</v>
      </c>
      <c r="C1741">
        <v>14123845</v>
      </c>
      <c r="D1741" t="s">
        <v>973</v>
      </c>
      <c r="E1741" s="134">
        <v>32.880000000000003</v>
      </c>
      <c r="F1741" t="s">
        <v>2816</v>
      </c>
    </row>
    <row r="1742" spans="1:6" x14ac:dyDescent="0.2">
      <c r="A1742" t="s">
        <v>2814</v>
      </c>
      <c r="B1742" t="s">
        <v>2922</v>
      </c>
      <c r="C1742">
        <v>14123846</v>
      </c>
      <c r="D1742" t="s">
        <v>974</v>
      </c>
      <c r="E1742" s="134">
        <v>32.880000000000003</v>
      </c>
      <c r="F1742" t="s">
        <v>2816</v>
      </c>
    </row>
    <row r="1743" spans="1:6" x14ac:dyDescent="0.2">
      <c r="A1743" t="s">
        <v>2814</v>
      </c>
      <c r="B1743" t="s">
        <v>2922</v>
      </c>
      <c r="C1743">
        <v>14123855</v>
      </c>
      <c r="D1743" t="s">
        <v>975</v>
      </c>
      <c r="E1743" s="134">
        <v>32.880000000000003</v>
      </c>
      <c r="F1743" t="s">
        <v>2816</v>
      </c>
    </row>
    <row r="1744" spans="1:6" x14ac:dyDescent="0.2">
      <c r="A1744" t="s">
        <v>2814</v>
      </c>
      <c r="B1744" t="s">
        <v>2922</v>
      </c>
      <c r="C1744">
        <v>14123884</v>
      </c>
      <c r="D1744" t="s">
        <v>976</v>
      </c>
      <c r="E1744" s="134">
        <v>32.880000000000003</v>
      </c>
      <c r="F1744" t="s">
        <v>2816</v>
      </c>
    </row>
    <row r="1745" spans="1:6" x14ac:dyDescent="0.2">
      <c r="A1745" t="s">
        <v>2814</v>
      </c>
      <c r="B1745" t="s">
        <v>2922</v>
      </c>
      <c r="C1745">
        <v>14123885</v>
      </c>
      <c r="D1745" t="s">
        <v>978</v>
      </c>
      <c r="E1745" s="134">
        <v>32.880000000000003</v>
      </c>
      <c r="F1745" t="s">
        <v>2816</v>
      </c>
    </row>
    <row r="1746" spans="1:6" x14ac:dyDescent="0.2">
      <c r="A1746" t="s">
        <v>2814</v>
      </c>
      <c r="B1746" t="s">
        <v>2922</v>
      </c>
      <c r="C1746">
        <v>14123893</v>
      </c>
      <c r="D1746" t="s">
        <v>979</v>
      </c>
      <c r="E1746" s="134">
        <v>32.880000000000003</v>
      </c>
      <c r="F1746" t="s">
        <v>2816</v>
      </c>
    </row>
    <row r="1747" spans="1:6" x14ac:dyDescent="0.2">
      <c r="A1747" t="s">
        <v>2814</v>
      </c>
      <c r="B1747" t="s">
        <v>2922</v>
      </c>
      <c r="C1747">
        <v>14123894</v>
      </c>
      <c r="D1747" t="s">
        <v>981</v>
      </c>
      <c r="E1747" s="134">
        <v>32.880000000000003</v>
      </c>
      <c r="F1747" t="s">
        <v>2816</v>
      </c>
    </row>
    <row r="1748" spans="1:6" x14ac:dyDescent="0.2">
      <c r="A1748" t="s">
        <v>2814</v>
      </c>
      <c r="B1748" t="s">
        <v>2922</v>
      </c>
      <c r="C1748">
        <v>14123917</v>
      </c>
      <c r="D1748" t="s">
        <v>989</v>
      </c>
      <c r="E1748" s="134">
        <v>32.880000000000003</v>
      </c>
      <c r="F1748" t="s">
        <v>2816</v>
      </c>
    </row>
    <row r="1749" spans="1:6" x14ac:dyDescent="0.2">
      <c r="A1749" t="s">
        <v>2814</v>
      </c>
      <c r="B1749" t="s">
        <v>2922</v>
      </c>
      <c r="C1749">
        <v>14123918</v>
      </c>
      <c r="D1749" t="s">
        <v>991</v>
      </c>
      <c r="E1749" s="134">
        <v>32.880000000000003</v>
      </c>
      <c r="F1749" t="s">
        <v>2816</v>
      </c>
    </row>
    <row r="1750" spans="1:6" x14ac:dyDescent="0.2">
      <c r="A1750" t="s">
        <v>2814</v>
      </c>
      <c r="B1750" t="s">
        <v>2922</v>
      </c>
      <c r="C1750">
        <v>14123919</v>
      </c>
      <c r="D1750" t="s">
        <v>992</v>
      </c>
      <c r="E1750" s="134">
        <v>32.880000000000003</v>
      </c>
      <c r="F1750" t="s">
        <v>2816</v>
      </c>
    </row>
    <row r="1751" spans="1:6" x14ac:dyDescent="0.2">
      <c r="A1751" t="s">
        <v>2814</v>
      </c>
      <c r="B1751" t="s">
        <v>2922</v>
      </c>
      <c r="C1751">
        <v>14123920</v>
      </c>
      <c r="D1751" t="s">
        <v>993</v>
      </c>
      <c r="E1751" s="134">
        <v>32.880000000000003</v>
      </c>
      <c r="F1751" t="s">
        <v>2816</v>
      </c>
    </row>
    <row r="1752" spans="1:6" x14ac:dyDescent="0.2">
      <c r="A1752" t="s">
        <v>2814</v>
      </c>
      <c r="B1752" t="s">
        <v>2922</v>
      </c>
      <c r="C1752">
        <v>14123925</v>
      </c>
      <c r="D1752" t="s">
        <v>994</v>
      </c>
      <c r="E1752" s="134">
        <v>32.880000000000003</v>
      </c>
      <c r="F1752" t="s">
        <v>2816</v>
      </c>
    </row>
    <row r="1753" spans="1:6" x14ac:dyDescent="0.2">
      <c r="A1753" t="s">
        <v>2814</v>
      </c>
      <c r="B1753" t="s">
        <v>2922</v>
      </c>
      <c r="C1753">
        <v>14123926</v>
      </c>
      <c r="D1753" t="s">
        <v>995</v>
      </c>
      <c r="E1753" s="134">
        <v>32.880000000000003</v>
      </c>
      <c r="F1753" t="s">
        <v>2816</v>
      </c>
    </row>
    <row r="1754" spans="1:6" x14ac:dyDescent="0.2">
      <c r="A1754" t="s">
        <v>2814</v>
      </c>
      <c r="B1754" t="s">
        <v>2922</v>
      </c>
      <c r="C1754">
        <v>14123927</v>
      </c>
      <c r="D1754" t="s">
        <v>996</v>
      </c>
      <c r="E1754" s="134">
        <v>32.880000000000003</v>
      </c>
      <c r="F1754" t="s">
        <v>2816</v>
      </c>
    </row>
    <row r="1755" spans="1:6" x14ac:dyDescent="0.2">
      <c r="A1755" t="s">
        <v>2814</v>
      </c>
      <c r="B1755" t="s">
        <v>2922</v>
      </c>
      <c r="C1755">
        <v>14123950</v>
      </c>
      <c r="D1755" t="s">
        <v>997</v>
      </c>
      <c r="E1755" s="134">
        <v>32.880000000000003</v>
      </c>
      <c r="F1755" t="s">
        <v>2816</v>
      </c>
    </row>
    <row r="1756" spans="1:6" x14ac:dyDescent="0.2">
      <c r="A1756" t="s">
        <v>2814</v>
      </c>
      <c r="B1756" t="s">
        <v>2922</v>
      </c>
      <c r="C1756">
        <v>14123951</v>
      </c>
      <c r="D1756" t="s">
        <v>998</v>
      </c>
      <c r="E1756" s="134">
        <v>32.880000000000003</v>
      </c>
      <c r="F1756" t="s">
        <v>2816</v>
      </c>
    </row>
    <row r="1757" spans="1:6" x14ac:dyDescent="0.2">
      <c r="A1757" t="s">
        <v>2814</v>
      </c>
      <c r="B1757" t="s">
        <v>2922</v>
      </c>
      <c r="C1757">
        <v>14123971</v>
      </c>
      <c r="D1757" t="s">
        <v>999</v>
      </c>
      <c r="E1757" s="134">
        <v>32.880000000000003</v>
      </c>
      <c r="F1757" t="s">
        <v>2816</v>
      </c>
    </row>
    <row r="1758" spans="1:6" x14ac:dyDescent="0.2">
      <c r="A1758" t="s">
        <v>2814</v>
      </c>
      <c r="B1758" t="s">
        <v>2922</v>
      </c>
      <c r="C1758">
        <v>14123985</v>
      </c>
      <c r="D1758" t="s">
        <v>1001</v>
      </c>
      <c r="E1758" s="134">
        <v>32.880000000000003</v>
      </c>
      <c r="F1758" t="s">
        <v>2816</v>
      </c>
    </row>
    <row r="1759" spans="1:6" x14ac:dyDescent="0.2">
      <c r="A1759" t="s">
        <v>2814</v>
      </c>
      <c r="B1759" t="s">
        <v>2922</v>
      </c>
      <c r="C1759">
        <v>14123986</v>
      </c>
      <c r="D1759" t="s">
        <v>1002</v>
      </c>
      <c r="E1759" s="134">
        <v>32.880000000000003</v>
      </c>
      <c r="F1759" t="s">
        <v>2816</v>
      </c>
    </row>
    <row r="1760" spans="1:6" x14ac:dyDescent="0.2">
      <c r="A1760" t="s">
        <v>2814</v>
      </c>
      <c r="B1760" t="s">
        <v>2922</v>
      </c>
      <c r="C1760">
        <v>14123987</v>
      </c>
      <c r="D1760" t="s">
        <v>1003</v>
      </c>
      <c r="E1760" s="134">
        <v>32.880000000000003</v>
      </c>
      <c r="F1760" t="s">
        <v>2816</v>
      </c>
    </row>
    <row r="1761" spans="1:6" x14ac:dyDescent="0.2">
      <c r="A1761" t="s">
        <v>2814</v>
      </c>
      <c r="B1761" t="s">
        <v>2922</v>
      </c>
      <c r="C1761">
        <v>14123988</v>
      </c>
      <c r="D1761" t="s">
        <v>1004</v>
      </c>
      <c r="E1761" s="134">
        <v>32.880000000000003</v>
      </c>
      <c r="F1761" t="s">
        <v>2816</v>
      </c>
    </row>
    <row r="1762" spans="1:6" x14ac:dyDescent="0.2">
      <c r="A1762" t="s">
        <v>2814</v>
      </c>
      <c r="B1762" t="s">
        <v>2922</v>
      </c>
      <c r="C1762">
        <v>14124002</v>
      </c>
      <c r="D1762" t="s">
        <v>1005</v>
      </c>
      <c r="E1762" s="134">
        <v>32.880000000000003</v>
      </c>
      <c r="F1762" t="s">
        <v>2816</v>
      </c>
    </row>
    <row r="1763" spans="1:6" x14ac:dyDescent="0.2">
      <c r="A1763" t="s">
        <v>2814</v>
      </c>
      <c r="B1763" t="s">
        <v>2922</v>
      </c>
      <c r="C1763">
        <v>14124020</v>
      </c>
      <c r="D1763" t="s">
        <v>1006</v>
      </c>
      <c r="E1763" s="134">
        <v>32.880000000000003</v>
      </c>
      <c r="F1763" t="s">
        <v>2816</v>
      </c>
    </row>
    <row r="1764" spans="1:6" x14ac:dyDescent="0.2">
      <c r="A1764" t="s">
        <v>2814</v>
      </c>
      <c r="B1764" t="s">
        <v>2922</v>
      </c>
      <c r="C1764">
        <v>14124028</v>
      </c>
      <c r="D1764" t="s">
        <v>1008</v>
      </c>
      <c r="E1764" s="134">
        <v>32.880000000000003</v>
      </c>
      <c r="F1764" t="s">
        <v>2816</v>
      </c>
    </row>
    <row r="1765" spans="1:6" x14ac:dyDescent="0.2">
      <c r="A1765" t="s">
        <v>2814</v>
      </c>
      <c r="B1765" t="s">
        <v>2922</v>
      </c>
      <c r="C1765">
        <v>14124031</v>
      </c>
      <c r="D1765" t="s">
        <v>1010</v>
      </c>
      <c r="E1765" s="134">
        <v>32.880000000000003</v>
      </c>
      <c r="F1765" t="s">
        <v>2816</v>
      </c>
    </row>
    <row r="1766" spans="1:6" x14ac:dyDescent="0.2">
      <c r="A1766" t="s">
        <v>2814</v>
      </c>
      <c r="B1766" t="s">
        <v>2922</v>
      </c>
      <c r="C1766">
        <v>14124041</v>
      </c>
      <c r="D1766" t="s">
        <v>1011</v>
      </c>
      <c r="E1766" s="134">
        <v>32.880000000000003</v>
      </c>
      <c r="F1766" t="s">
        <v>2816</v>
      </c>
    </row>
    <row r="1767" spans="1:6" x14ac:dyDescent="0.2">
      <c r="A1767" t="s">
        <v>2814</v>
      </c>
      <c r="B1767" t="s">
        <v>2922</v>
      </c>
      <c r="C1767">
        <v>14124060</v>
      </c>
      <c r="D1767" t="s">
        <v>2925</v>
      </c>
      <c r="E1767" s="134">
        <v>32.880000000000003</v>
      </c>
      <c r="F1767" t="s">
        <v>2816</v>
      </c>
    </row>
    <row r="1768" spans="1:6" x14ac:dyDescent="0.2">
      <c r="A1768" t="s">
        <v>2814</v>
      </c>
      <c r="B1768" t="s">
        <v>2922</v>
      </c>
      <c r="C1768">
        <v>14124061</v>
      </c>
      <c r="D1768" t="s">
        <v>2926</v>
      </c>
      <c r="E1768" s="134">
        <v>32.880000000000003</v>
      </c>
      <c r="F1768" t="s">
        <v>2816</v>
      </c>
    </row>
    <row r="1769" spans="1:6" x14ac:dyDescent="0.2">
      <c r="A1769" t="s">
        <v>2814</v>
      </c>
      <c r="B1769" t="s">
        <v>2922</v>
      </c>
      <c r="C1769">
        <v>14124062</v>
      </c>
      <c r="D1769" t="s">
        <v>2927</v>
      </c>
      <c r="E1769" s="134">
        <v>32.880000000000003</v>
      </c>
      <c r="F1769" t="s">
        <v>2816</v>
      </c>
    </row>
    <row r="1770" spans="1:6" x14ac:dyDescent="0.2">
      <c r="A1770" t="s">
        <v>2814</v>
      </c>
      <c r="B1770" t="s">
        <v>2922</v>
      </c>
      <c r="C1770">
        <v>14124076</v>
      </c>
      <c r="D1770" t="s">
        <v>2928</v>
      </c>
      <c r="E1770" s="134">
        <v>32.880000000000003</v>
      </c>
      <c r="F1770" t="s">
        <v>2816</v>
      </c>
    </row>
    <row r="1771" spans="1:6" x14ac:dyDescent="0.2">
      <c r="A1771" t="s">
        <v>2814</v>
      </c>
      <c r="B1771" t="s">
        <v>2922</v>
      </c>
      <c r="C1771">
        <v>14124090</v>
      </c>
      <c r="D1771" t="s">
        <v>2929</v>
      </c>
      <c r="E1771" s="134">
        <v>28.19</v>
      </c>
      <c r="F1771" t="s">
        <v>2816</v>
      </c>
    </row>
    <row r="1772" spans="1:6" x14ac:dyDescent="0.2">
      <c r="A1772" t="s">
        <v>2814</v>
      </c>
      <c r="B1772" t="s">
        <v>2922</v>
      </c>
      <c r="C1772">
        <v>14124091</v>
      </c>
      <c r="D1772" t="s">
        <v>2930</v>
      </c>
      <c r="E1772" s="134">
        <v>28.19</v>
      </c>
      <c r="F1772" t="s">
        <v>2816</v>
      </c>
    </row>
    <row r="1773" spans="1:6" x14ac:dyDescent="0.2">
      <c r="A1773" t="s">
        <v>2814</v>
      </c>
      <c r="B1773" t="s">
        <v>2922</v>
      </c>
      <c r="C1773">
        <v>14100913</v>
      </c>
      <c r="D1773" t="s">
        <v>2931</v>
      </c>
      <c r="E1773" s="134">
        <v>30.53</v>
      </c>
      <c r="F1773" t="s">
        <v>2816</v>
      </c>
    </row>
    <row r="1774" spans="1:6" x14ac:dyDescent="0.2">
      <c r="A1774" t="s">
        <v>2814</v>
      </c>
      <c r="B1774" t="s">
        <v>2922</v>
      </c>
      <c r="C1774">
        <v>14102637</v>
      </c>
      <c r="D1774" t="s">
        <v>2911</v>
      </c>
      <c r="E1774" s="134">
        <v>30.53</v>
      </c>
      <c r="F1774" t="s">
        <v>2816</v>
      </c>
    </row>
    <row r="1775" spans="1:6" x14ac:dyDescent="0.2">
      <c r="A1775" t="s">
        <v>2814</v>
      </c>
      <c r="B1775" t="s">
        <v>2922</v>
      </c>
      <c r="C1775">
        <v>14102638</v>
      </c>
      <c r="D1775" t="s">
        <v>2912</v>
      </c>
      <c r="E1775" s="134">
        <v>30.53</v>
      </c>
      <c r="F1775" t="s">
        <v>2816</v>
      </c>
    </row>
    <row r="1776" spans="1:6" x14ac:dyDescent="0.2">
      <c r="A1776" t="s">
        <v>2814</v>
      </c>
      <c r="B1776" t="s">
        <v>2922</v>
      </c>
      <c r="C1776">
        <v>14103046</v>
      </c>
      <c r="D1776" t="s">
        <v>2913</v>
      </c>
      <c r="E1776" s="134">
        <v>30.53</v>
      </c>
      <c r="F1776" t="s">
        <v>2816</v>
      </c>
    </row>
    <row r="1777" spans="1:6" x14ac:dyDescent="0.2">
      <c r="A1777" t="s">
        <v>2814</v>
      </c>
      <c r="B1777" t="s">
        <v>2922</v>
      </c>
      <c r="C1777">
        <v>14104889</v>
      </c>
      <c r="D1777" t="s">
        <v>2932</v>
      </c>
      <c r="E1777" s="134">
        <v>30.53</v>
      </c>
      <c r="F1777" t="s">
        <v>2816</v>
      </c>
    </row>
    <row r="1778" spans="1:6" x14ac:dyDescent="0.2">
      <c r="A1778" t="s">
        <v>2814</v>
      </c>
      <c r="B1778" t="s">
        <v>2922</v>
      </c>
      <c r="C1778">
        <v>14108427</v>
      </c>
      <c r="D1778" t="s">
        <v>2933</v>
      </c>
      <c r="E1778" s="134">
        <v>30.53</v>
      </c>
      <c r="F1778" t="s">
        <v>2816</v>
      </c>
    </row>
    <row r="1779" spans="1:6" x14ac:dyDescent="0.2">
      <c r="A1779" t="s">
        <v>2814</v>
      </c>
      <c r="B1779" t="s">
        <v>2922</v>
      </c>
      <c r="C1779">
        <v>14111261</v>
      </c>
      <c r="D1779" t="s">
        <v>2934</v>
      </c>
      <c r="E1779" s="134">
        <v>30.53</v>
      </c>
      <c r="F1779" t="s">
        <v>2816</v>
      </c>
    </row>
    <row r="1780" spans="1:6" x14ac:dyDescent="0.2">
      <c r="A1780" t="s">
        <v>2814</v>
      </c>
      <c r="B1780" t="s">
        <v>2922</v>
      </c>
      <c r="C1780">
        <v>14111336</v>
      </c>
      <c r="D1780" t="s">
        <v>2935</v>
      </c>
      <c r="E1780" s="134">
        <v>30.53</v>
      </c>
      <c r="F1780" t="s">
        <v>2816</v>
      </c>
    </row>
    <row r="1781" spans="1:6" x14ac:dyDescent="0.2">
      <c r="A1781" t="s">
        <v>2814</v>
      </c>
      <c r="B1781" t="s">
        <v>2922</v>
      </c>
      <c r="C1781">
        <v>14111447</v>
      </c>
      <c r="D1781" t="s">
        <v>2936</v>
      </c>
      <c r="E1781" s="134">
        <v>30.53</v>
      </c>
      <c r="F1781" t="s">
        <v>2816</v>
      </c>
    </row>
    <row r="1782" spans="1:6" x14ac:dyDescent="0.2">
      <c r="A1782" t="s">
        <v>2814</v>
      </c>
      <c r="B1782" t="s">
        <v>2922</v>
      </c>
      <c r="C1782">
        <v>14111633</v>
      </c>
      <c r="D1782" t="s">
        <v>2937</v>
      </c>
      <c r="E1782" s="134">
        <v>30.53</v>
      </c>
      <c r="F1782" t="s">
        <v>2816</v>
      </c>
    </row>
    <row r="1783" spans="1:6" x14ac:dyDescent="0.2">
      <c r="A1783" t="s">
        <v>2814</v>
      </c>
      <c r="B1783" t="s">
        <v>2922</v>
      </c>
      <c r="C1783">
        <v>14111652</v>
      </c>
      <c r="D1783" t="s">
        <v>2914</v>
      </c>
      <c r="E1783" s="134">
        <v>30.53</v>
      </c>
      <c r="F1783" t="s">
        <v>2816</v>
      </c>
    </row>
    <row r="1784" spans="1:6" x14ac:dyDescent="0.2">
      <c r="A1784" t="s">
        <v>2814</v>
      </c>
      <c r="B1784" t="s">
        <v>2922</v>
      </c>
      <c r="C1784">
        <v>14111997</v>
      </c>
      <c r="D1784" t="s">
        <v>2938</v>
      </c>
      <c r="E1784" s="134">
        <v>30.53</v>
      </c>
      <c r="F1784" t="s">
        <v>2816</v>
      </c>
    </row>
    <row r="1785" spans="1:6" x14ac:dyDescent="0.2">
      <c r="A1785" t="s">
        <v>2814</v>
      </c>
      <c r="B1785" t="s">
        <v>2922</v>
      </c>
      <c r="C1785">
        <v>14111999</v>
      </c>
      <c r="D1785" t="s">
        <v>2939</v>
      </c>
      <c r="E1785" s="134">
        <v>30.53</v>
      </c>
      <c r="F1785" t="s">
        <v>2816</v>
      </c>
    </row>
    <row r="1786" spans="1:6" x14ac:dyDescent="0.2">
      <c r="A1786" t="s">
        <v>2814</v>
      </c>
      <c r="B1786" t="s">
        <v>2922</v>
      </c>
      <c r="C1786">
        <v>14213524</v>
      </c>
      <c r="D1786" t="s">
        <v>2915</v>
      </c>
      <c r="E1786" s="134">
        <v>30.53</v>
      </c>
      <c r="F1786" t="s">
        <v>2816</v>
      </c>
    </row>
    <row r="1787" spans="1:6" x14ac:dyDescent="0.2">
      <c r="A1787" t="s">
        <v>2814</v>
      </c>
      <c r="B1787" t="s">
        <v>2922</v>
      </c>
      <c r="C1787">
        <v>14216184</v>
      </c>
      <c r="D1787" t="s">
        <v>2940</v>
      </c>
      <c r="E1787" s="134">
        <v>30.53</v>
      </c>
      <c r="F1787" t="s">
        <v>2816</v>
      </c>
    </row>
    <row r="1788" spans="1:6" x14ac:dyDescent="0.2">
      <c r="A1788" t="s">
        <v>2814</v>
      </c>
      <c r="B1788" t="s">
        <v>2922</v>
      </c>
      <c r="C1788">
        <v>14216357</v>
      </c>
      <c r="D1788" t="s">
        <v>2941</v>
      </c>
      <c r="E1788" s="134">
        <v>30.53</v>
      </c>
      <c r="F1788" t="s">
        <v>2816</v>
      </c>
    </row>
    <row r="1789" spans="1:6" x14ac:dyDescent="0.2">
      <c r="A1789" t="s">
        <v>2814</v>
      </c>
      <c r="B1789" t="s">
        <v>2922</v>
      </c>
      <c r="C1789">
        <v>14217374</v>
      </c>
      <c r="D1789" t="s">
        <v>2942</v>
      </c>
      <c r="E1789" s="134">
        <v>30.53</v>
      </c>
      <c r="F1789" t="s">
        <v>2816</v>
      </c>
    </row>
    <row r="1790" spans="1:6" x14ac:dyDescent="0.2">
      <c r="A1790" t="s">
        <v>2814</v>
      </c>
      <c r="B1790" t="s">
        <v>2922</v>
      </c>
      <c r="C1790">
        <v>14217446</v>
      </c>
      <c r="D1790" t="s">
        <v>2943</v>
      </c>
      <c r="E1790" s="134">
        <v>30.53</v>
      </c>
      <c r="F1790" t="s">
        <v>2816</v>
      </c>
    </row>
    <row r="1791" spans="1:6" x14ac:dyDescent="0.2">
      <c r="A1791" t="s">
        <v>2814</v>
      </c>
      <c r="B1791" t="s">
        <v>2922</v>
      </c>
      <c r="C1791">
        <v>14219234</v>
      </c>
      <c r="D1791" t="s">
        <v>2944</v>
      </c>
      <c r="E1791" s="134">
        <v>30.53</v>
      </c>
      <c r="F1791" t="s">
        <v>2816</v>
      </c>
    </row>
    <row r="1792" spans="1:6" x14ac:dyDescent="0.2">
      <c r="A1792" t="s">
        <v>2814</v>
      </c>
      <c r="B1792" t="s">
        <v>2922</v>
      </c>
      <c r="C1792">
        <v>14220597</v>
      </c>
      <c r="D1792" t="s">
        <v>2945</v>
      </c>
      <c r="E1792" s="134">
        <v>30.53</v>
      </c>
      <c r="F1792" t="s">
        <v>2816</v>
      </c>
    </row>
    <row r="1793" spans="1:6" x14ac:dyDescent="0.2">
      <c r="A1793" t="s">
        <v>2814</v>
      </c>
      <c r="B1793" t="s">
        <v>2922</v>
      </c>
      <c r="C1793">
        <v>14221054</v>
      </c>
      <c r="D1793" t="s">
        <v>2946</v>
      </c>
      <c r="E1793" s="134">
        <v>30.53</v>
      </c>
      <c r="F1793" t="s">
        <v>2816</v>
      </c>
    </row>
    <row r="1794" spans="1:6" x14ac:dyDescent="0.2">
      <c r="A1794" t="s">
        <v>2814</v>
      </c>
      <c r="B1794" t="s">
        <v>2922</v>
      </c>
      <c r="C1794">
        <v>14221253</v>
      </c>
      <c r="D1794" t="s">
        <v>2947</v>
      </c>
      <c r="E1794" s="134">
        <v>30.53</v>
      </c>
      <c r="F1794" t="s">
        <v>2816</v>
      </c>
    </row>
    <row r="1795" spans="1:6" x14ac:dyDescent="0.2">
      <c r="A1795" t="s">
        <v>2814</v>
      </c>
      <c r="B1795" t="s">
        <v>2922</v>
      </c>
      <c r="C1795">
        <v>14221921</v>
      </c>
      <c r="D1795" t="s">
        <v>2916</v>
      </c>
      <c r="E1795" s="134">
        <v>30.53</v>
      </c>
      <c r="F1795" t="s">
        <v>2816</v>
      </c>
    </row>
    <row r="1796" spans="1:6" x14ac:dyDescent="0.2">
      <c r="A1796" t="s">
        <v>2814</v>
      </c>
      <c r="B1796" t="s">
        <v>2922</v>
      </c>
      <c r="C1796">
        <v>14222082</v>
      </c>
      <c r="D1796" t="s">
        <v>2948</v>
      </c>
      <c r="E1796" s="134">
        <v>30.53</v>
      </c>
      <c r="F1796" t="s">
        <v>2816</v>
      </c>
    </row>
    <row r="1797" spans="1:6" x14ac:dyDescent="0.2">
      <c r="A1797" t="s">
        <v>2814</v>
      </c>
      <c r="B1797" t="s">
        <v>2922</v>
      </c>
      <c r="C1797">
        <v>14222163</v>
      </c>
      <c r="D1797" t="s">
        <v>2949</v>
      </c>
      <c r="E1797" s="134">
        <v>30.53</v>
      </c>
      <c r="F1797" t="s">
        <v>2816</v>
      </c>
    </row>
    <row r="1798" spans="1:6" x14ac:dyDescent="0.2">
      <c r="A1798" t="s">
        <v>2814</v>
      </c>
      <c r="B1798" t="s">
        <v>2922</v>
      </c>
      <c r="C1798">
        <v>14222576</v>
      </c>
      <c r="D1798" t="s">
        <v>2950</v>
      </c>
      <c r="E1798" s="134">
        <v>30.53</v>
      </c>
      <c r="F1798" t="s">
        <v>2816</v>
      </c>
    </row>
    <row r="1799" spans="1:6" x14ac:dyDescent="0.2">
      <c r="A1799" t="s">
        <v>2814</v>
      </c>
      <c r="B1799" t="s">
        <v>2922</v>
      </c>
      <c r="C1799">
        <v>14222997</v>
      </c>
      <c r="D1799" t="s">
        <v>2917</v>
      </c>
      <c r="E1799" s="134">
        <v>30.53</v>
      </c>
      <c r="F1799" t="s">
        <v>2816</v>
      </c>
    </row>
    <row r="1800" spans="1:6" x14ac:dyDescent="0.2">
      <c r="A1800" t="s">
        <v>2814</v>
      </c>
      <c r="B1800" t="s">
        <v>2922</v>
      </c>
      <c r="C1800">
        <v>14223279</v>
      </c>
      <c r="D1800" t="s">
        <v>2951</v>
      </c>
      <c r="E1800" s="134">
        <v>30.53</v>
      </c>
      <c r="F1800" t="s">
        <v>2816</v>
      </c>
    </row>
    <row r="1801" spans="1:6" x14ac:dyDescent="0.2">
      <c r="A1801" t="s">
        <v>2814</v>
      </c>
      <c r="B1801" t="s">
        <v>2922</v>
      </c>
      <c r="C1801">
        <v>14223290</v>
      </c>
      <c r="D1801" t="s">
        <v>2952</v>
      </c>
      <c r="E1801" s="134">
        <v>30.53</v>
      </c>
      <c r="F1801" t="s">
        <v>2816</v>
      </c>
    </row>
    <row r="1802" spans="1:6" x14ac:dyDescent="0.2">
      <c r="A1802" t="s">
        <v>2814</v>
      </c>
      <c r="B1802" t="s">
        <v>2922</v>
      </c>
      <c r="C1802">
        <v>14223379</v>
      </c>
      <c r="D1802" t="s">
        <v>2953</v>
      </c>
      <c r="E1802" s="134">
        <v>30.53</v>
      </c>
      <c r="F1802" t="s">
        <v>2816</v>
      </c>
    </row>
    <row r="1803" spans="1:6" x14ac:dyDescent="0.2">
      <c r="A1803" t="s">
        <v>2814</v>
      </c>
      <c r="B1803" t="s">
        <v>2922</v>
      </c>
      <c r="C1803">
        <v>14223590</v>
      </c>
      <c r="D1803" t="s">
        <v>2954</v>
      </c>
      <c r="E1803" s="134">
        <v>30.53</v>
      </c>
      <c r="F1803" t="s">
        <v>2816</v>
      </c>
    </row>
    <row r="1804" spans="1:6" x14ac:dyDescent="0.2">
      <c r="A1804" t="s">
        <v>2814</v>
      </c>
      <c r="B1804" t="s">
        <v>2922</v>
      </c>
      <c r="C1804">
        <v>14223659</v>
      </c>
      <c r="D1804" t="s">
        <v>2955</v>
      </c>
      <c r="E1804" s="134">
        <v>30.53</v>
      </c>
      <c r="F1804" t="s">
        <v>2816</v>
      </c>
    </row>
    <row r="1805" spans="1:6" x14ac:dyDescent="0.2">
      <c r="A1805" t="s">
        <v>2814</v>
      </c>
      <c r="B1805" t="s">
        <v>2922</v>
      </c>
      <c r="C1805">
        <v>14223662</v>
      </c>
      <c r="D1805" t="s">
        <v>2918</v>
      </c>
      <c r="E1805" s="134">
        <v>30.53</v>
      </c>
      <c r="F1805" t="s">
        <v>2816</v>
      </c>
    </row>
    <row r="1806" spans="1:6" x14ac:dyDescent="0.2">
      <c r="A1806" t="s">
        <v>2814</v>
      </c>
      <c r="B1806" t="s">
        <v>2922</v>
      </c>
      <c r="C1806">
        <v>14223825</v>
      </c>
      <c r="D1806" t="s">
        <v>2956</v>
      </c>
      <c r="E1806" s="134">
        <v>30.53</v>
      </c>
      <c r="F1806" t="s">
        <v>2816</v>
      </c>
    </row>
    <row r="1807" spans="1:6" x14ac:dyDescent="0.2">
      <c r="A1807" t="s">
        <v>2814</v>
      </c>
      <c r="B1807" t="s">
        <v>2922</v>
      </c>
      <c r="C1807">
        <v>14223826</v>
      </c>
      <c r="D1807" t="s">
        <v>2919</v>
      </c>
      <c r="E1807" s="134">
        <v>30.53</v>
      </c>
      <c r="F1807" t="s">
        <v>2816</v>
      </c>
    </row>
    <row r="1808" spans="1:6" x14ac:dyDescent="0.2">
      <c r="A1808" t="s">
        <v>2814</v>
      </c>
      <c r="B1808" t="s">
        <v>2922</v>
      </c>
      <c r="C1808">
        <v>14223827</v>
      </c>
      <c r="D1808" t="s">
        <v>2957</v>
      </c>
      <c r="E1808" s="134">
        <v>30.53</v>
      </c>
      <c r="F1808" t="s">
        <v>2816</v>
      </c>
    </row>
    <row r="1809" spans="1:6" x14ac:dyDescent="0.2">
      <c r="A1809" t="s">
        <v>2814</v>
      </c>
      <c r="B1809" t="s">
        <v>2922</v>
      </c>
      <c r="C1809">
        <v>16101286</v>
      </c>
      <c r="D1809" t="s">
        <v>2817</v>
      </c>
      <c r="E1809" s="134">
        <v>29.84</v>
      </c>
      <c r="F1809" t="s">
        <v>2816</v>
      </c>
    </row>
    <row r="1810" spans="1:6" x14ac:dyDescent="0.2">
      <c r="A1810" t="s">
        <v>2814</v>
      </c>
      <c r="B1810" t="s">
        <v>2922</v>
      </c>
      <c r="C1810">
        <v>16101291</v>
      </c>
      <c r="D1810" t="s">
        <v>2818</v>
      </c>
      <c r="E1810" s="134">
        <v>29.84</v>
      </c>
      <c r="F1810" t="s">
        <v>2816</v>
      </c>
    </row>
    <row r="1811" spans="1:6" x14ac:dyDescent="0.2">
      <c r="A1811" t="s">
        <v>2814</v>
      </c>
      <c r="B1811" t="s">
        <v>2922</v>
      </c>
      <c r="C1811">
        <v>16101303</v>
      </c>
      <c r="D1811" t="s">
        <v>2819</v>
      </c>
      <c r="E1811" s="134">
        <v>29.84</v>
      </c>
      <c r="F1811" t="s">
        <v>2816</v>
      </c>
    </row>
    <row r="1812" spans="1:6" x14ac:dyDescent="0.2">
      <c r="A1812" t="s">
        <v>2814</v>
      </c>
      <c r="B1812" t="s">
        <v>2922</v>
      </c>
      <c r="C1812">
        <v>16101321</v>
      </c>
      <c r="D1812" t="s">
        <v>2820</v>
      </c>
      <c r="E1812" s="134">
        <v>29.84</v>
      </c>
      <c r="F1812" t="s">
        <v>2816</v>
      </c>
    </row>
    <row r="1813" spans="1:6" x14ac:dyDescent="0.2">
      <c r="A1813" t="s">
        <v>2814</v>
      </c>
      <c r="B1813" t="s">
        <v>2922</v>
      </c>
      <c r="C1813">
        <v>16101324</v>
      </c>
      <c r="D1813" t="s">
        <v>2821</v>
      </c>
      <c r="E1813" s="134">
        <v>29.84</v>
      </c>
      <c r="F1813" t="s">
        <v>2816</v>
      </c>
    </row>
    <row r="1814" spans="1:6" x14ac:dyDescent="0.2">
      <c r="A1814" t="s">
        <v>2814</v>
      </c>
      <c r="B1814" t="s">
        <v>2922</v>
      </c>
      <c r="C1814">
        <v>16101347</v>
      </c>
      <c r="D1814" t="s">
        <v>2822</v>
      </c>
      <c r="E1814" s="134">
        <v>29.84</v>
      </c>
      <c r="F1814" t="s">
        <v>2816</v>
      </c>
    </row>
    <row r="1815" spans="1:6" x14ac:dyDescent="0.2">
      <c r="A1815" t="s">
        <v>2814</v>
      </c>
      <c r="B1815" t="s">
        <v>2922</v>
      </c>
      <c r="C1815">
        <v>16101370</v>
      </c>
      <c r="D1815" t="s">
        <v>2823</v>
      </c>
      <c r="E1815" s="134">
        <v>29.84</v>
      </c>
      <c r="F1815" t="s">
        <v>2816</v>
      </c>
    </row>
    <row r="1816" spans="1:6" x14ac:dyDescent="0.2">
      <c r="A1816" t="s">
        <v>2814</v>
      </c>
      <c r="B1816" t="s">
        <v>2922</v>
      </c>
      <c r="C1816">
        <v>16101382</v>
      </c>
      <c r="D1816" t="s">
        <v>2824</v>
      </c>
      <c r="E1816" s="134">
        <v>29.84</v>
      </c>
      <c r="F1816" t="s">
        <v>2816</v>
      </c>
    </row>
    <row r="1817" spans="1:6" x14ac:dyDescent="0.2">
      <c r="A1817" t="s">
        <v>2814</v>
      </c>
      <c r="B1817" t="s">
        <v>2922</v>
      </c>
      <c r="C1817">
        <v>16101387</v>
      </c>
      <c r="D1817" t="s">
        <v>2825</v>
      </c>
      <c r="E1817" s="134">
        <v>29.84</v>
      </c>
      <c r="F1817" t="s">
        <v>2816</v>
      </c>
    </row>
    <row r="1818" spans="1:6" x14ac:dyDescent="0.2">
      <c r="A1818" t="s">
        <v>2814</v>
      </c>
      <c r="B1818" t="s">
        <v>2922</v>
      </c>
      <c r="C1818">
        <v>16102200</v>
      </c>
      <c r="D1818" t="s">
        <v>2826</v>
      </c>
      <c r="E1818" s="134">
        <v>29.84</v>
      </c>
      <c r="F1818" t="s">
        <v>2816</v>
      </c>
    </row>
    <row r="1819" spans="1:6" x14ac:dyDescent="0.2">
      <c r="A1819" t="s">
        <v>2814</v>
      </c>
      <c r="B1819" t="s">
        <v>2922</v>
      </c>
      <c r="C1819">
        <v>16102265</v>
      </c>
      <c r="D1819" t="s">
        <v>2827</v>
      </c>
      <c r="E1819" s="134">
        <v>29.84</v>
      </c>
      <c r="F1819" t="s">
        <v>2816</v>
      </c>
    </row>
    <row r="1820" spans="1:6" x14ac:dyDescent="0.2">
      <c r="A1820" t="s">
        <v>2814</v>
      </c>
      <c r="B1820" t="s">
        <v>2922</v>
      </c>
      <c r="C1820">
        <v>16102525</v>
      </c>
      <c r="D1820" t="s">
        <v>2828</v>
      </c>
      <c r="E1820" s="134">
        <v>29.84</v>
      </c>
      <c r="F1820" t="s">
        <v>2816</v>
      </c>
    </row>
    <row r="1821" spans="1:6" x14ac:dyDescent="0.2">
      <c r="A1821" t="s">
        <v>2814</v>
      </c>
      <c r="B1821" t="s">
        <v>2922</v>
      </c>
      <c r="C1821">
        <v>16102665</v>
      </c>
      <c r="D1821" t="s">
        <v>2829</v>
      </c>
      <c r="E1821" s="134">
        <v>29.84</v>
      </c>
      <c r="F1821" t="s">
        <v>2816</v>
      </c>
    </row>
    <row r="1822" spans="1:6" x14ac:dyDescent="0.2">
      <c r="A1822" t="s">
        <v>2814</v>
      </c>
      <c r="B1822" t="s">
        <v>2922</v>
      </c>
      <c r="C1822">
        <v>16102762</v>
      </c>
      <c r="D1822" t="s">
        <v>2830</v>
      </c>
      <c r="E1822" s="134">
        <v>29.84</v>
      </c>
      <c r="F1822" t="s">
        <v>2816</v>
      </c>
    </row>
    <row r="1823" spans="1:6" x14ac:dyDescent="0.2">
      <c r="A1823" t="s">
        <v>2814</v>
      </c>
      <c r="B1823" t="s">
        <v>2922</v>
      </c>
      <c r="C1823">
        <v>16103733</v>
      </c>
      <c r="D1823" t="s">
        <v>2831</v>
      </c>
      <c r="E1823" s="134">
        <v>29.84</v>
      </c>
      <c r="F1823" t="s">
        <v>2816</v>
      </c>
    </row>
    <row r="1824" spans="1:6" x14ac:dyDescent="0.2">
      <c r="A1824" t="s">
        <v>2814</v>
      </c>
      <c r="B1824" t="s">
        <v>2922</v>
      </c>
      <c r="C1824">
        <v>16104436</v>
      </c>
      <c r="D1824" t="s">
        <v>2832</v>
      </c>
      <c r="E1824" s="134">
        <v>29.84</v>
      </c>
      <c r="F1824" t="s">
        <v>2816</v>
      </c>
    </row>
    <row r="1825" spans="1:6" x14ac:dyDescent="0.2">
      <c r="A1825" t="s">
        <v>2814</v>
      </c>
      <c r="B1825" t="s">
        <v>2922</v>
      </c>
      <c r="C1825">
        <v>16104522</v>
      </c>
      <c r="D1825" t="s">
        <v>2833</v>
      </c>
      <c r="E1825" s="134">
        <v>19.89</v>
      </c>
      <c r="F1825" t="s">
        <v>2816</v>
      </c>
    </row>
    <row r="1826" spans="1:6" x14ac:dyDescent="0.2">
      <c r="A1826" t="s">
        <v>2814</v>
      </c>
      <c r="B1826" t="s">
        <v>2922</v>
      </c>
      <c r="C1826">
        <v>16104653</v>
      </c>
      <c r="D1826" t="s">
        <v>2834</v>
      </c>
      <c r="E1826" s="134">
        <v>29.84</v>
      </c>
      <c r="F1826" t="s">
        <v>2816</v>
      </c>
    </row>
    <row r="1827" spans="1:6" x14ac:dyDescent="0.2">
      <c r="A1827" t="s">
        <v>2814</v>
      </c>
      <c r="B1827" t="s">
        <v>2922</v>
      </c>
      <c r="C1827">
        <v>16105115</v>
      </c>
      <c r="D1827" t="s">
        <v>2835</v>
      </c>
      <c r="E1827" s="134">
        <v>29.84</v>
      </c>
      <c r="F1827" t="s">
        <v>2816</v>
      </c>
    </row>
    <row r="1828" spans="1:6" x14ac:dyDescent="0.2">
      <c r="A1828" t="s">
        <v>2814</v>
      </c>
      <c r="B1828" t="s">
        <v>2922</v>
      </c>
      <c r="C1828">
        <v>16106566</v>
      </c>
      <c r="D1828" t="s">
        <v>2836</v>
      </c>
      <c r="E1828" s="134">
        <v>29.84</v>
      </c>
      <c r="F1828" t="s">
        <v>2816</v>
      </c>
    </row>
    <row r="1829" spans="1:6" x14ac:dyDescent="0.2">
      <c r="A1829" t="s">
        <v>2814</v>
      </c>
      <c r="B1829" t="s">
        <v>2922</v>
      </c>
      <c r="C1829">
        <v>16107227</v>
      </c>
      <c r="D1829" t="s">
        <v>2837</v>
      </c>
      <c r="E1829" s="134">
        <v>29.84</v>
      </c>
      <c r="F1829" t="s">
        <v>2816</v>
      </c>
    </row>
    <row r="1830" spans="1:6" x14ac:dyDescent="0.2">
      <c r="A1830" t="s">
        <v>2814</v>
      </c>
      <c r="B1830" t="s">
        <v>2922</v>
      </c>
      <c r="C1830">
        <v>16107598</v>
      </c>
      <c r="D1830" t="s">
        <v>2838</v>
      </c>
      <c r="E1830" s="134">
        <v>29.84</v>
      </c>
      <c r="F1830" t="s">
        <v>2816</v>
      </c>
    </row>
    <row r="1831" spans="1:6" x14ac:dyDescent="0.2">
      <c r="A1831" t="s">
        <v>2814</v>
      </c>
      <c r="B1831" t="s">
        <v>2922</v>
      </c>
      <c r="C1831">
        <v>16107705</v>
      </c>
      <c r="D1831" t="s">
        <v>2839</v>
      </c>
      <c r="E1831" s="134">
        <v>29.84</v>
      </c>
      <c r="F1831" t="s">
        <v>2816</v>
      </c>
    </row>
    <row r="1832" spans="1:6" x14ac:dyDescent="0.2">
      <c r="A1832" t="s">
        <v>2814</v>
      </c>
      <c r="B1832" t="s">
        <v>2922</v>
      </c>
      <c r="C1832">
        <v>16107845</v>
      </c>
      <c r="D1832" t="s">
        <v>2840</v>
      </c>
      <c r="E1832" s="134">
        <v>29.84</v>
      </c>
      <c r="F1832" t="s">
        <v>2816</v>
      </c>
    </row>
    <row r="1833" spans="1:6" x14ac:dyDescent="0.2">
      <c r="A1833" t="s">
        <v>2814</v>
      </c>
      <c r="B1833" t="s">
        <v>2922</v>
      </c>
      <c r="C1833">
        <v>16107905</v>
      </c>
      <c r="D1833" t="s">
        <v>2841</v>
      </c>
      <c r="E1833" s="134">
        <v>29.84</v>
      </c>
      <c r="F1833" t="s">
        <v>2816</v>
      </c>
    </row>
    <row r="1834" spans="1:6" x14ac:dyDescent="0.2">
      <c r="A1834" t="s">
        <v>2814</v>
      </c>
      <c r="B1834" t="s">
        <v>2922</v>
      </c>
      <c r="C1834">
        <v>16108306</v>
      </c>
      <c r="D1834" t="s">
        <v>2842</v>
      </c>
      <c r="E1834" s="134">
        <v>19.89</v>
      </c>
      <c r="F1834" t="s">
        <v>2816</v>
      </c>
    </row>
    <row r="1835" spans="1:6" x14ac:dyDescent="0.2">
      <c r="A1835" t="s">
        <v>2814</v>
      </c>
      <c r="B1835" t="s">
        <v>2922</v>
      </c>
      <c r="C1835">
        <v>16110177</v>
      </c>
      <c r="D1835" t="s">
        <v>2843</v>
      </c>
      <c r="E1835" s="134">
        <v>29.84</v>
      </c>
      <c r="F1835" t="s">
        <v>2816</v>
      </c>
    </row>
    <row r="1836" spans="1:6" x14ac:dyDescent="0.2">
      <c r="A1836" t="s">
        <v>2814</v>
      </c>
      <c r="B1836" t="s">
        <v>2922</v>
      </c>
      <c r="C1836">
        <v>16110744</v>
      </c>
      <c r="D1836" t="s">
        <v>2844</v>
      </c>
      <c r="E1836" s="134">
        <v>29.84</v>
      </c>
      <c r="F1836" t="s">
        <v>2816</v>
      </c>
    </row>
    <row r="1837" spans="1:6" x14ac:dyDescent="0.2">
      <c r="A1837" t="s">
        <v>2814</v>
      </c>
      <c r="B1837" t="s">
        <v>2922</v>
      </c>
      <c r="C1837">
        <v>16111231</v>
      </c>
      <c r="D1837" t="s">
        <v>2845</v>
      </c>
      <c r="E1837" s="134">
        <v>29.84</v>
      </c>
      <c r="F1837" t="s">
        <v>2816</v>
      </c>
    </row>
    <row r="1838" spans="1:6" x14ac:dyDescent="0.2">
      <c r="A1838" t="s">
        <v>2814</v>
      </c>
      <c r="B1838" t="s">
        <v>2922</v>
      </c>
      <c r="C1838">
        <v>16111530</v>
      </c>
      <c r="D1838" t="s">
        <v>2846</v>
      </c>
      <c r="E1838" s="134">
        <v>19.89</v>
      </c>
      <c r="F1838" t="s">
        <v>2816</v>
      </c>
    </row>
    <row r="1839" spans="1:6" x14ac:dyDescent="0.2">
      <c r="A1839" t="s">
        <v>2814</v>
      </c>
      <c r="B1839" t="s">
        <v>2922</v>
      </c>
      <c r="C1839">
        <v>16112068</v>
      </c>
      <c r="D1839" t="s">
        <v>2847</v>
      </c>
      <c r="E1839" s="134">
        <v>29.84</v>
      </c>
      <c r="F1839" t="s">
        <v>2816</v>
      </c>
    </row>
    <row r="1840" spans="1:6" x14ac:dyDescent="0.2">
      <c r="A1840" t="s">
        <v>2814</v>
      </c>
      <c r="B1840" t="s">
        <v>2922</v>
      </c>
      <c r="C1840">
        <v>16112578</v>
      </c>
      <c r="D1840" t="s">
        <v>2848</v>
      </c>
      <c r="E1840" s="134">
        <v>29.84</v>
      </c>
      <c r="F1840" t="s">
        <v>2816</v>
      </c>
    </row>
    <row r="1841" spans="1:6" x14ac:dyDescent="0.2">
      <c r="A1841" t="s">
        <v>2814</v>
      </c>
      <c r="B1841" t="s">
        <v>2922</v>
      </c>
      <c r="C1841">
        <v>16113003</v>
      </c>
      <c r="D1841" t="s">
        <v>2849</v>
      </c>
      <c r="E1841" s="134">
        <v>29.84</v>
      </c>
      <c r="F1841" t="s">
        <v>2816</v>
      </c>
    </row>
    <row r="1842" spans="1:6" x14ac:dyDescent="0.2">
      <c r="A1842" t="s">
        <v>2814</v>
      </c>
      <c r="B1842" t="s">
        <v>2922</v>
      </c>
      <c r="C1842">
        <v>16114063</v>
      </c>
      <c r="D1842" t="s">
        <v>2850</v>
      </c>
      <c r="E1842" s="134">
        <v>29.84</v>
      </c>
      <c r="F1842" t="s">
        <v>2816</v>
      </c>
    </row>
    <row r="1843" spans="1:6" x14ac:dyDescent="0.2">
      <c r="A1843" t="s">
        <v>2814</v>
      </c>
      <c r="B1843" t="s">
        <v>2922</v>
      </c>
      <c r="C1843">
        <v>16114529</v>
      </c>
      <c r="D1843" t="s">
        <v>2851</v>
      </c>
      <c r="E1843" s="134">
        <v>29.84</v>
      </c>
      <c r="F1843" t="s">
        <v>2816</v>
      </c>
    </row>
    <row r="1844" spans="1:6" x14ac:dyDescent="0.2">
      <c r="A1844" t="s">
        <v>2814</v>
      </c>
      <c r="B1844" t="s">
        <v>2922</v>
      </c>
      <c r="C1844">
        <v>16114991</v>
      </c>
      <c r="D1844" t="s">
        <v>2852</v>
      </c>
      <c r="E1844" s="134">
        <v>29.84</v>
      </c>
      <c r="F1844" t="s">
        <v>2816</v>
      </c>
    </row>
    <row r="1845" spans="1:6" x14ac:dyDescent="0.2">
      <c r="A1845" t="s">
        <v>2814</v>
      </c>
      <c r="B1845" t="s">
        <v>2922</v>
      </c>
      <c r="C1845">
        <v>16115026</v>
      </c>
      <c r="D1845" t="s">
        <v>2853</v>
      </c>
      <c r="E1845" s="134">
        <v>29.84</v>
      </c>
      <c r="F1845" t="s">
        <v>2816</v>
      </c>
    </row>
    <row r="1846" spans="1:6" x14ac:dyDescent="0.2">
      <c r="A1846" t="s">
        <v>2814</v>
      </c>
      <c r="B1846" t="s">
        <v>2922</v>
      </c>
      <c r="C1846">
        <v>16115150</v>
      </c>
      <c r="D1846" t="s">
        <v>2854</v>
      </c>
      <c r="E1846" s="134">
        <v>29.84</v>
      </c>
      <c r="F1846" t="s">
        <v>2816</v>
      </c>
    </row>
    <row r="1847" spans="1:6" x14ac:dyDescent="0.2">
      <c r="A1847" t="s">
        <v>2814</v>
      </c>
      <c r="B1847" t="s">
        <v>2922</v>
      </c>
      <c r="C1847">
        <v>16115586</v>
      </c>
      <c r="D1847" t="s">
        <v>2855</v>
      </c>
      <c r="E1847" s="134">
        <v>29.84</v>
      </c>
      <c r="F1847" t="s">
        <v>2816</v>
      </c>
    </row>
    <row r="1848" spans="1:6" x14ac:dyDescent="0.2">
      <c r="A1848" t="s">
        <v>2814</v>
      </c>
      <c r="B1848" t="s">
        <v>2922</v>
      </c>
      <c r="C1848">
        <v>16115756</v>
      </c>
      <c r="D1848" t="s">
        <v>2856</v>
      </c>
      <c r="E1848" s="134">
        <v>29.84</v>
      </c>
      <c r="F1848" t="s">
        <v>2816</v>
      </c>
    </row>
    <row r="1849" spans="1:6" x14ac:dyDescent="0.2">
      <c r="A1849" t="s">
        <v>2814</v>
      </c>
      <c r="B1849" t="s">
        <v>2922</v>
      </c>
      <c r="C1849">
        <v>16115783</v>
      </c>
      <c r="D1849" t="s">
        <v>2857</v>
      </c>
      <c r="E1849" s="134">
        <v>29.84</v>
      </c>
      <c r="F1849" t="s">
        <v>2816</v>
      </c>
    </row>
    <row r="1850" spans="1:6" x14ac:dyDescent="0.2">
      <c r="A1850" t="s">
        <v>2814</v>
      </c>
      <c r="B1850" t="s">
        <v>2922</v>
      </c>
      <c r="C1850">
        <v>16116077</v>
      </c>
      <c r="D1850" t="s">
        <v>2858</v>
      </c>
      <c r="E1850" s="134">
        <v>29.84</v>
      </c>
      <c r="F1850" t="s">
        <v>2816</v>
      </c>
    </row>
    <row r="1851" spans="1:6" x14ac:dyDescent="0.2">
      <c r="A1851" t="s">
        <v>2814</v>
      </c>
      <c r="B1851" t="s">
        <v>2922</v>
      </c>
      <c r="C1851">
        <v>16116202</v>
      </c>
      <c r="D1851" t="s">
        <v>2859</v>
      </c>
      <c r="E1851" s="134">
        <v>29.84</v>
      </c>
      <c r="F1851" t="s">
        <v>2816</v>
      </c>
    </row>
    <row r="1852" spans="1:6" x14ac:dyDescent="0.2">
      <c r="A1852" t="s">
        <v>2814</v>
      </c>
      <c r="B1852" t="s">
        <v>2922</v>
      </c>
      <c r="C1852">
        <v>16116290</v>
      </c>
      <c r="D1852" t="s">
        <v>2860</v>
      </c>
      <c r="E1852" s="134">
        <v>29.84</v>
      </c>
      <c r="F1852" t="s">
        <v>2816</v>
      </c>
    </row>
    <row r="1853" spans="1:6" x14ac:dyDescent="0.2">
      <c r="A1853" t="s">
        <v>2814</v>
      </c>
      <c r="B1853" t="s">
        <v>2922</v>
      </c>
      <c r="C1853">
        <v>16116477</v>
      </c>
      <c r="D1853" t="s">
        <v>2861</v>
      </c>
      <c r="E1853" s="134">
        <v>29.84</v>
      </c>
      <c r="F1853" t="s">
        <v>2816</v>
      </c>
    </row>
    <row r="1854" spans="1:6" x14ac:dyDescent="0.2">
      <c r="A1854" t="s">
        <v>2814</v>
      </c>
      <c r="B1854" t="s">
        <v>2922</v>
      </c>
      <c r="C1854">
        <v>16116733</v>
      </c>
      <c r="D1854" t="s">
        <v>2862</v>
      </c>
      <c r="E1854" s="134">
        <v>29.84</v>
      </c>
      <c r="F1854" t="s">
        <v>2816</v>
      </c>
    </row>
    <row r="1855" spans="1:6" x14ac:dyDescent="0.2">
      <c r="A1855" t="s">
        <v>2814</v>
      </c>
      <c r="B1855" t="s">
        <v>2922</v>
      </c>
      <c r="C1855">
        <v>16117582</v>
      </c>
      <c r="D1855" t="s">
        <v>2863</v>
      </c>
      <c r="E1855" s="134">
        <v>29.84</v>
      </c>
      <c r="F1855" t="s">
        <v>2816</v>
      </c>
    </row>
    <row r="1856" spans="1:6" x14ac:dyDescent="0.2">
      <c r="A1856" t="s">
        <v>2814</v>
      </c>
      <c r="B1856" t="s">
        <v>2922</v>
      </c>
      <c r="C1856">
        <v>16117764</v>
      </c>
      <c r="D1856" t="s">
        <v>2864</v>
      </c>
      <c r="E1856" s="134">
        <v>29.84</v>
      </c>
      <c r="F1856" t="s">
        <v>2816</v>
      </c>
    </row>
    <row r="1857" spans="1:6" x14ac:dyDescent="0.2">
      <c r="A1857" t="s">
        <v>2814</v>
      </c>
      <c r="B1857" t="s">
        <v>2922</v>
      </c>
      <c r="C1857">
        <v>16118421</v>
      </c>
      <c r="D1857" t="s">
        <v>2865</v>
      </c>
      <c r="E1857" s="134">
        <v>29.84</v>
      </c>
      <c r="F1857" t="s">
        <v>2816</v>
      </c>
    </row>
    <row r="1858" spans="1:6" x14ac:dyDescent="0.2">
      <c r="A1858" t="s">
        <v>2814</v>
      </c>
      <c r="B1858" t="s">
        <v>2922</v>
      </c>
      <c r="C1858">
        <v>16118485</v>
      </c>
      <c r="D1858" t="s">
        <v>2866</v>
      </c>
      <c r="E1858" s="134">
        <v>29.84</v>
      </c>
      <c r="F1858" t="s">
        <v>2816</v>
      </c>
    </row>
    <row r="1859" spans="1:6" x14ac:dyDescent="0.2">
      <c r="A1859" t="s">
        <v>2814</v>
      </c>
      <c r="B1859" t="s">
        <v>2922</v>
      </c>
      <c r="C1859">
        <v>16118701</v>
      </c>
      <c r="D1859" t="s">
        <v>2867</v>
      </c>
      <c r="E1859" s="134">
        <v>29.84</v>
      </c>
      <c r="F1859" t="s">
        <v>2816</v>
      </c>
    </row>
    <row r="1860" spans="1:6" x14ac:dyDescent="0.2">
      <c r="A1860" t="s">
        <v>2814</v>
      </c>
      <c r="B1860" t="s">
        <v>2922</v>
      </c>
      <c r="C1860">
        <v>16118723</v>
      </c>
      <c r="D1860" t="s">
        <v>2868</v>
      </c>
      <c r="E1860" s="134">
        <v>29.84</v>
      </c>
      <c r="F1860" t="s">
        <v>2816</v>
      </c>
    </row>
    <row r="1861" spans="1:6" x14ac:dyDescent="0.2">
      <c r="A1861" t="s">
        <v>2814</v>
      </c>
      <c r="B1861" t="s">
        <v>2922</v>
      </c>
      <c r="C1861">
        <v>16118874</v>
      </c>
      <c r="D1861" t="s">
        <v>2869</v>
      </c>
      <c r="E1861" s="134">
        <v>29.84</v>
      </c>
      <c r="F1861" t="s">
        <v>2816</v>
      </c>
    </row>
    <row r="1862" spans="1:6" x14ac:dyDescent="0.2">
      <c r="A1862" t="s">
        <v>2814</v>
      </c>
      <c r="B1862" t="s">
        <v>2922</v>
      </c>
      <c r="C1862">
        <v>16118963</v>
      </c>
      <c r="D1862" t="s">
        <v>2870</v>
      </c>
      <c r="E1862" s="134">
        <v>29.84</v>
      </c>
      <c r="F1862" t="s">
        <v>2816</v>
      </c>
    </row>
    <row r="1863" spans="1:6" x14ac:dyDescent="0.2">
      <c r="A1863" t="s">
        <v>2814</v>
      </c>
      <c r="B1863" t="s">
        <v>2922</v>
      </c>
      <c r="C1863">
        <v>16119048</v>
      </c>
      <c r="D1863" t="s">
        <v>2871</v>
      </c>
      <c r="E1863" s="134">
        <v>29.84</v>
      </c>
      <c r="F1863" t="s">
        <v>2816</v>
      </c>
    </row>
    <row r="1864" spans="1:6" x14ac:dyDescent="0.2">
      <c r="A1864" t="s">
        <v>2814</v>
      </c>
      <c r="B1864" t="s">
        <v>2922</v>
      </c>
      <c r="C1864">
        <v>16119278</v>
      </c>
      <c r="D1864" t="s">
        <v>2872</v>
      </c>
      <c r="E1864" s="134">
        <v>29.84</v>
      </c>
      <c r="F1864" t="s">
        <v>2816</v>
      </c>
    </row>
    <row r="1865" spans="1:6" x14ac:dyDescent="0.2">
      <c r="A1865" t="s">
        <v>2814</v>
      </c>
      <c r="B1865" t="s">
        <v>2922</v>
      </c>
      <c r="C1865">
        <v>16119354</v>
      </c>
      <c r="D1865" t="s">
        <v>2873</v>
      </c>
      <c r="E1865" s="134">
        <v>29.84</v>
      </c>
      <c r="F1865" t="s">
        <v>2816</v>
      </c>
    </row>
    <row r="1866" spans="1:6" x14ac:dyDescent="0.2">
      <c r="A1866" t="s">
        <v>2814</v>
      </c>
      <c r="B1866" t="s">
        <v>2922</v>
      </c>
      <c r="C1866">
        <v>16119562</v>
      </c>
      <c r="D1866" t="s">
        <v>2874</v>
      </c>
      <c r="E1866" s="134">
        <v>29.84</v>
      </c>
      <c r="F1866" t="s">
        <v>2816</v>
      </c>
    </row>
    <row r="1867" spans="1:6" x14ac:dyDescent="0.2">
      <c r="A1867" t="s">
        <v>2814</v>
      </c>
      <c r="B1867" t="s">
        <v>2922</v>
      </c>
      <c r="C1867">
        <v>16119563</v>
      </c>
      <c r="D1867" t="s">
        <v>2875</v>
      </c>
      <c r="E1867" s="134">
        <v>29.84</v>
      </c>
      <c r="F1867" t="s">
        <v>2816</v>
      </c>
    </row>
    <row r="1868" spans="1:6" x14ac:dyDescent="0.2">
      <c r="A1868" t="s">
        <v>2814</v>
      </c>
      <c r="B1868" t="s">
        <v>2922</v>
      </c>
      <c r="C1868">
        <v>16119689</v>
      </c>
      <c r="D1868" t="s">
        <v>2876</v>
      </c>
      <c r="E1868" s="134">
        <v>29.84</v>
      </c>
      <c r="F1868" t="s">
        <v>2816</v>
      </c>
    </row>
    <row r="1869" spans="1:6" x14ac:dyDescent="0.2">
      <c r="A1869" t="s">
        <v>2814</v>
      </c>
      <c r="B1869" t="s">
        <v>2922</v>
      </c>
      <c r="C1869">
        <v>16120137</v>
      </c>
      <c r="D1869" t="s">
        <v>2877</v>
      </c>
      <c r="E1869" s="134">
        <v>29.84</v>
      </c>
      <c r="F1869" t="s">
        <v>2816</v>
      </c>
    </row>
    <row r="1870" spans="1:6" x14ac:dyDescent="0.2">
      <c r="A1870" t="s">
        <v>2814</v>
      </c>
      <c r="B1870" t="s">
        <v>2922</v>
      </c>
      <c r="C1870">
        <v>16120346</v>
      </c>
      <c r="D1870" t="s">
        <v>2878</v>
      </c>
      <c r="E1870" s="134">
        <v>29.84</v>
      </c>
      <c r="F1870" t="s">
        <v>2816</v>
      </c>
    </row>
    <row r="1871" spans="1:6" x14ac:dyDescent="0.2">
      <c r="A1871" t="s">
        <v>2814</v>
      </c>
      <c r="B1871" t="s">
        <v>2922</v>
      </c>
      <c r="C1871">
        <v>16120465</v>
      </c>
      <c r="D1871" t="s">
        <v>2879</v>
      </c>
      <c r="E1871" s="134">
        <v>29.84</v>
      </c>
      <c r="F1871" t="s">
        <v>2816</v>
      </c>
    </row>
    <row r="1872" spans="1:6" x14ac:dyDescent="0.2">
      <c r="A1872" t="s">
        <v>2814</v>
      </c>
      <c r="B1872" t="s">
        <v>2922</v>
      </c>
      <c r="C1872">
        <v>16120702</v>
      </c>
      <c r="D1872" t="s">
        <v>2880</v>
      </c>
      <c r="E1872" s="134">
        <v>29.84</v>
      </c>
      <c r="F1872" t="s">
        <v>2816</v>
      </c>
    </row>
    <row r="1873" spans="1:6" x14ac:dyDescent="0.2">
      <c r="A1873" t="s">
        <v>2814</v>
      </c>
      <c r="B1873" t="s">
        <v>2922</v>
      </c>
      <c r="C1873">
        <v>16121373</v>
      </c>
      <c r="D1873" t="s">
        <v>2881</v>
      </c>
      <c r="E1873" s="134">
        <v>12.79</v>
      </c>
      <c r="F1873" t="s">
        <v>2816</v>
      </c>
    </row>
    <row r="1874" spans="1:6" x14ac:dyDescent="0.2">
      <c r="A1874" t="s">
        <v>2814</v>
      </c>
      <c r="B1874" t="s">
        <v>2922</v>
      </c>
      <c r="C1874">
        <v>16121712</v>
      </c>
      <c r="D1874" t="s">
        <v>2882</v>
      </c>
      <c r="E1874" s="134">
        <v>29.84</v>
      </c>
      <c r="F1874" t="s">
        <v>2816</v>
      </c>
    </row>
    <row r="1875" spans="1:6" x14ac:dyDescent="0.2">
      <c r="A1875" t="s">
        <v>2814</v>
      </c>
      <c r="B1875" t="s">
        <v>2922</v>
      </c>
      <c r="C1875">
        <v>16121844</v>
      </c>
      <c r="D1875" t="s">
        <v>2883</v>
      </c>
      <c r="E1875" s="134">
        <v>29.84</v>
      </c>
      <c r="F1875" t="s">
        <v>2816</v>
      </c>
    </row>
    <row r="1876" spans="1:6" x14ac:dyDescent="0.2">
      <c r="A1876" t="s">
        <v>2814</v>
      </c>
      <c r="B1876" t="s">
        <v>2922</v>
      </c>
      <c r="C1876">
        <v>16121937</v>
      </c>
      <c r="D1876" t="s">
        <v>2884</v>
      </c>
      <c r="E1876" s="134">
        <v>29.84</v>
      </c>
      <c r="F1876" t="s">
        <v>2816</v>
      </c>
    </row>
    <row r="1877" spans="1:6" x14ac:dyDescent="0.2">
      <c r="A1877" t="s">
        <v>2814</v>
      </c>
      <c r="B1877" t="s">
        <v>2922</v>
      </c>
      <c r="C1877">
        <v>16122078</v>
      </c>
      <c r="D1877" t="s">
        <v>2885</v>
      </c>
      <c r="E1877" s="134">
        <v>29.84</v>
      </c>
      <c r="F1877" t="s">
        <v>2816</v>
      </c>
    </row>
    <row r="1878" spans="1:6" x14ac:dyDescent="0.2">
      <c r="A1878" t="s">
        <v>2814</v>
      </c>
      <c r="B1878" t="s">
        <v>2922</v>
      </c>
      <c r="C1878">
        <v>16122204</v>
      </c>
      <c r="D1878" t="s">
        <v>2886</v>
      </c>
      <c r="E1878" s="134">
        <v>29.84</v>
      </c>
      <c r="F1878" t="s">
        <v>2816</v>
      </c>
    </row>
    <row r="1879" spans="1:6" x14ac:dyDescent="0.2">
      <c r="A1879" t="s">
        <v>2814</v>
      </c>
      <c r="B1879" t="s">
        <v>2922</v>
      </c>
      <c r="C1879">
        <v>16122277</v>
      </c>
      <c r="D1879" t="s">
        <v>2887</v>
      </c>
      <c r="E1879" s="134">
        <v>29.84</v>
      </c>
      <c r="F1879" t="s">
        <v>2816</v>
      </c>
    </row>
    <row r="1880" spans="1:6" x14ac:dyDescent="0.2">
      <c r="A1880" t="s">
        <v>2814</v>
      </c>
      <c r="B1880" t="s">
        <v>2922</v>
      </c>
      <c r="C1880">
        <v>16122298</v>
      </c>
      <c r="D1880" t="s">
        <v>2888</v>
      </c>
      <c r="E1880" s="134">
        <v>29.84</v>
      </c>
      <c r="F1880" t="s">
        <v>2816</v>
      </c>
    </row>
    <row r="1881" spans="1:6" x14ac:dyDescent="0.2">
      <c r="A1881" t="s">
        <v>2814</v>
      </c>
      <c r="B1881" t="s">
        <v>2922</v>
      </c>
      <c r="C1881">
        <v>16122324</v>
      </c>
      <c r="D1881" t="s">
        <v>2889</v>
      </c>
      <c r="E1881" s="134">
        <v>29.84</v>
      </c>
      <c r="F1881" t="s">
        <v>2816</v>
      </c>
    </row>
    <row r="1882" spans="1:6" x14ac:dyDescent="0.2">
      <c r="A1882" t="s">
        <v>2814</v>
      </c>
      <c r="B1882" t="s">
        <v>2922</v>
      </c>
      <c r="C1882">
        <v>16122376</v>
      </c>
      <c r="D1882" t="s">
        <v>2890</v>
      </c>
      <c r="E1882" s="134">
        <v>29.84</v>
      </c>
      <c r="F1882" t="s">
        <v>2816</v>
      </c>
    </row>
    <row r="1883" spans="1:6" x14ac:dyDescent="0.2">
      <c r="A1883" t="s">
        <v>2814</v>
      </c>
      <c r="B1883" t="s">
        <v>2922</v>
      </c>
      <c r="C1883">
        <v>16122503</v>
      </c>
      <c r="D1883" t="s">
        <v>2891</v>
      </c>
      <c r="E1883" s="134">
        <v>29.84</v>
      </c>
      <c r="F1883" t="s">
        <v>2816</v>
      </c>
    </row>
    <row r="1884" spans="1:6" x14ac:dyDescent="0.2">
      <c r="A1884" t="s">
        <v>2814</v>
      </c>
      <c r="B1884" t="s">
        <v>2922</v>
      </c>
      <c r="C1884">
        <v>16122568</v>
      </c>
      <c r="D1884" t="s">
        <v>2892</v>
      </c>
      <c r="E1884" s="134">
        <v>29.84</v>
      </c>
      <c r="F1884" t="s">
        <v>2816</v>
      </c>
    </row>
    <row r="1885" spans="1:6" x14ac:dyDescent="0.2">
      <c r="A1885" t="s">
        <v>2814</v>
      </c>
      <c r="B1885" t="s">
        <v>2922</v>
      </c>
      <c r="C1885">
        <v>16123358</v>
      </c>
      <c r="D1885" t="s">
        <v>2893</v>
      </c>
      <c r="E1885" s="134">
        <v>29.84</v>
      </c>
      <c r="F1885" t="s">
        <v>2816</v>
      </c>
    </row>
    <row r="1886" spans="1:6" x14ac:dyDescent="0.2">
      <c r="A1886" t="s">
        <v>2814</v>
      </c>
      <c r="B1886" t="s">
        <v>2922</v>
      </c>
      <c r="C1886">
        <v>16123499</v>
      </c>
      <c r="D1886" t="s">
        <v>2894</v>
      </c>
      <c r="E1886" s="134">
        <v>29.84</v>
      </c>
      <c r="F1886" t="s">
        <v>2816</v>
      </c>
    </row>
    <row r="1887" spans="1:6" x14ac:dyDescent="0.2">
      <c r="A1887" t="s">
        <v>2814</v>
      </c>
      <c r="B1887" t="s">
        <v>2922</v>
      </c>
      <c r="C1887">
        <v>16123584</v>
      </c>
      <c r="D1887" t="s">
        <v>2895</v>
      </c>
      <c r="E1887" s="134">
        <v>24.86</v>
      </c>
      <c r="F1887" t="s">
        <v>2816</v>
      </c>
    </row>
    <row r="1888" spans="1:6" x14ac:dyDescent="0.2">
      <c r="A1888" t="s">
        <v>2814</v>
      </c>
      <c r="B1888" t="s">
        <v>2922</v>
      </c>
      <c r="C1888">
        <v>16123585</v>
      </c>
      <c r="D1888" t="s">
        <v>2896</v>
      </c>
      <c r="E1888" s="134">
        <v>29.84</v>
      </c>
      <c r="F1888" t="s">
        <v>2816</v>
      </c>
    </row>
    <row r="1889" spans="1:6" x14ac:dyDescent="0.2">
      <c r="A1889" t="s">
        <v>2814</v>
      </c>
      <c r="B1889" t="s">
        <v>2922</v>
      </c>
      <c r="C1889">
        <v>16123592</v>
      </c>
      <c r="D1889" t="s">
        <v>2897</v>
      </c>
      <c r="E1889" s="134">
        <v>29.84</v>
      </c>
      <c r="F1889" t="s">
        <v>2816</v>
      </c>
    </row>
    <row r="1890" spans="1:6" x14ac:dyDescent="0.2">
      <c r="A1890" t="s">
        <v>2814</v>
      </c>
      <c r="B1890" t="s">
        <v>2922</v>
      </c>
      <c r="C1890">
        <v>16123664</v>
      </c>
      <c r="D1890" t="s">
        <v>2958</v>
      </c>
      <c r="E1890" s="134">
        <v>29.84</v>
      </c>
      <c r="F1890" t="s">
        <v>2816</v>
      </c>
    </row>
    <row r="1891" spans="1:6" x14ac:dyDescent="0.2">
      <c r="A1891" t="s">
        <v>2814</v>
      </c>
      <c r="B1891" t="s">
        <v>2922</v>
      </c>
      <c r="C1891">
        <v>16123745</v>
      </c>
      <c r="D1891" t="s">
        <v>2898</v>
      </c>
      <c r="E1891" s="134">
        <v>29.84</v>
      </c>
      <c r="F1891" t="s">
        <v>2816</v>
      </c>
    </row>
    <row r="1892" spans="1:6" x14ac:dyDescent="0.2">
      <c r="A1892" t="s">
        <v>2814</v>
      </c>
      <c r="B1892" t="s">
        <v>2922</v>
      </c>
      <c r="C1892">
        <v>16123764</v>
      </c>
      <c r="D1892" t="s">
        <v>2899</v>
      </c>
      <c r="E1892" s="134">
        <v>29.84</v>
      </c>
      <c r="F1892" t="s">
        <v>2816</v>
      </c>
    </row>
    <row r="1893" spans="1:6" x14ac:dyDescent="0.2">
      <c r="A1893" t="s">
        <v>2814</v>
      </c>
      <c r="B1893" t="s">
        <v>2922</v>
      </c>
      <c r="C1893">
        <v>16123790</v>
      </c>
      <c r="D1893" t="s">
        <v>2900</v>
      </c>
      <c r="E1893" s="134">
        <v>29.84</v>
      </c>
      <c r="F1893" t="s">
        <v>2816</v>
      </c>
    </row>
    <row r="1894" spans="1:6" x14ac:dyDescent="0.2">
      <c r="A1894" t="s">
        <v>2814</v>
      </c>
      <c r="B1894" t="s">
        <v>2922</v>
      </c>
      <c r="C1894">
        <v>16123864</v>
      </c>
      <c r="D1894" t="s">
        <v>2901</v>
      </c>
      <c r="E1894" s="134">
        <v>29.84</v>
      </c>
      <c r="F1894" t="s">
        <v>2816</v>
      </c>
    </row>
    <row r="1895" spans="1:6" x14ac:dyDescent="0.2">
      <c r="A1895" t="s">
        <v>2814</v>
      </c>
      <c r="B1895" t="s">
        <v>2922</v>
      </c>
      <c r="C1895">
        <v>16123865</v>
      </c>
      <c r="D1895" t="s">
        <v>2902</v>
      </c>
      <c r="E1895" s="134">
        <v>29.84</v>
      </c>
      <c r="F1895" t="s">
        <v>2816</v>
      </c>
    </row>
    <row r="1896" spans="1:6" x14ac:dyDescent="0.2">
      <c r="A1896" t="s">
        <v>2814</v>
      </c>
      <c r="B1896" t="s">
        <v>2922</v>
      </c>
      <c r="C1896">
        <v>16123866</v>
      </c>
      <c r="D1896" t="s">
        <v>2903</v>
      </c>
      <c r="E1896" s="134">
        <v>29.84</v>
      </c>
      <c r="F1896" t="s">
        <v>2816</v>
      </c>
    </row>
    <row r="1897" spans="1:6" x14ac:dyDescent="0.2">
      <c r="A1897" t="s">
        <v>2814</v>
      </c>
      <c r="B1897" t="s">
        <v>2922</v>
      </c>
      <c r="C1897">
        <v>16123887</v>
      </c>
      <c r="D1897" t="s">
        <v>2904</v>
      </c>
      <c r="E1897" s="134">
        <v>29.84</v>
      </c>
      <c r="F1897" t="s">
        <v>2816</v>
      </c>
    </row>
    <row r="1898" spans="1:6" x14ac:dyDescent="0.2">
      <c r="A1898" t="s">
        <v>2814</v>
      </c>
      <c r="B1898" t="s">
        <v>2922</v>
      </c>
      <c r="C1898">
        <v>16123909</v>
      </c>
      <c r="D1898" t="s">
        <v>2905</v>
      </c>
      <c r="E1898" s="134">
        <v>29.84</v>
      </c>
      <c r="F1898" t="s">
        <v>2816</v>
      </c>
    </row>
    <row r="1899" spans="1:6" x14ac:dyDescent="0.2">
      <c r="A1899" t="s">
        <v>2814</v>
      </c>
      <c r="B1899" t="s">
        <v>2922</v>
      </c>
      <c r="C1899">
        <v>16123910</v>
      </c>
      <c r="D1899" t="s">
        <v>2906</v>
      </c>
      <c r="E1899" s="134">
        <v>29.84</v>
      </c>
      <c r="F1899" t="s">
        <v>2816</v>
      </c>
    </row>
    <row r="1900" spans="1:6" x14ac:dyDescent="0.2">
      <c r="A1900" t="s">
        <v>2814</v>
      </c>
      <c r="B1900" t="s">
        <v>2922</v>
      </c>
      <c r="C1900">
        <v>16123937</v>
      </c>
      <c r="D1900" t="s">
        <v>2920</v>
      </c>
      <c r="E1900" s="134">
        <v>29.84</v>
      </c>
      <c r="F1900" t="s">
        <v>2816</v>
      </c>
    </row>
    <row r="1901" spans="1:6" x14ac:dyDescent="0.2">
      <c r="A1901" t="s">
        <v>2814</v>
      </c>
      <c r="B1901" t="s">
        <v>2922</v>
      </c>
      <c r="C1901">
        <v>16123938</v>
      </c>
      <c r="D1901" t="s">
        <v>2909</v>
      </c>
      <c r="E1901" s="134">
        <v>29.84</v>
      </c>
      <c r="F1901" t="s">
        <v>2816</v>
      </c>
    </row>
    <row r="1902" spans="1:6" x14ac:dyDescent="0.2">
      <c r="A1902" t="s">
        <v>2814</v>
      </c>
      <c r="B1902" t="s">
        <v>2922</v>
      </c>
      <c r="C1902">
        <v>16124000</v>
      </c>
      <c r="D1902" t="s">
        <v>2959</v>
      </c>
      <c r="E1902" s="134">
        <v>29.84</v>
      </c>
      <c r="F1902" t="s">
        <v>2816</v>
      </c>
    </row>
    <row r="1903" spans="1:6" x14ac:dyDescent="0.2">
      <c r="A1903" t="s">
        <v>2814</v>
      </c>
      <c r="B1903" t="s">
        <v>2922</v>
      </c>
      <c r="C1903">
        <v>16124001</v>
      </c>
      <c r="D1903" t="s">
        <v>2960</v>
      </c>
      <c r="E1903" s="134">
        <v>29.84</v>
      </c>
      <c r="F1903" t="s">
        <v>2816</v>
      </c>
    </row>
    <row r="1904" spans="1:6" x14ac:dyDescent="0.2">
      <c r="A1904" t="s">
        <v>2814</v>
      </c>
      <c r="B1904" t="s">
        <v>2922</v>
      </c>
      <c r="C1904">
        <v>16124018</v>
      </c>
      <c r="D1904" t="s">
        <v>2961</v>
      </c>
      <c r="E1904" s="134">
        <v>29.84</v>
      </c>
      <c r="F1904" t="s">
        <v>2816</v>
      </c>
    </row>
    <row r="1905" spans="1:6" x14ac:dyDescent="0.2">
      <c r="A1905" t="s">
        <v>2814</v>
      </c>
      <c r="B1905" t="s">
        <v>2922</v>
      </c>
      <c r="C1905">
        <v>16124047</v>
      </c>
      <c r="D1905" t="s">
        <v>2962</v>
      </c>
      <c r="E1905" s="134">
        <v>29.84</v>
      </c>
      <c r="F1905" t="s">
        <v>2816</v>
      </c>
    </row>
    <row r="1906" spans="1:6" x14ac:dyDescent="0.2">
      <c r="A1906" t="s">
        <v>2814</v>
      </c>
      <c r="B1906" t="s">
        <v>2922</v>
      </c>
      <c r="C1906">
        <v>14100751</v>
      </c>
      <c r="D1906" t="s">
        <v>320</v>
      </c>
      <c r="E1906" s="134">
        <v>33.81</v>
      </c>
      <c r="F1906" t="s">
        <v>2816</v>
      </c>
    </row>
    <row r="1907" spans="1:6" x14ac:dyDescent="0.2">
      <c r="A1907" t="s">
        <v>2814</v>
      </c>
      <c r="B1907" t="s">
        <v>2922</v>
      </c>
      <c r="C1907">
        <v>14102081</v>
      </c>
      <c r="D1907" t="s">
        <v>28</v>
      </c>
      <c r="E1907" s="134">
        <v>33.81</v>
      </c>
      <c r="F1907" t="s">
        <v>2816</v>
      </c>
    </row>
    <row r="1908" spans="1:6" x14ac:dyDescent="0.2">
      <c r="A1908" t="s">
        <v>2814</v>
      </c>
      <c r="B1908" t="s">
        <v>2922</v>
      </c>
      <c r="C1908">
        <v>14103936</v>
      </c>
      <c r="D1908" t="s">
        <v>291</v>
      </c>
      <c r="E1908" s="134">
        <v>33.81</v>
      </c>
      <c r="F1908" t="s">
        <v>2816</v>
      </c>
    </row>
    <row r="1909" spans="1:6" x14ac:dyDescent="0.2">
      <c r="A1909" t="s">
        <v>2814</v>
      </c>
      <c r="B1909" t="s">
        <v>2922</v>
      </c>
      <c r="C1909">
        <v>14104853</v>
      </c>
      <c r="D1909" t="s">
        <v>181</v>
      </c>
      <c r="E1909" s="134">
        <v>33.81</v>
      </c>
      <c r="F1909" t="s">
        <v>2816</v>
      </c>
    </row>
    <row r="1910" spans="1:6" x14ac:dyDescent="0.2">
      <c r="A1910" t="s">
        <v>2814</v>
      </c>
      <c r="B1910" t="s">
        <v>2922</v>
      </c>
      <c r="C1910">
        <v>14104957</v>
      </c>
      <c r="D1910" t="s">
        <v>303</v>
      </c>
      <c r="E1910" s="134">
        <v>33.81</v>
      </c>
      <c r="F1910" t="s">
        <v>2816</v>
      </c>
    </row>
    <row r="1911" spans="1:6" x14ac:dyDescent="0.2">
      <c r="A1911" t="s">
        <v>2814</v>
      </c>
      <c r="B1911" t="s">
        <v>2922</v>
      </c>
      <c r="C1911">
        <v>14106066</v>
      </c>
      <c r="D1911" t="s">
        <v>49</v>
      </c>
      <c r="E1911" s="134">
        <v>33.81</v>
      </c>
      <c r="F1911" t="s">
        <v>2816</v>
      </c>
    </row>
    <row r="1912" spans="1:6" x14ac:dyDescent="0.2">
      <c r="A1912" t="s">
        <v>2814</v>
      </c>
      <c r="B1912" t="s">
        <v>2922</v>
      </c>
      <c r="C1912">
        <v>14107271</v>
      </c>
      <c r="D1912" t="s">
        <v>60</v>
      </c>
      <c r="E1912" s="134">
        <v>33.81</v>
      </c>
      <c r="F1912" t="s">
        <v>2816</v>
      </c>
    </row>
    <row r="1913" spans="1:6" x14ac:dyDescent="0.2">
      <c r="A1913" t="s">
        <v>2814</v>
      </c>
      <c r="B1913" t="s">
        <v>2922</v>
      </c>
      <c r="C1913">
        <v>14109738</v>
      </c>
      <c r="D1913" t="s">
        <v>93</v>
      </c>
      <c r="E1913" s="134">
        <v>33.81</v>
      </c>
      <c r="F1913" t="s">
        <v>2816</v>
      </c>
    </row>
    <row r="1914" spans="1:6" x14ac:dyDescent="0.2">
      <c r="A1914" t="s">
        <v>2814</v>
      </c>
      <c r="B1914" t="s">
        <v>2922</v>
      </c>
      <c r="C1914">
        <v>14109748</v>
      </c>
      <c r="D1914" t="s">
        <v>94</v>
      </c>
      <c r="E1914" s="134">
        <v>33.81</v>
      </c>
      <c r="F1914" t="s">
        <v>2816</v>
      </c>
    </row>
    <row r="1915" spans="1:6" x14ac:dyDescent="0.2">
      <c r="A1915" t="s">
        <v>2814</v>
      </c>
      <c r="B1915" t="s">
        <v>2922</v>
      </c>
      <c r="C1915">
        <v>14109802</v>
      </c>
      <c r="D1915" t="s">
        <v>95</v>
      </c>
      <c r="E1915" s="134">
        <v>33.81</v>
      </c>
      <c r="F1915" t="s">
        <v>2816</v>
      </c>
    </row>
    <row r="1916" spans="1:6" x14ac:dyDescent="0.2">
      <c r="A1916" t="s">
        <v>2814</v>
      </c>
      <c r="B1916" t="s">
        <v>2922</v>
      </c>
      <c r="C1916">
        <v>14109874</v>
      </c>
      <c r="D1916" t="s">
        <v>97</v>
      </c>
      <c r="E1916" s="134">
        <v>33.81</v>
      </c>
      <c r="F1916" t="s">
        <v>2816</v>
      </c>
    </row>
    <row r="1917" spans="1:6" x14ac:dyDescent="0.2">
      <c r="A1917" t="s">
        <v>2814</v>
      </c>
      <c r="B1917" t="s">
        <v>2922</v>
      </c>
      <c r="C1917">
        <v>14110550</v>
      </c>
      <c r="D1917" t="s">
        <v>103</v>
      </c>
      <c r="E1917" s="134">
        <v>33.81</v>
      </c>
      <c r="F1917" t="s">
        <v>2816</v>
      </c>
    </row>
    <row r="1918" spans="1:6" x14ac:dyDescent="0.2">
      <c r="A1918" t="s">
        <v>2814</v>
      </c>
      <c r="B1918" t="s">
        <v>2922</v>
      </c>
      <c r="C1918">
        <v>14110707</v>
      </c>
      <c r="D1918" t="s">
        <v>267</v>
      </c>
      <c r="E1918" s="134">
        <v>33.81</v>
      </c>
      <c r="F1918" t="s">
        <v>2816</v>
      </c>
    </row>
    <row r="1919" spans="1:6" x14ac:dyDescent="0.2">
      <c r="A1919" t="s">
        <v>2814</v>
      </c>
      <c r="B1919" t="s">
        <v>2922</v>
      </c>
      <c r="C1919">
        <v>14110765</v>
      </c>
      <c r="D1919" t="s">
        <v>105</v>
      </c>
      <c r="E1919" s="134">
        <v>33.81</v>
      </c>
      <c r="F1919" t="s">
        <v>2816</v>
      </c>
    </row>
    <row r="1920" spans="1:6" x14ac:dyDescent="0.2">
      <c r="A1920" t="s">
        <v>2814</v>
      </c>
      <c r="B1920" t="s">
        <v>2922</v>
      </c>
      <c r="C1920">
        <v>14110974</v>
      </c>
      <c r="D1920" t="s">
        <v>107</v>
      </c>
      <c r="E1920" s="134">
        <v>33.81</v>
      </c>
      <c r="F1920" t="s">
        <v>2816</v>
      </c>
    </row>
    <row r="1921" spans="1:6" x14ac:dyDescent="0.2">
      <c r="A1921" t="s">
        <v>2814</v>
      </c>
      <c r="B1921" t="s">
        <v>2922</v>
      </c>
      <c r="C1921">
        <v>14111675</v>
      </c>
      <c r="D1921" t="s">
        <v>112</v>
      </c>
      <c r="E1921" s="134">
        <v>33.81</v>
      </c>
      <c r="F1921" t="s">
        <v>2816</v>
      </c>
    </row>
    <row r="1922" spans="1:6" x14ac:dyDescent="0.2">
      <c r="A1922" t="s">
        <v>2814</v>
      </c>
      <c r="B1922" t="s">
        <v>2922</v>
      </c>
      <c r="C1922">
        <v>14113146</v>
      </c>
      <c r="D1922" t="s">
        <v>124</v>
      </c>
      <c r="E1922" s="134">
        <v>33.81</v>
      </c>
      <c r="F1922" t="s">
        <v>2816</v>
      </c>
    </row>
    <row r="1923" spans="1:6" x14ac:dyDescent="0.2">
      <c r="A1923" t="s">
        <v>2814</v>
      </c>
      <c r="B1923" t="s">
        <v>2922</v>
      </c>
      <c r="C1923">
        <v>14113565</v>
      </c>
      <c r="D1923" t="s">
        <v>129</v>
      </c>
      <c r="E1923" s="134">
        <v>33.81</v>
      </c>
      <c r="F1923" t="s">
        <v>2816</v>
      </c>
    </row>
    <row r="1924" spans="1:6" x14ac:dyDescent="0.2">
      <c r="A1924" t="s">
        <v>2814</v>
      </c>
      <c r="B1924" t="s">
        <v>2922</v>
      </c>
      <c r="C1924">
        <v>14113803</v>
      </c>
      <c r="D1924" t="s">
        <v>296</v>
      </c>
      <c r="E1924" s="134">
        <v>33.81</v>
      </c>
      <c r="F1924" t="s">
        <v>2816</v>
      </c>
    </row>
    <row r="1925" spans="1:6" x14ac:dyDescent="0.2">
      <c r="A1925" t="s">
        <v>2814</v>
      </c>
      <c r="B1925" t="s">
        <v>2922</v>
      </c>
      <c r="C1925">
        <v>14114320</v>
      </c>
      <c r="D1925" t="s">
        <v>312</v>
      </c>
      <c r="E1925" s="134">
        <v>33.81</v>
      </c>
      <c r="F1925" t="s">
        <v>2816</v>
      </c>
    </row>
    <row r="1926" spans="1:6" x14ac:dyDescent="0.2">
      <c r="A1926" t="s">
        <v>2814</v>
      </c>
      <c r="B1926" t="s">
        <v>2922</v>
      </c>
      <c r="C1926">
        <v>14114737</v>
      </c>
      <c r="D1926" t="s">
        <v>139</v>
      </c>
      <c r="E1926" s="134">
        <v>33.81</v>
      </c>
      <c r="F1926" t="s">
        <v>2816</v>
      </c>
    </row>
    <row r="1927" spans="1:6" x14ac:dyDescent="0.2">
      <c r="A1927" t="s">
        <v>2814</v>
      </c>
      <c r="B1927" t="s">
        <v>2922</v>
      </c>
      <c r="C1927">
        <v>14115244</v>
      </c>
      <c r="D1927" t="s">
        <v>141</v>
      </c>
      <c r="E1927" s="134">
        <v>33.81</v>
      </c>
      <c r="F1927" t="s">
        <v>2816</v>
      </c>
    </row>
    <row r="1928" spans="1:6" x14ac:dyDescent="0.2">
      <c r="A1928" t="s">
        <v>2814</v>
      </c>
      <c r="B1928" t="s">
        <v>2922</v>
      </c>
      <c r="C1928">
        <v>14115304</v>
      </c>
      <c r="D1928" t="s">
        <v>142</v>
      </c>
      <c r="E1928" s="134">
        <v>33.81</v>
      </c>
      <c r="F1928" t="s">
        <v>2816</v>
      </c>
    </row>
    <row r="1929" spans="1:6" x14ac:dyDescent="0.2">
      <c r="A1929" t="s">
        <v>2814</v>
      </c>
      <c r="B1929" t="s">
        <v>2922</v>
      </c>
      <c r="C1929">
        <v>14115435</v>
      </c>
      <c r="D1929" t="s">
        <v>143</v>
      </c>
      <c r="E1929" s="134">
        <v>33.81</v>
      </c>
      <c r="F1929" t="s">
        <v>2816</v>
      </c>
    </row>
    <row r="1930" spans="1:6" x14ac:dyDescent="0.2">
      <c r="A1930" t="s">
        <v>2814</v>
      </c>
      <c r="B1930" t="s">
        <v>2922</v>
      </c>
      <c r="C1930">
        <v>14115820</v>
      </c>
      <c r="D1930" t="s">
        <v>148</v>
      </c>
      <c r="E1930" s="134">
        <v>33.81</v>
      </c>
      <c r="F1930" t="s">
        <v>2816</v>
      </c>
    </row>
    <row r="1931" spans="1:6" x14ac:dyDescent="0.2">
      <c r="A1931" t="s">
        <v>2814</v>
      </c>
      <c r="B1931" t="s">
        <v>2922</v>
      </c>
      <c r="C1931">
        <v>14116134</v>
      </c>
      <c r="D1931" t="s">
        <v>156</v>
      </c>
      <c r="E1931" s="134">
        <v>33.81</v>
      </c>
      <c r="F1931" t="s">
        <v>2816</v>
      </c>
    </row>
    <row r="1932" spans="1:6" x14ac:dyDescent="0.2">
      <c r="A1932" t="s">
        <v>2814</v>
      </c>
      <c r="B1932" t="s">
        <v>2922</v>
      </c>
      <c r="C1932">
        <v>14116352</v>
      </c>
      <c r="D1932" t="s">
        <v>159</v>
      </c>
      <c r="E1932" s="134">
        <v>33.81</v>
      </c>
      <c r="F1932" t="s">
        <v>2816</v>
      </c>
    </row>
    <row r="1933" spans="1:6" x14ac:dyDescent="0.2">
      <c r="A1933" t="s">
        <v>2814</v>
      </c>
      <c r="B1933" t="s">
        <v>2922</v>
      </c>
      <c r="C1933">
        <v>14116643</v>
      </c>
      <c r="D1933" t="s">
        <v>292</v>
      </c>
      <c r="E1933" s="134">
        <v>33.81</v>
      </c>
      <c r="F1933" t="s">
        <v>2816</v>
      </c>
    </row>
    <row r="1934" spans="1:6" x14ac:dyDescent="0.2">
      <c r="A1934" t="s">
        <v>2814</v>
      </c>
      <c r="B1934" t="s">
        <v>2922</v>
      </c>
      <c r="C1934">
        <v>14116860</v>
      </c>
      <c r="D1934" t="s">
        <v>170</v>
      </c>
      <c r="E1934" s="134">
        <v>33.81</v>
      </c>
      <c r="F1934" t="s">
        <v>2816</v>
      </c>
    </row>
    <row r="1935" spans="1:6" x14ac:dyDescent="0.2">
      <c r="A1935" t="s">
        <v>2814</v>
      </c>
      <c r="B1935" t="s">
        <v>2922</v>
      </c>
      <c r="C1935">
        <v>14117158</v>
      </c>
      <c r="D1935" t="s">
        <v>172</v>
      </c>
      <c r="E1935" s="134">
        <v>33.81</v>
      </c>
      <c r="F1935" t="s">
        <v>2816</v>
      </c>
    </row>
    <row r="1936" spans="1:6" x14ac:dyDescent="0.2">
      <c r="A1936" t="s">
        <v>2814</v>
      </c>
      <c r="B1936" t="s">
        <v>2922</v>
      </c>
      <c r="C1936">
        <v>14117508</v>
      </c>
      <c r="D1936" t="s">
        <v>313</v>
      </c>
      <c r="E1936" s="134">
        <v>33.81</v>
      </c>
      <c r="F1936" t="s">
        <v>2816</v>
      </c>
    </row>
    <row r="1937" spans="1:6" x14ac:dyDescent="0.2">
      <c r="A1937" t="s">
        <v>2814</v>
      </c>
      <c r="B1937" t="s">
        <v>2922</v>
      </c>
      <c r="C1937">
        <v>14118341</v>
      </c>
      <c r="D1937" t="s">
        <v>195</v>
      </c>
      <c r="E1937" s="134">
        <v>33.81</v>
      </c>
      <c r="F1937" t="s">
        <v>2816</v>
      </c>
    </row>
    <row r="1938" spans="1:6" x14ac:dyDescent="0.2">
      <c r="A1938" t="s">
        <v>2814</v>
      </c>
      <c r="B1938" t="s">
        <v>2922</v>
      </c>
      <c r="C1938">
        <v>14118501</v>
      </c>
      <c r="D1938" t="s">
        <v>199</v>
      </c>
      <c r="E1938" s="134">
        <v>33.81</v>
      </c>
      <c r="F1938" t="s">
        <v>2816</v>
      </c>
    </row>
    <row r="1939" spans="1:6" x14ac:dyDescent="0.2">
      <c r="A1939" t="s">
        <v>2814</v>
      </c>
      <c r="B1939" t="s">
        <v>2922</v>
      </c>
      <c r="C1939">
        <v>14118505</v>
      </c>
      <c r="D1939" t="s">
        <v>349</v>
      </c>
      <c r="E1939" s="134">
        <v>33.81</v>
      </c>
      <c r="F1939" t="s">
        <v>2816</v>
      </c>
    </row>
    <row r="1940" spans="1:6" x14ac:dyDescent="0.2">
      <c r="A1940" t="s">
        <v>2814</v>
      </c>
      <c r="B1940" t="s">
        <v>2922</v>
      </c>
      <c r="C1940">
        <v>14118773</v>
      </c>
      <c r="D1940" t="s">
        <v>210</v>
      </c>
      <c r="E1940" s="134">
        <v>33.81</v>
      </c>
      <c r="F1940" t="s">
        <v>2816</v>
      </c>
    </row>
    <row r="1941" spans="1:6" x14ac:dyDescent="0.2">
      <c r="A1941" t="s">
        <v>2814</v>
      </c>
      <c r="B1941" t="s">
        <v>2922</v>
      </c>
      <c r="C1941">
        <v>14118958</v>
      </c>
      <c r="D1941" t="s">
        <v>367</v>
      </c>
      <c r="E1941" s="134">
        <v>33.81</v>
      </c>
      <c r="F1941" t="s">
        <v>2816</v>
      </c>
    </row>
    <row r="1942" spans="1:6" x14ac:dyDescent="0.2">
      <c r="A1942" t="s">
        <v>2814</v>
      </c>
      <c r="B1942" t="s">
        <v>2922</v>
      </c>
      <c r="C1942">
        <v>14119958</v>
      </c>
      <c r="D1942" t="s">
        <v>270</v>
      </c>
      <c r="E1942" s="134">
        <v>33.81</v>
      </c>
      <c r="F1942" t="s">
        <v>2816</v>
      </c>
    </row>
    <row r="1943" spans="1:6" x14ac:dyDescent="0.2">
      <c r="A1943" t="s">
        <v>2814</v>
      </c>
      <c r="B1943" t="s">
        <v>2922</v>
      </c>
      <c r="C1943">
        <v>14120091</v>
      </c>
      <c r="D1943" t="s">
        <v>275</v>
      </c>
      <c r="E1943" s="134">
        <v>33.81</v>
      </c>
      <c r="F1943" t="s">
        <v>2816</v>
      </c>
    </row>
    <row r="1944" spans="1:6" x14ac:dyDescent="0.2">
      <c r="A1944" t="s">
        <v>2814</v>
      </c>
      <c r="B1944" t="s">
        <v>2922</v>
      </c>
      <c r="C1944">
        <v>14120104</v>
      </c>
      <c r="D1944" t="s">
        <v>276</v>
      </c>
      <c r="E1944" s="134">
        <v>33.81</v>
      </c>
      <c r="F1944" t="s">
        <v>2816</v>
      </c>
    </row>
    <row r="1945" spans="1:6" x14ac:dyDescent="0.2">
      <c r="A1945" t="s">
        <v>2814</v>
      </c>
      <c r="B1945" t="s">
        <v>2922</v>
      </c>
      <c r="C1945">
        <v>14120351</v>
      </c>
      <c r="D1945" t="s">
        <v>285</v>
      </c>
      <c r="E1945" s="134">
        <v>33.81</v>
      </c>
      <c r="F1945" t="s">
        <v>2816</v>
      </c>
    </row>
    <row r="1946" spans="1:6" x14ac:dyDescent="0.2">
      <c r="A1946" t="s">
        <v>2814</v>
      </c>
      <c r="B1946" t="s">
        <v>2922</v>
      </c>
      <c r="C1946">
        <v>14120489</v>
      </c>
      <c r="D1946" t="s">
        <v>288</v>
      </c>
      <c r="E1946" s="134">
        <v>33.81</v>
      </c>
      <c r="F1946" t="s">
        <v>2816</v>
      </c>
    </row>
    <row r="1947" spans="1:6" x14ac:dyDescent="0.2">
      <c r="A1947" t="s">
        <v>2814</v>
      </c>
      <c r="B1947" t="s">
        <v>2922</v>
      </c>
      <c r="C1947">
        <v>14120611</v>
      </c>
      <c r="D1947" t="s">
        <v>289</v>
      </c>
      <c r="E1947" s="134">
        <v>33.81</v>
      </c>
      <c r="F1947" t="s">
        <v>2816</v>
      </c>
    </row>
    <row r="1948" spans="1:6" x14ac:dyDescent="0.2">
      <c r="A1948" t="s">
        <v>2814</v>
      </c>
      <c r="B1948" t="s">
        <v>2922</v>
      </c>
      <c r="C1948">
        <v>14120613</v>
      </c>
      <c r="D1948" t="s">
        <v>290</v>
      </c>
      <c r="E1948" s="134">
        <v>33.81</v>
      </c>
      <c r="F1948" t="s">
        <v>2816</v>
      </c>
    </row>
    <row r="1949" spans="1:6" x14ac:dyDescent="0.2">
      <c r="A1949" t="s">
        <v>2814</v>
      </c>
      <c r="B1949" t="s">
        <v>2922</v>
      </c>
      <c r="C1949">
        <v>14120655</v>
      </c>
      <c r="D1949" t="s">
        <v>293</v>
      </c>
      <c r="E1949" s="134">
        <v>33.81</v>
      </c>
      <c r="F1949" t="s">
        <v>2816</v>
      </c>
    </row>
    <row r="1950" spans="1:6" x14ac:dyDescent="0.2">
      <c r="A1950" t="s">
        <v>2814</v>
      </c>
      <c r="B1950" t="s">
        <v>2922</v>
      </c>
      <c r="C1950">
        <v>14120668</v>
      </c>
      <c r="D1950" t="s">
        <v>294</v>
      </c>
      <c r="E1950" s="134">
        <v>33.81</v>
      </c>
      <c r="F1950" t="s">
        <v>2816</v>
      </c>
    </row>
    <row r="1951" spans="1:6" x14ac:dyDescent="0.2">
      <c r="A1951" t="s">
        <v>2814</v>
      </c>
      <c r="B1951" t="s">
        <v>2922</v>
      </c>
      <c r="C1951">
        <v>14120788</v>
      </c>
      <c r="D1951" t="s">
        <v>297</v>
      </c>
      <c r="E1951" s="134">
        <v>33.81</v>
      </c>
      <c r="F1951" t="s">
        <v>2816</v>
      </c>
    </row>
    <row r="1952" spans="1:6" x14ac:dyDescent="0.2">
      <c r="A1952" t="s">
        <v>2814</v>
      </c>
      <c r="B1952" t="s">
        <v>2922</v>
      </c>
      <c r="C1952">
        <v>14120789</v>
      </c>
      <c r="D1952" t="s">
        <v>298</v>
      </c>
      <c r="E1952" s="134">
        <v>33.81</v>
      </c>
      <c r="F1952" t="s">
        <v>2816</v>
      </c>
    </row>
    <row r="1953" spans="1:6" x14ac:dyDescent="0.2">
      <c r="A1953" t="s">
        <v>2814</v>
      </c>
      <c r="B1953" t="s">
        <v>2922</v>
      </c>
      <c r="C1953">
        <v>14120806</v>
      </c>
      <c r="D1953" t="s">
        <v>299</v>
      </c>
      <c r="E1953" s="134">
        <v>33.81</v>
      </c>
      <c r="F1953" t="s">
        <v>2816</v>
      </c>
    </row>
    <row r="1954" spans="1:6" x14ac:dyDescent="0.2">
      <c r="A1954" t="s">
        <v>2814</v>
      </c>
      <c r="B1954" t="s">
        <v>2922</v>
      </c>
      <c r="C1954">
        <v>14120807</v>
      </c>
      <c r="D1954" t="s">
        <v>300</v>
      </c>
      <c r="E1954" s="134">
        <v>33.81</v>
      </c>
      <c r="F1954" t="s">
        <v>2816</v>
      </c>
    </row>
    <row r="1955" spans="1:6" x14ac:dyDescent="0.2">
      <c r="A1955" t="s">
        <v>2814</v>
      </c>
      <c r="B1955" t="s">
        <v>2922</v>
      </c>
      <c r="C1955">
        <v>14120850</v>
      </c>
      <c r="D1955" t="s">
        <v>301</v>
      </c>
      <c r="E1955" s="134">
        <v>33.81</v>
      </c>
      <c r="F1955" t="s">
        <v>2816</v>
      </c>
    </row>
    <row r="1956" spans="1:6" x14ac:dyDescent="0.2">
      <c r="A1956" t="s">
        <v>2814</v>
      </c>
      <c r="B1956" t="s">
        <v>2922</v>
      </c>
      <c r="C1956">
        <v>14120885</v>
      </c>
      <c r="D1956" t="s">
        <v>302</v>
      </c>
      <c r="E1956" s="134">
        <v>33.81</v>
      </c>
      <c r="F1956" t="s">
        <v>2816</v>
      </c>
    </row>
    <row r="1957" spans="1:6" x14ac:dyDescent="0.2">
      <c r="A1957" t="s">
        <v>2814</v>
      </c>
      <c r="B1957" t="s">
        <v>2922</v>
      </c>
      <c r="C1957">
        <v>14120925</v>
      </c>
      <c r="D1957" t="s">
        <v>304</v>
      </c>
      <c r="E1957" s="134">
        <v>33.81</v>
      </c>
      <c r="F1957" t="s">
        <v>2816</v>
      </c>
    </row>
    <row r="1958" spans="1:6" x14ac:dyDescent="0.2">
      <c r="A1958" t="s">
        <v>2814</v>
      </c>
      <c r="B1958" t="s">
        <v>2922</v>
      </c>
      <c r="C1958">
        <v>14121013</v>
      </c>
      <c r="D1958" t="s">
        <v>305</v>
      </c>
      <c r="E1958" s="134">
        <v>33.81</v>
      </c>
      <c r="F1958" t="s">
        <v>2816</v>
      </c>
    </row>
    <row r="1959" spans="1:6" x14ac:dyDescent="0.2">
      <c r="A1959" t="s">
        <v>2814</v>
      </c>
      <c r="B1959" t="s">
        <v>2922</v>
      </c>
      <c r="C1959">
        <v>14121015</v>
      </c>
      <c r="D1959" t="s">
        <v>306</v>
      </c>
      <c r="E1959" s="134">
        <v>33.81</v>
      </c>
      <c r="F1959" t="s">
        <v>2816</v>
      </c>
    </row>
    <row r="1960" spans="1:6" x14ac:dyDescent="0.2">
      <c r="A1960" t="s">
        <v>2814</v>
      </c>
      <c r="B1960" t="s">
        <v>2922</v>
      </c>
      <c r="C1960">
        <v>14121103</v>
      </c>
      <c r="D1960" t="s">
        <v>307</v>
      </c>
      <c r="E1960" s="134">
        <v>33.81</v>
      </c>
      <c r="F1960" t="s">
        <v>2816</v>
      </c>
    </row>
    <row r="1961" spans="1:6" x14ac:dyDescent="0.2">
      <c r="A1961" t="s">
        <v>2814</v>
      </c>
      <c r="B1961" t="s">
        <v>2922</v>
      </c>
      <c r="C1961">
        <v>14121104</v>
      </c>
      <c r="D1961" t="s">
        <v>308</v>
      </c>
      <c r="E1961" s="134">
        <v>33.81</v>
      </c>
      <c r="F1961" t="s">
        <v>2816</v>
      </c>
    </row>
    <row r="1962" spans="1:6" x14ac:dyDescent="0.2">
      <c r="A1962" t="s">
        <v>2814</v>
      </c>
      <c r="B1962" t="s">
        <v>2922</v>
      </c>
      <c r="C1962">
        <v>14121116</v>
      </c>
      <c r="D1962" t="s">
        <v>314</v>
      </c>
      <c r="E1962" s="134">
        <v>33.81</v>
      </c>
      <c r="F1962" t="s">
        <v>2816</v>
      </c>
    </row>
    <row r="1963" spans="1:6" x14ac:dyDescent="0.2">
      <c r="A1963" t="s">
        <v>2814</v>
      </c>
      <c r="B1963" t="s">
        <v>2922</v>
      </c>
      <c r="C1963">
        <v>14121152</v>
      </c>
      <c r="D1963" t="s">
        <v>315</v>
      </c>
      <c r="E1963" s="134">
        <v>33.81</v>
      </c>
      <c r="F1963" t="s">
        <v>2816</v>
      </c>
    </row>
    <row r="1964" spans="1:6" x14ac:dyDescent="0.2">
      <c r="A1964" t="s">
        <v>2814</v>
      </c>
      <c r="B1964" t="s">
        <v>2922</v>
      </c>
      <c r="C1964">
        <v>14121153</v>
      </c>
      <c r="D1964" t="s">
        <v>316</v>
      </c>
      <c r="E1964" s="134">
        <v>33.81</v>
      </c>
      <c r="F1964" t="s">
        <v>2816</v>
      </c>
    </row>
    <row r="1965" spans="1:6" x14ac:dyDescent="0.2">
      <c r="A1965" t="s">
        <v>2814</v>
      </c>
      <c r="B1965" t="s">
        <v>2922</v>
      </c>
      <c r="C1965">
        <v>14121158</v>
      </c>
      <c r="D1965" t="s">
        <v>317</v>
      </c>
      <c r="E1965" s="134">
        <v>33.81</v>
      </c>
      <c r="F1965" t="s">
        <v>2816</v>
      </c>
    </row>
    <row r="1966" spans="1:6" x14ac:dyDescent="0.2">
      <c r="A1966" t="s">
        <v>2814</v>
      </c>
      <c r="B1966" t="s">
        <v>2922</v>
      </c>
      <c r="C1966">
        <v>14121159</v>
      </c>
      <c r="D1966" t="s">
        <v>318</v>
      </c>
      <c r="E1966" s="134">
        <v>33.81</v>
      </c>
      <c r="F1966" t="s">
        <v>2816</v>
      </c>
    </row>
    <row r="1967" spans="1:6" x14ac:dyDescent="0.2">
      <c r="A1967" t="s">
        <v>2814</v>
      </c>
      <c r="B1967" t="s">
        <v>2922</v>
      </c>
      <c r="C1967">
        <v>14121193</v>
      </c>
      <c r="D1967" t="s">
        <v>319</v>
      </c>
      <c r="E1967" s="134">
        <v>33.81</v>
      </c>
      <c r="F1967" t="s">
        <v>2816</v>
      </c>
    </row>
    <row r="1968" spans="1:6" x14ac:dyDescent="0.2">
      <c r="A1968" t="s">
        <v>2814</v>
      </c>
      <c r="B1968" t="s">
        <v>2922</v>
      </c>
      <c r="C1968">
        <v>14121235</v>
      </c>
      <c r="D1968" t="s">
        <v>321</v>
      </c>
      <c r="E1968" s="134">
        <v>33.81</v>
      </c>
      <c r="F1968" t="s">
        <v>2816</v>
      </c>
    </row>
    <row r="1969" spans="1:6" x14ac:dyDescent="0.2">
      <c r="A1969" t="s">
        <v>2814</v>
      </c>
      <c r="B1969" t="s">
        <v>2922</v>
      </c>
      <c r="C1969">
        <v>14121238</v>
      </c>
      <c r="D1969" t="s">
        <v>322</v>
      </c>
      <c r="E1969" s="134">
        <v>28.18</v>
      </c>
      <c r="F1969" t="s">
        <v>2816</v>
      </c>
    </row>
    <row r="1970" spans="1:6" x14ac:dyDescent="0.2">
      <c r="A1970" t="s">
        <v>2814</v>
      </c>
      <c r="B1970" t="s">
        <v>2922</v>
      </c>
      <c r="C1970">
        <v>14121239</v>
      </c>
      <c r="D1970" t="s">
        <v>323</v>
      </c>
      <c r="E1970" s="134">
        <v>33.81</v>
      </c>
      <c r="F1970" t="s">
        <v>2816</v>
      </c>
    </row>
    <row r="1971" spans="1:6" x14ac:dyDescent="0.2">
      <c r="A1971" t="s">
        <v>2814</v>
      </c>
      <c r="B1971" t="s">
        <v>2922</v>
      </c>
      <c r="C1971">
        <v>14121266</v>
      </c>
      <c r="D1971" t="s">
        <v>324</v>
      </c>
      <c r="E1971" s="134">
        <v>33.81</v>
      </c>
      <c r="F1971" t="s">
        <v>2816</v>
      </c>
    </row>
    <row r="1972" spans="1:6" x14ac:dyDescent="0.2">
      <c r="A1972" t="s">
        <v>2814</v>
      </c>
      <c r="B1972" t="s">
        <v>2922</v>
      </c>
      <c r="C1972">
        <v>14121271</v>
      </c>
      <c r="D1972" t="s">
        <v>325</v>
      </c>
      <c r="E1972" s="134">
        <v>33.81</v>
      </c>
      <c r="F1972" t="s">
        <v>2816</v>
      </c>
    </row>
    <row r="1973" spans="1:6" x14ac:dyDescent="0.2">
      <c r="A1973" t="s">
        <v>2814</v>
      </c>
      <c r="B1973" t="s">
        <v>2922</v>
      </c>
      <c r="C1973">
        <v>14121328</v>
      </c>
      <c r="D1973" t="s">
        <v>326</v>
      </c>
      <c r="E1973" s="134">
        <v>33.81</v>
      </c>
      <c r="F1973" t="s">
        <v>2816</v>
      </c>
    </row>
    <row r="1974" spans="1:6" x14ac:dyDescent="0.2">
      <c r="A1974" t="s">
        <v>2814</v>
      </c>
      <c r="B1974" t="s">
        <v>2922</v>
      </c>
      <c r="C1974">
        <v>14121398</v>
      </c>
      <c r="D1974" t="s">
        <v>327</v>
      </c>
      <c r="E1974" s="134">
        <v>33.81</v>
      </c>
      <c r="F1974" t="s">
        <v>2816</v>
      </c>
    </row>
    <row r="1975" spans="1:6" x14ac:dyDescent="0.2">
      <c r="A1975" t="s">
        <v>2814</v>
      </c>
      <c r="B1975" t="s">
        <v>2922</v>
      </c>
      <c r="C1975">
        <v>14121522</v>
      </c>
      <c r="D1975" t="s">
        <v>331</v>
      </c>
      <c r="E1975" s="134">
        <v>33.81</v>
      </c>
      <c r="F1975" t="s">
        <v>2816</v>
      </c>
    </row>
    <row r="1976" spans="1:6" x14ac:dyDescent="0.2">
      <c r="A1976" t="s">
        <v>2814</v>
      </c>
      <c r="B1976" t="s">
        <v>2922</v>
      </c>
      <c r="C1976">
        <v>14121523</v>
      </c>
      <c r="D1976" t="s">
        <v>332</v>
      </c>
      <c r="E1976" s="134">
        <v>33.81</v>
      </c>
      <c r="F1976" t="s">
        <v>2816</v>
      </c>
    </row>
    <row r="1977" spans="1:6" x14ac:dyDescent="0.2">
      <c r="A1977" t="s">
        <v>2814</v>
      </c>
      <c r="B1977" t="s">
        <v>2922</v>
      </c>
      <c r="C1977">
        <v>14121543</v>
      </c>
      <c r="D1977" t="s">
        <v>333</v>
      </c>
      <c r="E1977" s="134">
        <v>33.81</v>
      </c>
      <c r="F1977" t="s">
        <v>2816</v>
      </c>
    </row>
    <row r="1978" spans="1:6" x14ac:dyDescent="0.2">
      <c r="A1978" t="s">
        <v>2814</v>
      </c>
      <c r="B1978" t="s">
        <v>2922</v>
      </c>
      <c r="C1978">
        <v>14121545</v>
      </c>
      <c r="D1978" t="s">
        <v>334</v>
      </c>
      <c r="E1978" s="134">
        <v>33.81</v>
      </c>
      <c r="F1978" t="s">
        <v>2816</v>
      </c>
    </row>
    <row r="1979" spans="1:6" x14ac:dyDescent="0.2">
      <c r="A1979" t="s">
        <v>2814</v>
      </c>
      <c r="B1979" t="s">
        <v>2922</v>
      </c>
      <c r="C1979">
        <v>14121598</v>
      </c>
      <c r="D1979" t="s">
        <v>338</v>
      </c>
      <c r="E1979" s="134">
        <v>33.81</v>
      </c>
      <c r="F1979" t="s">
        <v>2816</v>
      </c>
    </row>
    <row r="1980" spans="1:6" x14ac:dyDescent="0.2">
      <c r="A1980" t="s">
        <v>2814</v>
      </c>
      <c r="B1980" t="s">
        <v>2922</v>
      </c>
      <c r="C1980">
        <v>14121600</v>
      </c>
      <c r="D1980" t="s">
        <v>339</v>
      </c>
      <c r="E1980" s="134">
        <v>33.81</v>
      </c>
      <c r="F1980" t="s">
        <v>2816</v>
      </c>
    </row>
    <row r="1981" spans="1:6" x14ac:dyDescent="0.2">
      <c r="A1981" t="s">
        <v>2814</v>
      </c>
      <c r="B1981" t="s">
        <v>2922</v>
      </c>
      <c r="C1981">
        <v>14121677</v>
      </c>
      <c r="D1981" t="s">
        <v>343</v>
      </c>
      <c r="E1981" s="134">
        <v>33.81</v>
      </c>
      <c r="F1981" t="s">
        <v>2816</v>
      </c>
    </row>
    <row r="1982" spans="1:6" x14ac:dyDescent="0.2">
      <c r="A1982" t="s">
        <v>2814</v>
      </c>
      <c r="B1982" t="s">
        <v>2922</v>
      </c>
      <c r="C1982">
        <v>14121728</v>
      </c>
      <c r="D1982" t="s">
        <v>345</v>
      </c>
      <c r="E1982" s="134">
        <v>33.81</v>
      </c>
      <c r="F1982" t="s">
        <v>2816</v>
      </c>
    </row>
    <row r="1983" spans="1:6" x14ac:dyDescent="0.2">
      <c r="A1983" t="s">
        <v>2814</v>
      </c>
      <c r="B1983" t="s">
        <v>2922</v>
      </c>
      <c r="C1983">
        <v>14121733</v>
      </c>
      <c r="D1983" t="s">
        <v>346</v>
      </c>
      <c r="E1983" s="134">
        <v>33.81</v>
      </c>
      <c r="F1983" t="s">
        <v>2816</v>
      </c>
    </row>
    <row r="1984" spans="1:6" x14ac:dyDescent="0.2">
      <c r="A1984" t="s">
        <v>2814</v>
      </c>
      <c r="B1984" t="s">
        <v>2922</v>
      </c>
      <c r="C1984">
        <v>14121756</v>
      </c>
      <c r="D1984" t="s">
        <v>350</v>
      </c>
      <c r="E1984" s="134">
        <v>33.81</v>
      </c>
      <c r="F1984" t="s">
        <v>2816</v>
      </c>
    </row>
    <row r="1985" spans="1:6" x14ac:dyDescent="0.2">
      <c r="A1985" t="s">
        <v>2814</v>
      </c>
      <c r="B1985" t="s">
        <v>2922</v>
      </c>
      <c r="C1985">
        <v>14121784</v>
      </c>
      <c r="D1985" t="s">
        <v>352</v>
      </c>
      <c r="E1985" s="134">
        <v>33.81</v>
      </c>
      <c r="F1985" t="s">
        <v>2816</v>
      </c>
    </row>
    <row r="1986" spans="1:6" x14ac:dyDescent="0.2">
      <c r="A1986" t="s">
        <v>2814</v>
      </c>
      <c r="B1986" t="s">
        <v>2922</v>
      </c>
      <c r="C1986">
        <v>14121785</v>
      </c>
      <c r="D1986" t="s">
        <v>353</v>
      </c>
      <c r="E1986" s="134">
        <v>33.81</v>
      </c>
      <c r="F1986" t="s">
        <v>2816</v>
      </c>
    </row>
    <row r="1987" spans="1:6" x14ac:dyDescent="0.2">
      <c r="A1987" t="s">
        <v>2814</v>
      </c>
      <c r="B1987" t="s">
        <v>2922</v>
      </c>
      <c r="C1987">
        <v>14121791</v>
      </c>
      <c r="D1987" t="s">
        <v>354</v>
      </c>
      <c r="E1987" s="134">
        <v>33.81</v>
      </c>
      <c r="F1987" t="s">
        <v>2816</v>
      </c>
    </row>
    <row r="1988" spans="1:6" x14ac:dyDescent="0.2">
      <c r="A1988" t="s">
        <v>2814</v>
      </c>
      <c r="B1988" t="s">
        <v>2922</v>
      </c>
      <c r="C1988">
        <v>14121809</v>
      </c>
      <c r="D1988" t="s">
        <v>355</v>
      </c>
      <c r="E1988" s="134">
        <v>33.81</v>
      </c>
      <c r="F1988" t="s">
        <v>2816</v>
      </c>
    </row>
    <row r="1989" spans="1:6" x14ac:dyDescent="0.2">
      <c r="A1989" t="s">
        <v>2814</v>
      </c>
      <c r="B1989" t="s">
        <v>2922</v>
      </c>
      <c r="C1989">
        <v>14121811</v>
      </c>
      <c r="D1989" t="s">
        <v>356</v>
      </c>
      <c r="E1989" s="134">
        <v>33.81</v>
      </c>
      <c r="F1989" t="s">
        <v>2816</v>
      </c>
    </row>
    <row r="1990" spans="1:6" x14ac:dyDescent="0.2">
      <c r="A1990" t="s">
        <v>2814</v>
      </c>
      <c r="B1990" t="s">
        <v>2922</v>
      </c>
      <c r="C1990">
        <v>14121821</v>
      </c>
      <c r="D1990" t="s">
        <v>357</v>
      </c>
      <c r="E1990" s="134">
        <v>33.81</v>
      </c>
      <c r="F1990" t="s">
        <v>2816</v>
      </c>
    </row>
    <row r="1991" spans="1:6" x14ac:dyDescent="0.2">
      <c r="A1991" t="s">
        <v>2814</v>
      </c>
      <c r="B1991" t="s">
        <v>2922</v>
      </c>
      <c r="C1991">
        <v>14121856</v>
      </c>
      <c r="D1991" t="s">
        <v>358</v>
      </c>
      <c r="E1991" s="134">
        <v>33.81</v>
      </c>
      <c r="F1991" t="s">
        <v>2816</v>
      </c>
    </row>
    <row r="1992" spans="1:6" x14ac:dyDescent="0.2">
      <c r="A1992" t="s">
        <v>2814</v>
      </c>
      <c r="B1992" t="s">
        <v>2922</v>
      </c>
      <c r="C1992">
        <v>14121859</v>
      </c>
      <c r="D1992" t="s">
        <v>359</v>
      </c>
      <c r="E1992" s="134">
        <v>33.81</v>
      </c>
      <c r="F1992" t="s">
        <v>2816</v>
      </c>
    </row>
    <row r="1993" spans="1:6" x14ac:dyDescent="0.2">
      <c r="A1993" t="s">
        <v>2814</v>
      </c>
      <c r="B1993" t="s">
        <v>2922</v>
      </c>
      <c r="C1993">
        <v>14121860</v>
      </c>
      <c r="D1993" t="s">
        <v>360</v>
      </c>
      <c r="E1993" s="134">
        <v>33.81</v>
      </c>
      <c r="F1993" t="s">
        <v>2816</v>
      </c>
    </row>
    <row r="1994" spans="1:6" x14ac:dyDescent="0.2">
      <c r="A1994" t="s">
        <v>2814</v>
      </c>
      <c r="B1994" t="s">
        <v>2922</v>
      </c>
      <c r="C1994">
        <v>14121869</v>
      </c>
      <c r="D1994" t="s">
        <v>361</v>
      </c>
      <c r="E1994" s="134">
        <v>33.81</v>
      </c>
      <c r="F1994" t="s">
        <v>2816</v>
      </c>
    </row>
    <row r="1995" spans="1:6" x14ac:dyDescent="0.2">
      <c r="A1995" t="s">
        <v>2814</v>
      </c>
      <c r="B1995" t="s">
        <v>2922</v>
      </c>
      <c r="C1995">
        <v>14121964</v>
      </c>
      <c r="D1995" t="s">
        <v>368</v>
      </c>
      <c r="E1995" s="134">
        <v>33.81</v>
      </c>
      <c r="F1995" t="s">
        <v>2816</v>
      </c>
    </row>
    <row r="1996" spans="1:6" x14ac:dyDescent="0.2">
      <c r="A1996" t="s">
        <v>2814</v>
      </c>
      <c r="B1996" t="s">
        <v>2922</v>
      </c>
      <c r="C1996">
        <v>14121985</v>
      </c>
      <c r="D1996" t="s">
        <v>369</v>
      </c>
      <c r="E1996" s="134">
        <v>33.81</v>
      </c>
      <c r="F1996" t="s">
        <v>2816</v>
      </c>
    </row>
    <row r="1997" spans="1:6" x14ac:dyDescent="0.2">
      <c r="A1997" t="s">
        <v>2814</v>
      </c>
      <c r="B1997" t="s">
        <v>2922</v>
      </c>
      <c r="C1997">
        <v>14122033</v>
      </c>
      <c r="D1997" t="s">
        <v>371</v>
      </c>
      <c r="E1997" s="134">
        <v>33.81</v>
      </c>
      <c r="F1997" t="s">
        <v>2816</v>
      </c>
    </row>
    <row r="1998" spans="1:6" x14ac:dyDescent="0.2">
      <c r="A1998" t="s">
        <v>2814</v>
      </c>
      <c r="B1998" t="s">
        <v>2922</v>
      </c>
      <c r="C1998">
        <v>14122035</v>
      </c>
      <c r="D1998" t="s">
        <v>373</v>
      </c>
      <c r="E1998" s="134">
        <v>33.81</v>
      </c>
      <c r="F1998" t="s">
        <v>2816</v>
      </c>
    </row>
    <row r="1999" spans="1:6" x14ac:dyDescent="0.2">
      <c r="A1999" t="s">
        <v>2814</v>
      </c>
      <c r="B1999" t="s">
        <v>2922</v>
      </c>
      <c r="C1999">
        <v>14122067</v>
      </c>
      <c r="D1999" t="s">
        <v>374</v>
      </c>
      <c r="E1999" s="134">
        <v>33.81</v>
      </c>
      <c r="F1999" t="s">
        <v>2816</v>
      </c>
    </row>
    <row r="2000" spans="1:6" x14ac:dyDescent="0.2">
      <c r="A2000" t="s">
        <v>2814</v>
      </c>
      <c r="B2000" t="s">
        <v>2922</v>
      </c>
      <c r="C2000">
        <v>14122072</v>
      </c>
      <c r="D2000" t="s">
        <v>375</v>
      </c>
      <c r="E2000" s="134">
        <v>33.81</v>
      </c>
      <c r="F2000" t="s">
        <v>2816</v>
      </c>
    </row>
    <row r="2001" spans="1:6" x14ac:dyDescent="0.2">
      <c r="A2001" t="s">
        <v>2814</v>
      </c>
      <c r="B2001" t="s">
        <v>2922</v>
      </c>
      <c r="C2001">
        <v>14122073</v>
      </c>
      <c r="D2001" t="s">
        <v>376</v>
      </c>
      <c r="E2001" s="134">
        <v>33.81</v>
      </c>
      <c r="F2001" t="s">
        <v>2816</v>
      </c>
    </row>
    <row r="2002" spans="1:6" x14ac:dyDescent="0.2">
      <c r="A2002" t="s">
        <v>2814</v>
      </c>
      <c r="B2002" t="s">
        <v>2922</v>
      </c>
      <c r="C2002">
        <v>14122095</v>
      </c>
      <c r="D2002" t="s">
        <v>380</v>
      </c>
      <c r="E2002" s="134">
        <v>33.81</v>
      </c>
      <c r="F2002" t="s">
        <v>2816</v>
      </c>
    </row>
    <row r="2003" spans="1:6" x14ac:dyDescent="0.2">
      <c r="A2003" t="s">
        <v>2814</v>
      </c>
      <c r="B2003" t="s">
        <v>2922</v>
      </c>
      <c r="C2003">
        <v>14122096</v>
      </c>
      <c r="D2003" t="s">
        <v>381</v>
      </c>
      <c r="E2003" s="134">
        <v>33.81</v>
      </c>
      <c r="F2003" t="s">
        <v>2816</v>
      </c>
    </row>
    <row r="2004" spans="1:6" x14ac:dyDescent="0.2">
      <c r="A2004" t="s">
        <v>2814</v>
      </c>
      <c r="B2004" t="s">
        <v>2922</v>
      </c>
      <c r="C2004">
        <v>14122103</v>
      </c>
      <c r="D2004" t="s">
        <v>382</v>
      </c>
      <c r="E2004" s="134">
        <v>28.18</v>
      </c>
      <c r="F2004" t="s">
        <v>2816</v>
      </c>
    </row>
    <row r="2005" spans="1:6" x14ac:dyDescent="0.2">
      <c r="A2005" t="s">
        <v>2814</v>
      </c>
      <c r="B2005" t="s">
        <v>2922</v>
      </c>
      <c r="C2005">
        <v>14122113</v>
      </c>
      <c r="D2005" t="s">
        <v>383</v>
      </c>
      <c r="E2005" s="134">
        <v>33.81</v>
      </c>
      <c r="F2005" t="s">
        <v>2816</v>
      </c>
    </row>
    <row r="2006" spans="1:6" x14ac:dyDescent="0.2">
      <c r="A2006" t="s">
        <v>2814</v>
      </c>
      <c r="B2006" t="s">
        <v>2922</v>
      </c>
      <c r="C2006">
        <v>14122133</v>
      </c>
      <c r="D2006" t="s">
        <v>384</v>
      </c>
      <c r="E2006" s="134">
        <v>33.81</v>
      </c>
      <c r="F2006" t="s">
        <v>2816</v>
      </c>
    </row>
    <row r="2007" spans="1:6" x14ac:dyDescent="0.2">
      <c r="A2007" t="s">
        <v>2814</v>
      </c>
      <c r="B2007" t="s">
        <v>2922</v>
      </c>
      <c r="C2007">
        <v>14122135</v>
      </c>
      <c r="D2007" t="s">
        <v>385</v>
      </c>
      <c r="E2007" s="134">
        <v>33.81</v>
      </c>
      <c r="F2007" t="s">
        <v>2816</v>
      </c>
    </row>
    <row r="2008" spans="1:6" x14ac:dyDescent="0.2">
      <c r="A2008" t="s">
        <v>2814</v>
      </c>
      <c r="B2008" t="s">
        <v>2922</v>
      </c>
      <c r="C2008">
        <v>14122136</v>
      </c>
      <c r="D2008" t="s">
        <v>386</v>
      </c>
      <c r="E2008" s="134">
        <v>33.81</v>
      </c>
      <c r="F2008" t="s">
        <v>2816</v>
      </c>
    </row>
    <row r="2009" spans="1:6" x14ac:dyDescent="0.2">
      <c r="A2009" t="s">
        <v>2814</v>
      </c>
      <c r="B2009" t="s">
        <v>2922</v>
      </c>
      <c r="C2009">
        <v>14122137</v>
      </c>
      <c r="D2009" t="s">
        <v>387</v>
      </c>
      <c r="E2009" s="134">
        <v>33.81</v>
      </c>
      <c r="F2009" t="s">
        <v>2816</v>
      </c>
    </row>
    <row r="2010" spans="1:6" x14ac:dyDescent="0.2">
      <c r="A2010" t="s">
        <v>2814</v>
      </c>
      <c r="B2010" t="s">
        <v>2922</v>
      </c>
      <c r="C2010">
        <v>14122148</v>
      </c>
      <c r="D2010" t="s">
        <v>388</v>
      </c>
      <c r="E2010" s="134">
        <v>33.81</v>
      </c>
      <c r="F2010" t="s">
        <v>2816</v>
      </c>
    </row>
    <row r="2011" spans="1:6" x14ac:dyDescent="0.2">
      <c r="A2011" t="s">
        <v>2814</v>
      </c>
      <c r="B2011" t="s">
        <v>2922</v>
      </c>
      <c r="C2011">
        <v>14122149</v>
      </c>
      <c r="D2011" t="s">
        <v>389</v>
      </c>
      <c r="E2011" s="134">
        <v>33.81</v>
      </c>
      <c r="F2011" t="s">
        <v>2816</v>
      </c>
    </row>
    <row r="2012" spans="1:6" x14ac:dyDescent="0.2">
      <c r="A2012" t="s">
        <v>2814</v>
      </c>
      <c r="B2012" t="s">
        <v>2922</v>
      </c>
      <c r="C2012">
        <v>14122158</v>
      </c>
      <c r="D2012" t="s">
        <v>390</v>
      </c>
      <c r="E2012" s="134">
        <v>33.81</v>
      </c>
      <c r="F2012" t="s">
        <v>2816</v>
      </c>
    </row>
    <row r="2013" spans="1:6" x14ac:dyDescent="0.2">
      <c r="A2013" t="s">
        <v>2814</v>
      </c>
      <c r="B2013" t="s">
        <v>2922</v>
      </c>
      <c r="C2013">
        <v>14122160</v>
      </c>
      <c r="D2013" t="s">
        <v>391</v>
      </c>
      <c r="E2013" s="134">
        <v>28.18</v>
      </c>
      <c r="F2013" t="s">
        <v>2816</v>
      </c>
    </row>
    <row r="2014" spans="1:6" x14ac:dyDescent="0.2">
      <c r="A2014" t="s">
        <v>2814</v>
      </c>
      <c r="B2014" t="s">
        <v>2922</v>
      </c>
      <c r="C2014">
        <v>14100843</v>
      </c>
      <c r="D2014" t="s">
        <v>221</v>
      </c>
      <c r="E2014" s="134">
        <v>35.04</v>
      </c>
      <c r="F2014" t="s">
        <v>2816</v>
      </c>
    </row>
    <row r="2015" spans="1:6" x14ac:dyDescent="0.2">
      <c r="A2015" t="s">
        <v>2814</v>
      </c>
      <c r="B2015" t="s">
        <v>2922</v>
      </c>
      <c r="C2015">
        <v>14100858</v>
      </c>
      <c r="D2015" t="s">
        <v>261</v>
      </c>
      <c r="E2015" s="134">
        <v>35.04</v>
      </c>
      <c r="F2015" t="s">
        <v>2816</v>
      </c>
    </row>
    <row r="2016" spans="1:6" x14ac:dyDescent="0.2">
      <c r="A2016" t="s">
        <v>2814</v>
      </c>
      <c r="B2016" t="s">
        <v>2922</v>
      </c>
      <c r="C2016">
        <v>14100897</v>
      </c>
      <c r="D2016" t="s">
        <v>249</v>
      </c>
      <c r="E2016" s="134">
        <v>35.04</v>
      </c>
      <c r="F2016" t="s">
        <v>2816</v>
      </c>
    </row>
    <row r="2017" spans="1:6" x14ac:dyDescent="0.2">
      <c r="A2017" t="s">
        <v>2814</v>
      </c>
      <c r="B2017" t="s">
        <v>2922</v>
      </c>
      <c r="C2017">
        <v>14104839</v>
      </c>
      <c r="D2017" t="s">
        <v>224</v>
      </c>
      <c r="E2017" s="134">
        <v>35.04</v>
      </c>
      <c r="F2017" t="s">
        <v>2816</v>
      </c>
    </row>
    <row r="2018" spans="1:6" x14ac:dyDescent="0.2">
      <c r="A2018" t="s">
        <v>2814</v>
      </c>
      <c r="B2018" t="s">
        <v>2922</v>
      </c>
      <c r="C2018">
        <v>14108775</v>
      </c>
      <c r="D2018" t="s">
        <v>178</v>
      </c>
      <c r="E2018" s="134">
        <v>35.04</v>
      </c>
      <c r="F2018" t="s">
        <v>2816</v>
      </c>
    </row>
    <row r="2019" spans="1:6" x14ac:dyDescent="0.2">
      <c r="A2019" t="s">
        <v>2814</v>
      </c>
      <c r="B2019" t="s">
        <v>2922</v>
      </c>
      <c r="C2019">
        <v>14108828</v>
      </c>
      <c r="D2019" t="s">
        <v>225</v>
      </c>
      <c r="E2019" s="134">
        <v>35.04</v>
      </c>
      <c r="F2019" t="s">
        <v>2816</v>
      </c>
    </row>
    <row r="2020" spans="1:6" x14ac:dyDescent="0.2">
      <c r="A2020" t="s">
        <v>2814</v>
      </c>
      <c r="B2020" t="s">
        <v>2922</v>
      </c>
      <c r="C2020">
        <v>14109648</v>
      </c>
      <c r="D2020" t="s">
        <v>211</v>
      </c>
      <c r="E2020" s="134">
        <v>35.04</v>
      </c>
      <c r="F2020" t="s">
        <v>2816</v>
      </c>
    </row>
    <row r="2021" spans="1:6" x14ac:dyDescent="0.2">
      <c r="A2021" t="s">
        <v>2814</v>
      </c>
      <c r="B2021" t="s">
        <v>2922</v>
      </c>
      <c r="C2021">
        <v>14111678</v>
      </c>
      <c r="D2021" t="s">
        <v>283</v>
      </c>
      <c r="E2021" s="134">
        <v>35.04</v>
      </c>
      <c r="F2021" t="s">
        <v>2816</v>
      </c>
    </row>
    <row r="2022" spans="1:6" x14ac:dyDescent="0.2">
      <c r="A2022" t="s">
        <v>2814</v>
      </c>
      <c r="B2022" t="s">
        <v>2922</v>
      </c>
      <c r="C2022">
        <v>14112124</v>
      </c>
      <c r="D2022" t="s">
        <v>250</v>
      </c>
      <c r="E2022" s="134">
        <v>35.04</v>
      </c>
      <c r="F2022" t="s">
        <v>2816</v>
      </c>
    </row>
    <row r="2023" spans="1:6" x14ac:dyDescent="0.2">
      <c r="A2023" t="s">
        <v>2814</v>
      </c>
      <c r="B2023" t="s">
        <v>2922</v>
      </c>
      <c r="C2023">
        <v>14112197</v>
      </c>
      <c r="D2023" t="s">
        <v>242</v>
      </c>
      <c r="E2023" s="134">
        <v>35.04</v>
      </c>
      <c r="F2023" t="s">
        <v>2816</v>
      </c>
    </row>
    <row r="2024" spans="1:6" x14ac:dyDescent="0.2">
      <c r="A2024" t="s">
        <v>2814</v>
      </c>
      <c r="B2024" t="s">
        <v>2922</v>
      </c>
      <c r="C2024">
        <v>14112730</v>
      </c>
      <c r="D2024" t="s">
        <v>280</v>
      </c>
      <c r="E2024" s="134">
        <v>35.04</v>
      </c>
      <c r="F2024" t="s">
        <v>2816</v>
      </c>
    </row>
    <row r="2025" spans="1:6" x14ac:dyDescent="0.2">
      <c r="A2025" t="s">
        <v>2814</v>
      </c>
      <c r="B2025" t="s">
        <v>2922</v>
      </c>
      <c r="C2025">
        <v>14113056</v>
      </c>
      <c r="D2025" t="s">
        <v>234</v>
      </c>
      <c r="E2025" s="134">
        <v>35.04</v>
      </c>
      <c r="F2025" t="s">
        <v>2816</v>
      </c>
    </row>
    <row r="2026" spans="1:6" x14ac:dyDescent="0.2">
      <c r="A2026" t="s">
        <v>2814</v>
      </c>
      <c r="B2026" t="s">
        <v>2922</v>
      </c>
      <c r="C2026">
        <v>14113198</v>
      </c>
      <c r="D2026" t="s">
        <v>212</v>
      </c>
      <c r="E2026" s="134">
        <v>35.04</v>
      </c>
      <c r="F2026" t="s">
        <v>2816</v>
      </c>
    </row>
    <row r="2027" spans="1:6" x14ac:dyDescent="0.2">
      <c r="A2027" t="s">
        <v>2814</v>
      </c>
      <c r="B2027" t="s">
        <v>2922</v>
      </c>
      <c r="C2027">
        <v>14116853</v>
      </c>
      <c r="D2027" t="s">
        <v>255</v>
      </c>
      <c r="E2027" s="134">
        <v>35.04</v>
      </c>
      <c r="F2027" t="s">
        <v>2816</v>
      </c>
    </row>
    <row r="2028" spans="1:6" x14ac:dyDescent="0.2">
      <c r="A2028" t="s">
        <v>2814</v>
      </c>
      <c r="B2028" t="s">
        <v>2922</v>
      </c>
      <c r="C2028">
        <v>14117156</v>
      </c>
      <c r="D2028" t="s">
        <v>239</v>
      </c>
      <c r="E2028" s="134">
        <v>35.04</v>
      </c>
      <c r="F2028" t="s">
        <v>2816</v>
      </c>
    </row>
    <row r="2029" spans="1:6" x14ac:dyDescent="0.2">
      <c r="A2029" t="s">
        <v>2814</v>
      </c>
      <c r="B2029" t="s">
        <v>2922</v>
      </c>
      <c r="C2029">
        <v>14117157</v>
      </c>
      <c r="D2029" t="s">
        <v>244</v>
      </c>
      <c r="E2029" s="134">
        <v>35.04</v>
      </c>
      <c r="F2029" t="s">
        <v>2816</v>
      </c>
    </row>
    <row r="2030" spans="1:6" x14ac:dyDescent="0.2">
      <c r="A2030" t="s">
        <v>2814</v>
      </c>
      <c r="B2030" t="s">
        <v>2922</v>
      </c>
      <c r="C2030">
        <v>14117509</v>
      </c>
      <c r="D2030" t="s">
        <v>235</v>
      </c>
      <c r="E2030" s="134">
        <v>35.04</v>
      </c>
      <c r="F2030" t="s">
        <v>2816</v>
      </c>
    </row>
    <row r="2031" spans="1:6" x14ac:dyDescent="0.2">
      <c r="A2031" t="s">
        <v>2814</v>
      </c>
      <c r="B2031" t="s">
        <v>2922</v>
      </c>
      <c r="C2031">
        <v>14118028</v>
      </c>
      <c r="D2031" t="s">
        <v>185</v>
      </c>
      <c r="E2031" s="134">
        <v>35.04</v>
      </c>
      <c r="F2031" t="s">
        <v>2816</v>
      </c>
    </row>
    <row r="2032" spans="1:6" x14ac:dyDescent="0.2">
      <c r="A2032" t="s">
        <v>2814</v>
      </c>
      <c r="B2032" t="s">
        <v>2922</v>
      </c>
      <c r="C2032">
        <v>14118065</v>
      </c>
      <c r="D2032" t="s">
        <v>186</v>
      </c>
      <c r="E2032" s="134">
        <v>35.04</v>
      </c>
      <c r="F2032" t="s">
        <v>2816</v>
      </c>
    </row>
    <row r="2033" spans="1:6" x14ac:dyDescent="0.2">
      <c r="A2033" t="s">
        <v>2814</v>
      </c>
      <c r="B2033" t="s">
        <v>2922</v>
      </c>
      <c r="C2033">
        <v>14118184</v>
      </c>
      <c r="D2033" t="s">
        <v>237</v>
      </c>
      <c r="E2033" s="134">
        <v>35.04</v>
      </c>
      <c r="F2033" t="s">
        <v>2816</v>
      </c>
    </row>
    <row r="2034" spans="1:6" x14ac:dyDescent="0.2">
      <c r="A2034" t="s">
        <v>2814</v>
      </c>
      <c r="B2034" t="s">
        <v>2922</v>
      </c>
      <c r="C2034">
        <v>14118225</v>
      </c>
      <c r="D2034" t="s">
        <v>271</v>
      </c>
      <c r="E2034" s="134">
        <v>35.04</v>
      </c>
      <c r="F2034" t="s">
        <v>2816</v>
      </c>
    </row>
    <row r="2035" spans="1:6" x14ac:dyDescent="0.2">
      <c r="A2035" t="s">
        <v>2814</v>
      </c>
      <c r="B2035" t="s">
        <v>2922</v>
      </c>
      <c r="C2035">
        <v>14118620</v>
      </c>
      <c r="D2035" t="s">
        <v>201</v>
      </c>
      <c r="E2035" s="134">
        <v>35.04</v>
      </c>
      <c r="F2035" t="s">
        <v>2816</v>
      </c>
    </row>
    <row r="2036" spans="1:6" x14ac:dyDescent="0.2">
      <c r="A2036" t="s">
        <v>2814</v>
      </c>
      <c r="B2036" t="s">
        <v>2922</v>
      </c>
      <c r="C2036">
        <v>14118621</v>
      </c>
      <c r="D2036" t="s">
        <v>202</v>
      </c>
      <c r="E2036" s="134">
        <v>35.04</v>
      </c>
      <c r="F2036" t="s">
        <v>2816</v>
      </c>
    </row>
    <row r="2037" spans="1:6" x14ac:dyDescent="0.2">
      <c r="A2037" t="s">
        <v>2814</v>
      </c>
      <c r="B2037" t="s">
        <v>2922</v>
      </c>
      <c r="C2037">
        <v>14118622</v>
      </c>
      <c r="D2037" t="s">
        <v>203</v>
      </c>
      <c r="E2037" s="134">
        <v>35.04</v>
      </c>
      <c r="F2037" t="s">
        <v>2816</v>
      </c>
    </row>
    <row r="2038" spans="1:6" x14ac:dyDescent="0.2">
      <c r="A2038" t="s">
        <v>2814</v>
      </c>
      <c r="B2038" t="s">
        <v>2922</v>
      </c>
      <c r="C2038">
        <v>14118627</v>
      </c>
      <c r="D2038" t="s">
        <v>204</v>
      </c>
      <c r="E2038" s="134">
        <v>35.04</v>
      </c>
      <c r="F2038" t="s">
        <v>2816</v>
      </c>
    </row>
    <row r="2039" spans="1:6" x14ac:dyDescent="0.2">
      <c r="A2039" t="s">
        <v>2814</v>
      </c>
      <c r="B2039" t="s">
        <v>2922</v>
      </c>
      <c r="C2039">
        <v>14118660</v>
      </c>
      <c r="D2039" t="s">
        <v>206</v>
      </c>
      <c r="E2039" s="134">
        <v>35.04</v>
      </c>
      <c r="F2039" t="s">
        <v>2816</v>
      </c>
    </row>
    <row r="2040" spans="1:6" x14ac:dyDescent="0.2">
      <c r="A2040" t="s">
        <v>2814</v>
      </c>
      <c r="B2040" t="s">
        <v>2922</v>
      </c>
      <c r="C2040">
        <v>14118663</v>
      </c>
      <c r="D2040" t="s">
        <v>207</v>
      </c>
      <c r="E2040" s="134">
        <v>35.04</v>
      </c>
      <c r="F2040" t="s">
        <v>2816</v>
      </c>
    </row>
    <row r="2041" spans="1:6" x14ac:dyDescent="0.2">
      <c r="A2041" t="s">
        <v>2814</v>
      </c>
      <c r="B2041" t="s">
        <v>2922</v>
      </c>
      <c r="C2041">
        <v>14118745</v>
      </c>
      <c r="D2041" t="s">
        <v>209</v>
      </c>
      <c r="E2041" s="134">
        <v>35.04</v>
      </c>
      <c r="F2041" t="s">
        <v>2816</v>
      </c>
    </row>
    <row r="2042" spans="1:6" x14ac:dyDescent="0.2">
      <c r="A2042" t="s">
        <v>2814</v>
      </c>
      <c r="B2042" t="s">
        <v>2922</v>
      </c>
      <c r="C2042">
        <v>14118809</v>
      </c>
      <c r="D2042" t="s">
        <v>213</v>
      </c>
      <c r="E2042" s="134">
        <v>35.04</v>
      </c>
      <c r="F2042" t="s">
        <v>2816</v>
      </c>
    </row>
    <row r="2043" spans="1:6" x14ac:dyDescent="0.2">
      <c r="A2043" t="s">
        <v>2814</v>
      </c>
      <c r="B2043" t="s">
        <v>2922</v>
      </c>
      <c r="C2043">
        <v>14118811</v>
      </c>
      <c r="D2043" t="s">
        <v>214</v>
      </c>
      <c r="E2043" s="134">
        <v>35.04</v>
      </c>
      <c r="F2043" t="s">
        <v>2816</v>
      </c>
    </row>
    <row r="2044" spans="1:6" x14ac:dyDescent="0.2">
      <c r="A2044" t="s">
        <v>2814</v>
      </c>
      <c r="B2044" t="s">
        <v>2922</v>
      </c>
      <c r="C2044">
        <v>14118849</v>
      </c>
      <c r="D2044" t="s">
        <v>216</v>
      </c>
      <c r="E2044" s="134">
        <v>35.04</v>
      </c>
      <c r="F2044" t="s">
        <v>2816</v>
      </c>
    </row>
    <row r="2045" spans="1:6" x14ac:dyDescent="0.2">
      <c r="A2045" t="s">
        <v>2814</v>
      </c>
      <c r="B2045" t="s">
        <v>2922</v>
      </c>
      <c r="C2045">
        <v>14118887</v>
      </c>
      <c r="D2045" t="s">
        <v>217</v>
      </c>
      <c r="E2045" s="134">
        <v>35.04</v>
      </c>
      <c r="F2045" t="s">
        <v>2816</v>
      </c>
    </row>
    <row r="2046" spans="1:6" x14ac:dyDescent="0.2">
      <c r="A2046" t="s">
        <v>2814</v>
      </c>
      <c r="B2046" t="s">
        <v>2922</v>
      </c>
      <c r="C2046">
        <v>14118889</v>
      </c>
      <c r="D2046" t="s">
        <v>218</v>
      </c>
      <c r="E2046" s="134">
        <v>35.04</v>
      </c>
      <c r="F2046" t="s">
        <v>2816</v>
      </c>
    </row>
    <row r="2047" spans="1:6" x14ac:dyDescent="0.2">
      <c r="A2047" t="s">
        <v>2814</v>
      </c>
      <c r="B2047" t="s">
        <v>2922</v>
      </c>
      <c r="C2047">
        <v>14118892</v>
      </c>
      <c r="D2047" t="s">
        <v>219</v>
      </c>
      <c r="E2047" s="134">
        <v>35.04</v>
      </c>
      <c r="F2047" t="s">
        <v>2816</v>
      </c>
    </row>
    <row r="2048" spans="1:6" x14ac:dyDescent="0.2">
      <c r="A2048" t="s">
        <v>2814</v>
      </c>
      <c r="B2048" t="s">
        <v>2922</v>
      </c>
      <c r="C2048">
        <v>14118893</v>
      </c>
      <c r="D2048" t="s">
        <v>220</v>
      </c>
      <c r="E2048" s="134">
        <v>35.04</v>
      </c>
      <c r="F2048" t="s">
        <v>2816</v>
      </c>
    </row>
    <row r="2049" spans="1:6" x14ac:dyDescent="0.2">
      <c r="A2049" t="s">
        <v>2814</v>
      </c>
      <c r="B2049" t="s">
        <v>2922</v>
      </c>
      <c r="C2049">
        <v>14118956</v>
      </c>
      <c r="D2049" t="s">
        <v>222</v>
      </c>
      <c r="E2049" s="134">
        <v>35.04</v>
      </c>
      <c r="F2049" t="s">
        <v>2816</v>
      </c>
    </row>
    <row r="2050" spans="1:6" x14ac:dyDescent="0.2">
      <c r="A2050" t="s">
        <v>2814</v>
      </c>
      <c r="B2050" t="s">
        <v>2922</v>
      </c>
      <c r="C2050">
        <v>14118957</v>
      </c>
      <c r="D2050" t="s">
        <v>223</v>
      </c>
      <c r="E2050" s="134">
        <v>35.04</v>
      </c>
      <c r="F2050" t="s">
        <v>2816</v>
      </c>
    </row>
    <row r="2051" spans="1:6" x14ac:dyDescent="0.2">
      <c r="A2051" t="s">
        <v>2814</v>
      </c>
      <c r="B2051" t="s">
        <v>2922</v>
      </c>
      <c r="C2051">
        <v>14119017</v>
      </c>
      <c r="D2051" t="s">
        <v>227</v>
      </c>
      <c r="E2051" s="134">
        <v>20.03</v>
      </c>
      <c r="F2051" t="s">
        <v>2816</v>
      </c>
    </row>
    <row r="2052" spans="1:6" x14ac:dyDescent="0.2">
      <c r="A2052" t="s">
        <v>2814</v>
      </c>
      <c r="B2052" t="s">
        <v>2922</v>
      </c>
      <c r="C2052">
        <v>14119018</v>
      </c>
      <c r="D2052" t="s">
        <v>228</v>
      </c>
      <c r="E2052" s="134">
        <v>35.04</v>
      </c>
      <c r="F2052" t="s">
        <v>2816</v>
      </c>
    </row>
    <row r="2053" spans="1:6" x14ac:dyDescent="0.2">
      <c r="A2053" t="s">
        <v>2814</v>
      </c>
      <c r="B2053" t="s">
        <v>2922</v>
      </c>
      <c r="C2053">
        <v>14119057</v>
      </c>
      <c r="D2053" t="s">
        <v>229</v>
      </c>
      <c r="E2053" s="134">
        <v>35.04</v>
      </c>
      <c r="F2053" t="s">
        <v>2816</v>
      </c>
    </row>
    <row r="2054" spans="1:6" x14ac:dyDescent="0.2">
      <c r="A2054" t="s">
        <v>2814</v>
      </c>
      <c r="B2054" t="s">
        <v>2922</v>
      </c>
      <c r="C2054">
        <v>14119076</v>
      </c>
      <c r="D2054" t="s">
        <v>230</v>
      </c>
      <c r="E2054" s="134">
        <v>35.04</v>
      </c>
      <c r="F2054" t="s">
        <v>2816</v>
      </c>
    </row>
    <row r="2055" spans="1:6" x14ac:dyDescent="0.2">
      <c r="A2055" t="s">
        <v>2814</v>
      </c>
      <c r="B2055" t="s">
        <v>2922</v>
      </c>
      <c r="C2055">
        <v>14119153</v>
      </c>
      <c r="D2055" t="s">
        <v>231</v>
      </c>
      <c r="E2055" s="134">
        <v>35.04</v>
      </c>
      <c r="F2055" t="s">
        <v>2816</v>
      </c>
    </row>
    <row r="2056" spans="1:6" x14ac:dyDescent="0.2">
      <c r="A2056" t="s">
        <v>2814</v>
      </c>
      <c r="B2056" t="s">
        <v>2922</v>
      </c>
      <c r="C2056">
        <v>14119154</v>
      </c>
      <c r="D2056" t="s">
        <v>232</v>
      </c>
      <c r="E2056" s="134">
        <v>35.04</v>
      </c>
      <c r="F2056" t="s">
        <v>2816</v>
      </c>
    </row>
    <row r="2057" spans="1:6" x14ac:dyDescent="0.2">
      <c r="A2057" t="s">
        <v>2814</v>
      </c>
      <c r="B2057" t="s">
        <v>2922</v>
      </c>
      <c r="C2057">
        <v>14119155</v>
      </c>
      <c r="D2057" t="s">
        <v>233</v>
      </c>
      <c r="E2057" s="134">
        <v>35.04</v>
      </c>
      <c r="F2057" t="s">
        <v>2816</v>
      </c>
    </row>
    <row r="2058" spans="1:6" x14ac:dyDescent="0.2">
      <c r="A2058" t="s">
        <v>2814</v>
      </c>
      <c r="B2058" t="s">
        <v>2922</v>
      </c>
      <c r="C2058">
        <v>14119175</v>
      </c>
      <c r="D2058" t="s">
        <v>236</v>
      </c>
      <c r="E2058" s="134">
        <v>35.04</v>
      </c>
      <c r="F2058" t="s">
        <v>2816</v>
      </c>
    </row>
    <row r="2059" spans="1:6" x14ac:dyDescent="0.2">
      <c r="A2059" t="s">
        <v>2814</v>
      </c>
      <c r="B2059" t="s">
        <v>2922</v>
      </c>
      <c r="C2059">
        <v>14119271</v>
      </c>
      <c r="D2059" t="s">
        <v>238</v>
      </c>
      <c r="E2059" s="134">
        <v>35.04</v>
      </c>
      <c r="F2059" t="s">
        <v>2816</v>
      </c>
    </row>
    <row r="2060" spans="1:6" x14ac:dyDescent="0.2">
      <c r="A2060" t="s">
        <v>2814</v>
      </c>
      <c r="B2060" t="s">
        <v>2922</v>
      </c>
      <c r="C2060">
        <v>14119323</v>
      </c>
      <c r="D2060" t="s">
        <v>240</v>
      </c>
      <c r="E2060" s="134">
        <v>35.04</v>
      </c>
      <c r="F2060" t="s">
        <v>2816</v>
      </c>
    </row>
    <row r="2061" spans="1:6" x14ac:dyDescent="0.2">
      <c r="A2061" t="s">
        <v>2814</v>
      </c>
      <c r="B2061" t="s">
        <v>2922</v>
      </c>
      <c r="C2061">
        <v>14119324</v>
      </c>
      <c r="D2061" t="s">
        <v>241</v>
      </c>
      <c r="E2061" s="134">
        <v>35.04</v>
      </c>
      <c r="F2061" t="s">
        <v>2816</v>
      </c>
    </row>
    <row r="2062" spans="1:6" x14ac:dyDescent="0.2">
      <c r="A2062" t="s">
        <v>2814</v>
      </c>
      <c r="B2062" t="s">
        <v>2922</v>
      </c>
      <c r="C2062">
        <v>14119357</v>
      </c>
      <c r="D2062" t="s">
        <v>243</v>
      </c>
      <c r="E2062" s="134">
        <v>35.04</v>
      </c>
      <c r="F2062" t="s">
        <v>2816</v>
      </c>
    </row>
    <row r="2063" spans="1:6" x14ac:dyDescent="0.2">
      <c r="A2063" t="s">
        <v>2814</v>
      </c>
      <c r="B2063" t="s">
        <v>2922</v>
      </c>
      <c r="C2063">
        <v>14119437</v>
      </c>
      <c r="D2063" t="s">
        <v>245</v>
      </c>
      <c r="E2063" s="134">
        <v>35.04</v>
      </c>
      <c r="F2063" t="s">
        <v>2816</v>
      </c>
    </row>
    <row r="2064" spans="1:6" x14ac:dyDescent="0.2">
      <c r="A2064" t="s">
        <v>2814</v>
      </c>
      <c r="B2064" t="s">
        <v>2922</v>
      </c>
      <c r="C2064">
        <v>14119481</v>
      </c>
      <c r="D2064" t="s">
        <v>246</v>
      </c>
      <c r="E2064" s="134">
        <v>35.04</v>
      </c>
      <c r="F2064" t="s">
        <v>2816</v>
      </c>
    </row>
    <row r="2065" spans="1:6" x14ac:dyDescent="0.2">
      <c r="A2065" t="s">
        <v>2814</v>
      </c>
      <c r="B2065" t="s">
        <v>2922</v>
      </c>
      <c r="C2065">
        <v>14119482</v>
      </c>
      <c r="D2065" t="s">
        <v>247</v>
      </c>
      <c r="E2065" s="134">
        <v>35.04</v>
      </c>
      <c r="F2065" t="s">
        <v>2816</v>
      </c>
    </row>
    <row r="2066" spans="1:6" x14ac:dyDescent="0.2">
      <c r="A2066" t="s">
        <v>2814</v>
      </c>
      <c r="B2066" t="s">
        <v>2922</v>
      </c>
      <c r="C2066">
        <v>14119483</v>
      </c>
      <c r="D2066" t="s">
        <v>248</v>
      </c>
      <c r="E2066" s="134">
        <v>35.04</v>
      </c>
      <c r="F2066" t="s">
        <v>2816</v>
      </c>
    </row>
    <row r="2067" spans="1:6" x14ac:dyDescent="0.2">
      <c r="A2067" t="s">
        <v>2814</v>
      </c>
      <c r="B2067" t="s">
        <v>2922</v>
      </c>
      <c r="C2067">
        <v>14119517</v>
      </c>
      <c r="D2067" t="s">
        <v>251</v>
      </c>
      <c r="E2067" s="134">
        <v>35.04</v>
      </c>
      <c r="F2067" t="s">
        <v>2816</v>
      </c>
    </row>
    <row r="2068" spans="1:6" x14ac:dyDescent="0.2">
      <c r="A2068" t="s">
        <v>2814</v>
      </c>
      <c r="B2068" t="s">
        <v>2922</v>
      </c>
      <c r="C2068">
        <v>14119539</v>
      </c>
      <c r="D2068" t="s">
        <v>252</v>
      </c>
      <c r="E2068" s="134">
        <v>35.04</v>
      </c>
      <c r="F2068" t="s">
        <v>2816</v>
      </c>
    </row>
    <row r="2069" spans="1:6" x14ac:dyDescent="0.2">
      <c r="A2069" t="s">
        <v>2814</v>
      </c>
      <c r="B2069" t="s">
        <v>2922</v>
      </c>
      <c r="C2069">
        <v>14119540</v>
      </c>
      <c r="D2069" t="s">
        <v>253</v>
      </c>
      <c r="E2069" s="134">
        <v>35.04</v>
      </c>
      <c r="F2069" t="s">
        <v>2816</v>
      </c>
    </row>
    <row r="2070" spans="1:6" x14ac:dyDescent="0.2">
      <c r="A2070" t="s">
        <v>2814</v>
      </c>
      <c r="B2070" t="s">
        <v>2922</v>
      </c>
      <c r="C2070">
        <v>14119598</v>
      </c>
      <c r="D2070" t="s">
        <v>254</v>
      </c>
      <c r="E2070" s="134">
        <v>35.04</v>
      </c>
      <c r="F2070" t="s">
        <v>2816</v>
      </c>
    </row>
    <row r="2071" spans="1:6" x14ac:dyDescent="0.2">
      <c r="A2071" t="s">
        <v>2814</v>
      </c>
      <c r="B2071" t="s">
        <v>2922</v>
      </c>
      <c r="C2071">
        <v>14119701</v>
      </c>
      <c r="D2071" t="s">
        <v>256</v>
      </c>
      <c r="E2071" s="134">
        <v>35.04</v>
      </c>
      <c r="F2071" t="s">
        <v>2816</v>
      </c>
    </row>
    <row r="2072" spans="1:6" x14ac:dyDescent="0.2">
      <c r="A2072" t="s">
        <v>2814</v>
      </c>
      <c r="B2072" t="s">
        <v>2922</v>
      </c>
      <c r="C2072">
        <v>14119751</v>
      </c>
      <c r="D2072" t="s">
        <v>257</v>
      </c>
      <c r="E2072" s="134">
        <v>35.04</v>
      </c>
      <c r="F2072" t="s">
        <v>2816</v>
      </c>
    </row>
    <row r="2073" spans="1:6" x14ac:dyDescent="0.2">
      <c r="A2073" t="s">
        <v>2814</v>
      </c>
      <c r="B2073" t="s">
        <v>2922</v>
      </c>
      <c r="C2073">
        <v>14119785</v>
      </c>
      <c r="D2073" t="s">
        <v>258</v>
      </c>
      <c r="E2073" s="134">
        <v>35.04</v>
      </c>
      <c r="F2073" t="s">
        <v>2816</v>
      </c>
    </row>
    <row r="2074" spans="1:6" x14ac:dyDescent="0.2">
      <c r="A2074" t="s">
        <v>2814</v>
      </c>
      <c r="B2074" t="s">
        <v>2922</v>
      </c>
      <c r="C2074">
        <v>14119787</v>
      </c>
      <c r="D2074" t="s">
        <v>260</v>
      </c>
      <c r="E2074" s="134">
        <v>35.04</v>
      </c>
      <c r="F2074" t="s">
        <v>2816</v>
      </c>
    </row>
    <row r="2075" spans="1:6" x14ac:dyDescent="0.2">
      <c r="A2075" t="s">
        <v>2814</v>
      </c>
      <c r="B2075" t="s">
        <v>2922</v>
      </c>
      <c r="C2075">
        <v>14119825</v>
      </c>
      <c r="D2075" t="s">
        <v>262</v>
      </c>
      <c r="E2075" s="134">
        <v>35.04</v>
      </c>
      <c r="F2075" t="s">
        <v>2816</v>
      </c>
    </row>
    <row r="2076" spans="1:6" x14ac:dyDescent="0.2">
      <c r="A2076" t="s">
        <v>2814</v>
      </c>
      <c r="B2076" t="s">
        <v>2922</v>
      </c>
      <c r="C2076">
        <v>14119837</v>
      </c>
      <c r="D2076" t="s">
        <v>264</v>
      </c>
      <c r="E2076" s="134">
        <v>35.04</v>
      </c>
      <c r="F2076" t="s">
        <v>2816</v>
      </c>
    </row>
    <row r="2077" spans="1:6" x14ac:dyDescent="0.2">
      <c r="A2077" t="s">
        <v>2814</v>
      </c>
      <c r="B2077" t="s">
        <v>2922</v>
      </c>
      <c r="C2077">
        <v>14119839</v>
      </c>
      <c r="D2077" t="s">
        <v>265</v>
      </c>
      <c r="E2077" s="134">
        <v>35.04</v>
      </c>
      <c r="F2077" t="s">
        <v>2816</v>
      </c>
    </row>
    <row r="2078" spans="1:6" x14ac:dyDescent="0.2">
      <c r="A2078" t="s">
        <v>2814</v>
      </c>
      <c r="B2078" t="s">
        <v>2922</v>
      </c>
      <c r="C2078">
        <v>14119890</v>
      </c>
      <c r="D2078" t="s">
        <v>266</v>
      </c>
      <c r="E2078" s="134">
        <v>35.04</v>
      </c>
      <c r="F2078" t="s">
        <v>2816</v>
      </c>
    </row>
    <row r="2079" spans="1:6" x14ac:dyDescent="0.2">
      <c r="A2079" t="s">
        <v>2814</v>
      </c>
      <c r="B2079" t="s">
        <v>2922</v>
      </c>
      <c r="C2079">
        <v>14119956</v>
      </c>
      <c r="D2079" t="s">
        <v>269</v>
      </c>
      <c r="E2079" s="134">
        <v>35.04</v>
      </c>
      <c r="F2079" t="s">
        <v>2816</v>
      </c>
    </row>
    <row r="2080" spans="1:6" x14ac:dyDescent="0.2">
      <c r="A2080" t="s">
        <v>2814</v>
      </c>
      <c r="B2080" t="s">
        <v>2922</v>
      </c>
      <c r="C2080">
        <v>14120041</v>
      </c>
      <c r="D2080" t="s">
        <v>272</v>
      </c>
      <c r="E2080" s="134">
        <v>35.04</v>
      </c>
      <c r="F2080" t="s">
        <v>2816</v>
      </c>
    </row>
    <row r="2081" spans="1:6" x14ac:dyDescent="0.2">
      <c r="A2081" t="s">
        <v>2814</v>
      </c>
      <c r="B2081" t="s">
        <v>2922</v>
      </c>
      <c r="C2081">
        <v>14120044</v>
      </c>
      <c r="D2081" t="s">
        <v>273</v>
      </c>
      <c r="E2081" s="134">
        <v>35.04</v>
      </c>
      <c r="F2081" t="s">
        <v>2816</v>
      </c>
    </row>
    <row r="2082" spans="1:6" x14ac:dyDescent="0.2">
      <c r="A2082" t="s">
        <v>2814</v>
      </c>
      <c r="B2082" t="s">
        <v>2922</v>
      </c>
      <c r="C2082">
        <v>14120106</v>
      </c>
      <c r="D2082" t="s">
        <v>277</v>
      </c>
      <c r="E2082" s="134">
        <v>35.04</v>
      </c>
      <c r="F2082" t="s">
        <v>2816</v>
      </c>
    </row>
    <row r="2083" spans="1:6" x14ac:dyDescent="0.2">
      <c r="A2083" t="s">
        <v>2814</v>
      </c>
      <c r="B2083" t="s">
        <v>2922</v>
      </c>
      <c r="C2083">
        <v>14120121</v>
      </c>
      <c r="D2083" t="s">
        <v>278</v>
      </c>
      <c r="E2083" s="134">
        <v>35.04</v>
      </c>
      <c r="F2083" t="s">
        <v>2816</v>
      </c>
    </row>
    <row r="2084" spans="1:6" x14ac:dyDescent="0.2">
      <c r="A2084" t="s">
        <v>2814</v>
      </c>
      <c r="B2084" t="s">
        <v>2922</v>
      </c>
      <c r="C2084">
        <v>14120196</v>
      </c>
      <c r="D2084" t="s">
        <v>279</v>
      </c>
      <c r="E2084" s="134">
        <v>35.04</v>
      </c>
      <c r="F2084" t="s">
        <v>2816</v>
      </c>
    </row>
    <row r="2085" spans="1:6" x14ac:dyDescent="0.2">
      <c r="A2085" t="s">
        <v>2814</v>
      </c>
      <c r="B2085" t="s">
        <v>2922</v>
      </c>
      <c r="C2085">
        <v>14120270</v>
      </c>
      <c r="D2085" t="s">
        <v>281</v>
      </c>
      <c r="E2085" s="134">
        <v>29.2</v>
      </c>
      <c r="F2085" t="s">
        <v>2816</v>
      </c>
    </row>
    <row r="2086" spans="1:6" x14ac:dyDescent="0.2">
      <c r="A2086" t="s">
        <v>2814</v>
      </c>
      <c r="B2086" t="s">
        <v>2922</v>
      </c>
      <c r="C2086">
        <v>14120276</v>
      </c>
      <c r="D2086" t="s">
        <v>282</v>
      </c>
      <c r="E2086" s="134">
        <v>35.04</v>
      </c>
      <c r="F2086" t="s">
        <v>2816</v>
      </c>
    </row>
    <row r="2087" spans="1:6" x14ac:dyDescent="0.2">
      <c r="A2087" t="s">
        <v>2814</v>
      </c>
      <c r="B2087" t="s">
        <v>2922</v>
      </c>
      <c r="C2087">
        <v>14120349</v>
      </c>
      <c r="D2087" t="s">
        <v>284</v>
      </c>
      <c r="E2087" s="134">
        <v>35.04</v>
      </c>
      <c r="F2087" t="s">
        <v>2816</v>
      </c>
    </row>
    <row r="2088" spans="1:6" x14ac:dyDescent="0.2">
      <c r="A2088" t="s">
        <v>2814</v>
      </c>
      <c r="B2088" t="s">
        <v>2922</v>
      </c>
      <c r="C2088">
        <v>14120415</v>
      </c>
      <c r="D2088" t="s">
        <v>286</v>
      </c>
      <c r="E2088" s="134">
        <v>35.04</v>
      </c>
      <c r="F2088" t="s">
        <v>2816</v>
      </c>
    </row>
    <row r="2089" spans="1:6" x14ac:dyDescent="0.2">
      <c r="A2089" t="s">
        <v>2814</v>
      </c>
      <c r="B2089" t="s">
        <v>2922</v>
      </c>
      <c r="C2089">
        <v>14101142</v>
      </c>
      <c r="D2089" t="s">
        <v>906</v>
      </c>
      <c r="E2089" s="134">
        <v>36.49</v>
      </c>
      <c r="F2089" t="s">
        <v>2816</v>
      </c>
    </row>
    <row r="2090" spans="1:6" x14ac:dyDescent="0.2">
      <c r="A2090" t="s">
        <v>2814</v>
      </c>
      <c r="B2090" t="s">
        <v>2922</v>
      </c>
      <c r="C2090">
        <v>14101145</v>
      </c>
      <c r="D2090" t="s">
        <v>908</v>
      </c>
      <c r="E2090" s="134">
        <v>36.49</v>
      </c>
      <c r="F2090" t="s">
        <v>2816</v>
      </c>
    </row>
    <row r="2091" spans="1:6" x14ac:dyDescent="0.2">
      <c r="A2091" t="s">
        <v>2814</v>
      </c>
      <c r="B2091" t="s">
        <v>2922</v>
      </c>
      <c r="C2091">
        <v>14103700</v>
      </c>
      <c r="D2091" t="s">
        <v>910</v>
      </c>
      <c r="E2091" s="134">
        <v>36.49</v>
      </c>
      <c r="F2091" t="s">
        <v>2816</v>
      </c>
    </row>
    <row r="2092" spans="1:6" x14ac:dyDescent="0.2">
      <c r="A2092" t="s">
        <v>2814</v>
      </c>
      <c r="B2092" t="s">
        <v>2922</v>
      </c>
      <c r="C2092">
        <v>14109275</v>
      </c>
      <c r="D2092" t="s">
        <v>912</v>
      </c>
      <c r="E2092" s="134">
        <v>36.49</v>
      </c>
      <c r="F2092" t="s">
        <v>2816</v>
      </c>
    </row>
    <row r="2093" spans="1:6" x14ac:dyDescent="0.2">
      <c r="A2093" t="s">
        <v>2814</v>
      </c>
      <c r="B2093" t="s">
        <v>2922</v>
      </c>
      <c r="C2093">
        <v>14109276</v>
      </c>
      <c r="D2093" t="s">
        <v>914</v>
      </c>
      <c r="E2093" s="134">
        <v>36.49</v>
      </c>
      <c r="F2093" t="s">
        <v>2816</v>
      </c>
    </row>
    <row r="2094" spans="1:6" x14ac:dyDescent="0.2">
      <c r="A2094" t="s">
        <v>2814</v>
      </c>
      <c r="B2094" t="s">
        <v>2922</v>
      </c>
      <c r="C2094">
        <v>14100714</v>
      </c>
      <c r="D2094" t="s">
        <v>6</v>
      </c>
      <c r="E2094" s="134">
        <v>36.49</v>
      </c>
      <c r="F2094" t="s">
        <v>2816</v>
      </c>
    </row>
    <row r="2095" spans="1:6" x14ac:dyDescent="0.2">
      <c r="A2095" t="s">
        <v>2814</v>
      </c>
      <c r="B2095" t="s">
        <v>2922</v>
      </c>
      <c r="C2095">
        <v>14100718</v>
      </c>
      <c r="D2095" t="s">
        <v>8</v>
      </c>
      <c r="E2095" s="134">
        <v>36.49</v>
      </c>
      <c r="F2095" t="s">
        <v>2816</v>
      </c>
    </row>
    <row r="2096" spans="1:6" x14ac:dyDescent="0.2">
      <c r="A2096" t="s">
        <v>2814</v>
      </c>
      <c r="B2096" t="s">
        <v>2922</v>
      </c>
      <c r="C2096">
        <v>14100721</v>
      </c>
      <c r="D2096" t="s">
        <v>9</v>
      </c>
      <c r="E2096" s="134">
        <v>36.49</v>
      </c>
      <c r="F2096" t="s">
        <v>2816</v>
      </c>
    </row>
    <row r="2097" spans="1:6" x14ac:dyDescent="0.2">
      <c r="A2097" t="s">
        <v>2814</v>
      </c>
      <c r="B2097" t="s">
        <v>2922</v>
      </c>
      <c r="C2097">
        <v>14100724</v>
      </c>
      <c r="D2097" t="s">
        <v>10</v>
      </c>
      <c r="E2097" s="134">
        <v>36.49</v>
      </c>
      <c r="F2097" t="s">
        <v>2816</v>
      </c>
    </row>
    <row r="2098" spans="1:6" x14ac:dyDescent="0.2">
      <c r="A2098" t="s">
        <v>2814</v>
      </c>
      <c r="B2098" t="s">
        <v>2922</v>
      </c>
      <c r="C2098">
        <v>14100725</v>
      </c>
      <c r="D2098" t="s">
        <v>11</v>
      </c>
      <c r="E2098" s="134">
        <v>36.49</v>
      </c>
      <c r="F2098" t="s">
        <v>2816</v>
      </c>
    </row>
    <row r="2099" spans="1:6" x14ac:dyDescent="0.2">
      <c r="A2099" t="s">
        <v>2814</v>
      </c>
      <c r="B2099" t="s">
        <v>2922</v>
      </c>
      <c r="C2099">
        <v>14100726</v>
      </c>
      <c r="D2099" t="s">
        <v>12</v>
      </c>
      <c r="E2099" s="134">
        <v>36.49</v>
      </c>
      <c r="F2099" t="s">
        <v>2816</v>
      </c>
    </row>
    <row r="2100" spans="1:6" x14ac:dyDescent="0.2">
      <c r="A2100" t="s">
        <v>2814</v>
      </c>
      <c r="B2100" t="s">
        <v>2922</v>
      </c>
      <c r="C2100">
        <v>14100727</v>
      </c>
      <c r="D2100" t="s">
        <v>13</v>
      </c>
      <c r="E2100" s="134">
        <v>36.49</v>
      </c>
      <c r="F2100" t="s">
        <v>2816</v>
      </c>
    </row>
    <row r="2101" spans="1:6" x14ac:dyDescent="0.2">
      <c r="A2101" t="s">
        <v>2814</v>
      </c>
      <c r="B2101" t="s">
        <v>2922</v>
      </c>
      <c r="C2101">
        <v>14100729</v>
      </c>
      <c r="D2101" t="s">
        <v>14</v>
      </c>
      <c r="E2101" s="134">
        <v>36.49</v>
      </c>
      <c r="F2101" t="s">
        <v>2816</v>
      </c>
    </row>
    <row r="2102" spans="1:6" x14ac:dyDescent="0.2">
      <c r="A2102" t="s">
        <v>2814</v>
      </c>
      <c r="B2102" t="s">
        <v>2922</v>
      </c>
      <c r="C2102">
        <v>14100731</v>
      </c>
      <c r="D2102" t="s">
        <v>15</v>
      </c>
      <c r="E2102" s="134">
        <v>36.49</v>
      </c>
      <c r="F2102" t="s">
        <v>2816</v>
      </c>
    </row>
    <row r="2103" spans="1:6" x14ac:dyDescent="0.2">
      <c r="A2103" t="s">
        <v>2814</v>
      </c>
      <c r="B2103" t="s">
        <v>2922</v>
      </c>
      <c r="C2103">
        <v>14100732</v>
      </c>
      <c r="D2103" t="s">
        <v>16</v>
      </c>
      <c r="E2103" s="134">
        <v>36.49</v>
      </c>
      <c r="F2103" t="s">
        <v>2816</v>
      </c>
    </row>
    <row r="2104" spans="1:6" x14ac:dyDescent="0.2">
      <c r="A2104" t="s">
        <v>2814</v>
      </c>
      <c r="B2104" t="s">
        <v>2922</v>
      </c>
      <c r="C2104">
        <v>14100733</v>
      </c>
      <c r="D2104" t="s">
        <v>17</v>
      </c>
      <c r="E2104" s="134">
        <v>36.49</v>
      </c>
      <c r="F2104" t="s">
        <v>2816</v>
      </c>
    </row>
    <row r="2105" spans="1:6" x14ac:dyDescent="0.2">
      <c r="A2105" t="s">
        <v>2814</v>
      </c>
      <c r="B2105" t="s">
        <v>2922</v>
      </c>
      <c r="C2105">
        <v>14100740</v>
      </c>
      <c r="D2105" t="s">
        <v>18</v>
      </c>
      <c r="E2105" s="134">
        <v>36.49</v>
      </c>
      <c r="F2105" t="s">
        <v>2816</v>
      </c>
    </row>
    <row r="2106" spans="1:6" x14ac:dyDescent="0.2">
      <c r="A2106" t="s">
        <v>2814</v>
      </c>
      <c r="B2106" t="s">
        <v>2922</v>
      </c>
      <c r="C2106">
        <v>14100777</v>
      </c>
      <c r="D2106" t="s">
        <v>19</v>
      </c>
      <c r="E2106" s="134">
        <v>36.49</v>
      </c>
      <c r="F2106" t="s">
        <v>2816</v>
      </c>
    </row>
    <row r="2107" spans="1:6" x14ac:dyDescent="0.2">
      <c r="A2107" t="s">
        <v>2814</v>
      </c>
      <c r="B2107" t="s">
        <v>2922</v>
      </c>
      <c r="C2107">
        <v>14100787</v>
      </c>
      <c r="D2107" t="s">
        <v>20</v>
      </c>
      <c r="E2107" s="134">
        <v>36.49</v>
      </c>
      <c r="F2107" t="s">
        <v>2816</v>
      </c>
    </row>
    <row r="2108" spans="1:6" x14ac:dyDescent="0.2">
      <c r="A2108" t="s">
        <v>2814</v>
      </c>
      <c r="B2108" t="s">
        <v>2922</v>
      </c>
      <c r="C2108">
        <v>14100795</v>
      </c>
      <c r="D2108" t="s">
        <v>21</v>
      </c>
      <c r="E2108" s="134">
        <v>36.49</v>
      </c>
      <c r="F2108" t="s">
        <v>2816</v>
      </c>
    </row>
    <row r="2109" spans="1:6" x14ac:dyDescent="0.2">
      <c r="A2109" t="s">
        <v>2814</v>
      </c>
      <c r="B2109" t="s">
        <v>2922</v>
      </c>
      <c r="C2109">
        <v>14100798</v>
      </c>
      <c r="D2109" t="s">
        <v>22</v>
      </c>
      <c r="E2109" s="134">
        <v>36.49</v>
      </c>
      <c r="F2109" t="s">
        <v>2816</v>
      </c>
    </row>
    <row r="2110" spans="1:6" x14ac:dyDescent="0.2">
      <c r="A2110" t="s">
        <v>2814</v>
      </c>
      <c r="B2110" t="s">
        <v>2922</v>
      </c>
      <c r="C2110">
        <v>14100807</v>
      </c>
      <c r="D2110" t="s">
        <v>23</v>
      </c>
      <c r="E2110" s="134">
        <v>36.49</v>
      </c>
      <c r="F2110" t="s">
        <v>2816</v>
      </c>
    </row>
    <row r="2111" spans="1:6" x14ac:dyDescent="0.2">
      <c r="A2111" t="s">
        <v>2814</v>
      </c>
      <c r="B2111" t="s">
        <v>2922</v>
      </c>
      <c r="C2111">
        <v>14100823</v>
      </c>
      <c r="D2111" t="s">
        <v>274</v>
      </c>
      <c r="E2111" s="134">
        <v>36.49</v>
      </c>
      <c r="F2111" t="s">
        <v>2816</v>
      </c>
    </row>
    <row r="2112" spans="1:6" x14ac:dyDescent="0.2">
      <c r="A2112" t="s">
        <v>2814</v>
      </c>
      <c r="B2112" t="s">
        <v>2922</v>
      </c>
      <c r="C2112">
        <v>14100842</v>
      </c>
      <c r="D2112" t="s">
        <v>24</v>
      </c>
      <c r="E2112" s="134">
        <v>36.49</v>
      </c>
      <c r="F2112" t="s">
        <v>2816</v>
      </c>
    </row>
    <row r="2113" spans="1:6" x14ac:dyDescent="0.2">
      <c r="A2113" t="s">
        <v>2814</v>
      </c>
      <c r="B2113" t="s">
        <v>2922</v>
      </c>
      <c r="C2113">
        <v>14100863</v>
      </c>
      <c r="D2113" t="s">
        <v>25</v>
      </c>
      <c r="E2113" s="134">
        <v>36.49</v>
      </c>
      <c r="F2113" t="s">
        <v>2816</v>
      </c>
    </row>
    <row r="2114" spans="1:6" x14ac:dyDescent="0.2">
      <c r="A2114" t="s">
        <v>2814</v>
      </c>
      <c r="B2114" t="s">
        <v>2922</v>
      </c>
      <c r="C2114">
        <v>14100902</v>
      </c>
      <c r="D2114" t="s">
        <v>347</v>
      </c>
      <c r="E2114" s="134">
        <v>36.49</v>
      </c>
      <c r="F2114" t="s">
        <v>2816</v>
      </c>
    </row>
    <row r="2115" spans="1:6" x14ac:dyDescent="0.2">
      <c r="A2115" t="s">
        <v>2814</v>
      </c>
      <c r="B2115" t="s">
        <v>2922</v>
      </c>
      <c r="C2115">
        <v>14101881</v>
      </c>
      <c r="D2115" t="s">
        <v>26</v>
      </c>
      <c r="E2115" s="134">
        <v>36.49</v>
      </c>
      <c r="F2115" t="s">
        <v>2816</v>
      </c>
    </row>
    <row r="2116" spans="1:6" x14ac:dyDescent="0.2">
      <c r="A2116" t="s">
        <v>2814</v>
      </c>
      <c r="B2116" t="s">
        <v>2922</v>
      </c>
      <c r="C2116">
        <v>14101984</v>
      </c>
      <c r="D2116" t="s">
        <v>27</v>
      </c>
      <c r="E2116" s="134">
        <v>36.49</v>
      </c>
      <c r="F2116" t="s">
        <v>2816</v>
      </c>
    </row>
    <row r="2117" spans="1:6" x14ac:dyDescent="0.2">
      <c r="A2117" t="s">
        <v>2814</v>
      </c>
      <c r="B2117" t="s">
        <v>2922</v>
      </c>
      <c r="C2117">
        <v>14102288</v>
      </c>
      <c r="D2117" t="s">
        <v>29</v>
      </c>
      <c r="E2117" s="134">
        <v>36.49</v>
      </c>
      <c r="F2117" t="s">
        <v>2816</v>
      </c>
    </row>
    <row r="2118" spans="1:6" x14ac:dyDescent="0.2">
      <c r="A2118" t="s">
        <v>2814</v>
      </c>
      <c r="B2118" t="s">
        <v>2922</v>
      </c>
      <c r="C2118">
        <v>14102701</v>
      </c>
      <c r="D2118" t="s">
        <v>30</v>
      </c>
      <c r="E2118" s="134">
        <v>36.49</v>
      </c>
      <c r="F2118" t="s">
        <v>2816</v>
      </c>
    </row>
    <row r="2119" spans="1:6" x14ac:dyDescent="0.2">
      <c r="A2119" t="s">
        <v>2814</v>
      </c>
      <c r="B2119" t="s">
        <v>2922</v>
      </c>
      <c r="C2119">
        <v>14102730</v>
      </c>
      <c r="D2119" t="s">
        <v>31</v>
      </c>
      <c r="E2119" s="134">
        <v>36.49</v>
      </c>
      <c r="F2119" t="s">
        <v>2816</v>
      </c>
    </row>
    <row r="2120" spans="1:6" x14ac:dyDescent="0.2">
      <c r="A2120" t="s">
        <v>2814</v>
      </c>
      <c r="B2120" t="s">
        <v>2922</v>
      </c>
      <c r="C2120">
        <v>14102875</v>
      </c>
      <c r="D2120" t="s">
        <v>32</v>
      </c>
      <c r="E2120" s="134">
        <v>36.49</v>
      </c>
      <c r="F2120" t="s">
        <v>2816</v>
      </c>
    </row>
    <row r="2121" spans="1:6" x14ac:dyDescent="0.2">
      <c r="A2121" t="s">
        <v>2814</v>
      </c>
      <c r="B2121" t="s">
        <v>2922</v>
      </c>
      <c r="C2121">
        <v>14102890</v>
      </c>
      <c r="D2121" t="s">
        <v>33</v>
      </c>
      <c r="E2121" s="134">
        <v>36.49</v>
      </c>
      <c r="F2121" t="s">
        <v>2816</v>
      </c>
    </row>
    <row r="2122" spans="1:6" x14ac:dyDescent="0.2">
      <c r="A2122" t="s">
        <v>2814</v>
      </c>
      <c r="B2122" t="s">
        <v>2922</v>
      </c>
      <c r="C2122">
        <v>14103061</v>
      </c>
      <c r="D2122" t="s">
        <v>392</v>
      </c>
      <c r="E2122" s="134">
        <v>36.49</v>
      </c>
      <c r="F2122" t="s">
        <v>2816</v>
      </c>
    </row>
    <row r="2123" spans="1:6" x14ac:dyDescent="0.2">
      <c r="A2123" t="s">
        <v>2814</v>
      </c>
      <c r="B2123" t="s">
        <v>2922</v>
      </c>
      <c r="C2123">
        <v>14103106</v>
      </c>
      <c r="D2123" t="s">
        <v>34</v>
      </c>
      <c r="E2123" s="134">
        <v>36.49</v>
      </c>
      <c r="F2123" t="s">
        <v>2816</v>
      </c>
    </row>
    <row r="2124" spans="1:6" x14ac:dyDescent="0.2">
      <c r="A2124" t="s">
        <v>2814</v>
      </c>
      <c r="B2124" t="s">
        <v>2922</v>
      </c>
      <c r="C2124">
        <v>14103183</v>
      </c>
      <c r="D2124" t="s">
        <v>35</v>
      </c>
      <c r="E2124" s="134">
        <v>36.49</v>
      </c>
      <c r="F2124" t="s">
        <v>2816</v>
      </c>
    </row>
    <row r="2125" spans="1:6" x14ac:dyDescent="0.2">
      <c r="A2125" t="s">
        <v>2814</v>
      </c>
      <c r="B2125" t="s">
        <v>2922</v>
      </c>
      <c r="C2125">
        <v>14103335</v>
      </c>
      <c r="D2125" t="s">
        <v>36</v>
      </c>
      <c r="E2125" s="134">
        <v>36.49</v>
      </c>
      <c r="F2125" t="s">
        <v>2816</v>
      </c>
    </row>
    <row r="2126" spans="1:6" x14ac:dyDescent="0.2">
      <c r="A2126" t="s">
        <v>2814</v>
      </c>
      <c r="B2126" t="s">
        <v>2922</v>
      </c>
      <c r="C2126">
        <v>14103679</v>
      </c>
      <c r="D2126" t="s">
        <v>37</v>
      </c>
      <c r="E2126" s="134">
        <v>36.49</v>
      </c>
      <c r="F2126" t="s">
        <v>2816</v>
      </c>
    </row>
    <row r="2127" spans="1:6" x14ac:dyDescent="0.2">
      <c r="A2127" t="s">
        <v>2814</v>
      </c>
      <c r="B2127" t="s">
        <v>2922</v>
      </c>
      <c r="C2127">
        <v>14103952</v>
      </c>
      <c r="D2127" t="s">
        <v>38</v>
      </c>
      <c r="E2127" s="134">
        <v>36.49</v>
      </c>
      <c r="F2127" t="s">
        <v>2816</v>
      </c>
    </row>
    <row r="2128" spans="1:6" x14ac:dyDescent="0.2">
      <c r="A2128" t="s">
        <v>2814</v>
      </c>
      <c r="B2128" t="s">
        <v>2922</v>
      </c>
      <c r="C2128">
        <v>14104315</v>
      </c>
      <c r="D2128" t="s">
        <v>328</v>
      </c>
      <c r="E2128" s="134">
        <v>36.49</v>
      </c>
      <c r="F2128" t="s">
        <v>2816</v>
      </c>
    </row>
    <row r="2129" spans="1:6" x14ac:dyDescent="0.2">
      <c r="A2129" t="s">
        <v>2814</v>
      </c>
      <c r="B2129" t="s">
        <v>2922</v>
      </c>
      <c r="C2129">
        <v>14104316</v>
      </c>
      <c r="D2129" t="s">
        <v>39</v>
      </c>
      <c r="E2129" s="134">
        <v>36.49</v>
      </c>
      <c r="F2129" t="s">
        <v>2816</v>
      </c>
    </row>
    <row r="2130" spans="1:6" x14ac:dyDescent="0.2">
      <c r="A2130" t="s">
        <v>2814</v>
      </c>
      <c r="B2130" t="s">
        <v>2922</v>
      </c>
      <c r="C2130">
        <v>14104599</v>
      </c>
      <c r="D2130" t="s">
        <v>40</v>
      </c>
      <c r="E2130" s="134">
        <v>36.49</v>
      </c>
      <c r="F2130" t="s">
        <v>2816</v>
      </c>
    </row>
    <row r="2131" spans="1:6" x14ac:dyDescent="0.2">
      <c r="A2131" t="s">
        <v>2814</v>
      </c>
      <c r="B2131" t="s">
        <v>2922</v>
      </c>
      <c r="C2131">
        <v>14104822</v>
      </c>
      <c r="D2131" t="s">
        <v>41</v>
      </c>
      <c r="E2131" s="134">
        <v>36.49</v>
      </c>
      <c r="F2131" t="s">
        <v>2816</v>
      </c>
    </row>
    <row r="2132" spans="1:6" x14ac:dyDescent="0.2">
      <c r="A2132" t="s">
        <v>2814</v>
      </c>
      <c r="B2132" t="s">
        <v>2922</v>
      </c>
      <c r="C2132">
        <v>14104932</v>
      </c>
      <c r="D2132" t="s">
        <v>42</v>
      </c>
      <c r="E2132" s="134">
        <v>36.49</v>
      </c>
      <c r="F2132" t="s">
        <v>2816</v>
      </c>
    </row>
    <row r="2133" spans="1:6" x14ac:dyDescent="0.2">
      <c r="A2133" t="s">
        <v>2814</v>
      </c>
      <c r="B2133" t="s">
        <v>2922</v>
      </c>
      <c r="C2133">
        <v>14104971</v>
      </c>
      <c r="D2133" t="s">
        <v>43</v>
      </c>
      <c r="E2133" s="134">
        <v>36.49</v>
      </c>
      <c r="F2133" t="s">
        <v>2816</v>
      </c>
    </row>
    <row r="2134" spans="1:6" x14ac:dyDescent="0.2">
      <c r="A2134" t="s">
        <v>2814</v>
      </c>
      <c r="B2134" t="s">
        <v>2922</v>
      </c>
      <c r="C2134">
        <v>14105437</v>
      </c>
      <c r="D2134" t="s">
        <v>44</v>
      </c>
      <c r="E2134" s="134">
        <v>36.49</v>
      </c>
      <c r="F2134" t="s">
        <v>2816</v>
      </c>
    </row>
    <row r="2135" spans="1:6" x14ac:dyDescent="0.2">
      <c r="A2135" t="s">
        <v>2814</v>
      </c>
      <c r="B2135" t="s">
        <v>2922</v>
      </c>
      <c r="C2135">
        <v>14105531</v>
      </c>
      <c r="D2135" t="s">
        <v>45</v>
      </c>
      <c r="E2135" s="134">
        <v>36.49</v>
      </c>
      <c r="F2135" t="s">
        <v>2816</v>
      </c>
    </row>
    <row r="2136" spans="1:6" x14ac:dyDescent="0.2">
      <c r="A2136" t="s">
        <v>2814</v>
      </c>
      <c r="B2136" t="s">
        <v>2922</v>
      </c>
      <c r="C2136">
        <v>14105586</v>
      </c>
      <c r="D2136" t="s">
        <v>46</v>
      </c>
      <c r="E2136" s="134">
        <v>36.49</v>
      </c>
      <c r="F2136" t="s">
        <v>2816</v>
      </c>
    </row>
    <row r="2137" spans="1:6" x14ac:dyDescent="0.2">
      <c r="A2137" t="s">
        <v>2814</v>
      </c>
      <c r="B2137" t="s">
        <v>2922</v>
      </c>
      <c r="C2137">
        <v>14105645</v>
      </c>
      <c r="D2137" t="s">
        <v>160</v>
      </c>
      <c r="E2137" s="134">
        <v>36.49</v>
      </c>
      <c r="F2137" t="s">
        <v>2816</v>
      </c>
    </row>
    <row r="2138" spans="1:6" x14ac:dyDescent="0.2">
      <c r="A2138" t="s">
        <v>2814</v>
      </c>
      <c r="B2138" t="s">
        <v>2922</v>
      </c>
      <c r="C2138">
        <v>14106033</v>
      </c>
      <c r="D2138" t="s">
        <v>47</v>
      </c>
      <c r="E2138" s="134">
        <v>36.49</v>
      </c>
      <c r="F2138" t="s">
        <v>2816</v>
      </c>
    </row>
    <row r="2139" spans="1:6" x14ac:dyDescent="0.2">
      <c r="A2139" t="s">
        <v>2814</v>
      </c>
      <c r="B2139" t="s">
        <v>2922</v>
      </c>
      <c r="C2139">
        <v>14106233</v>
      </c>
      <c r="D2139" t="s">
        <v>340</v>
      </c>
      <c r="E2139" s="134">
        <v>36.49</v>
      </c>
      <c r="F2139" t="s">
        <v>2816</v>
      </c>
    </row>
    <row r="2140" spans="1:6" x14ac:dyDescent="0.2">
      <c r="A2140" t="s">
        <v>2814</v>
      </c>
      <c r="B2140" t="s">
        <v>2922</v>
      </c>
      <c r="C2140">
        <v>14106368</v>
      </c>
      <c r="D2140" t="s">
        <v>50</v>
      </c>
      <c r="E2140" s="134">
        <v>36.49</v>
      </c>
      <c r="F2140" t="s">
        <v>2816</v>
      </c>
    </row>
    <row r="2141" spans="1:6" x14ac:dyDescent="0.2">
      <c r="A2141" t="s">
        <v>2814</v>
      </c>
      <c r="B2141" t="s">
        <v>2922</v>
      </c>
      <c r="C2141">
        <v>14106438</v>
      </c>
      <c r="D2141" t="s">
        <v>51</v>
      </c>
      <c r="E2141" s="134">
        <v>36.49</v>
      </c>
      <c r="F2141" t="s">
        <v>2816</v>
      </c>
    </row>
    <row r="2142" spans="1:6" x14ac:dyDescent="0.2">
      <c r="A2142" t="s">
        <v>2814</v>
      </c>
      <c r="B2142" t="s">
        <v>2922</v>
      </c>
      <c r="C2142">
        <v>14106778</v>
      </c>
      <c r="D2142" t="s">
        <v>52</v>
      </c>
      <c r="E2142" s="134">
        <v>36.49</v>
      </c>
      <c r="F2142" t="s">
        <v>2816</v>
      </c>
    </row>
    <row r="2143" spans="1:6" x14ac:dyDescent="0.2">
      <c r="A2143" t="s">
        <v>2814</v>
      </c>
      <c r="B2143" t="s">
        <v>2922</v>
      </c>
      <c r="C2143">
        <v>14106949</v>
      </c>
      <c r="D2143" t="s">
        <v>53</v>
      </c>
      <c r="E2143" s="134">
        <v>36.49</v>
      </c>
      <c r="F2143" t="s">
        <v>2816</v>
      </c>
    </row>
    <row r="2144" spans="1:6" x14ac:dyDescent="0.2">
      <c r="A2144" t="s">
        <v>2814</v>
      </c>
      <c r="B2144" t="s">
        <v>2922</v>
      </c>
      <c r="C2144">
        <v>14106980</v>
      </c>
      <c r="D2144" t="s">
        <v>54</v>
      </c>
      <c r="E2144" s="134">
        <v>36.49</v>
      </c>
      <c r="F2144" t="s">
        <v>2816</v>
      </c>
    </row>
    <row r="2145" spans="1:6" x14ac:dyDescent="0.2">
      <c r="A2145" t="s">
        <v>2814</v>
      </c>
      <c r="B2145" t="s">
        <v>2922</v>
      </c>
      <c r="C2145">
        <v>14107081</v>
      </c>
      <c r="D2145" t="s">
        <v>55</v>
      </c>
      <c r="E2145" s="134">
        <v>36.49</v>
      </c>
      <c r="F2145" t="s">
        <v>2816</v>
      </c>
    </row>
    <row r="2146" spans="1:6" x14ac:dyDescent="0.2">
      <c r="A2146" t="s">
        <v>2814</v>
      </c>
      <c r="B2146" t="s">
        <v>2922</v>
      </c>
      <c r="C2146">
        <v>14107167</v>
      </c>
      <c r="D2146" t="s">
        <v>56</v>
      </c>
      <c r="E2146" s="134">
        <v>36.49</v>
      </c>
      <c r="F2146" t="s">
        <v>2816</v>
      </c>
    </row>
    <row r="2147" spans="1:6" x14ac:dyDescent="0.2">
      <c r="A2147" t="s">
        <v>2814</v>
      </c>
      <c r="B2147" t="s">
        <v>2922</v>
      </c>
      <c r="C2147">
        <v>14107202</v>
      </c>
      <c r="D2147" t="s">
        <v>57</v>
      </c>
      <c r="E2147" s="134">
        <v>36.49</v>
      </c>
      <c r="F2147" t="s">
        <v>2816</v>
      </c>
    </row>
    <row r="2148" spans="1:6" x14ac:dyDescent="0.2">
      <c r="A2148" t="s">
        <v>2814</v>
      </c>
      <c r="B2148" t="s">
        <v>2922</v>
      </c>
      <c r="C2148">
        <v>14107206</v>
      </c>
      <c r="D2148" t="s">
        <v>58</v>
      </c>
      <c r="E2148" s="134">
        <v>36.49</v>
      </c>
      <c r="F2148" t="s">
        <v>2816</v>
      </c>
    </row>
    <row r="2149" spans="1:6" x14ac:dyDescent="0.2">
      <c r="A2149" t="s">
        <v>2814</v>
      </c>
      <c r="B2149" t="s">
        <v>2922</v>
      </c>
      <c r="C2149">
        <v>14107217</v>
      </c>
      <c r="D2149" t="s">
        <v>59</v>
      </c>
      <c r="E2149" s="134">
        <v>36.49</v>
      </c>
      <c r="F2149" t="s">
        <v>2816</v>
      </c>
    </row>
    <row r="2150" spans="1:6" x14ac:dyDescent="0.2">
      <c r="A2150" t="s">
        <v>2814</v>
      </c>
      <c r="B2150" t="s">
        <v>2922</v>
      </c>
      <c r="C2150">
        <v>14107293</v>
      </c>
      <c r="D2150" t="s">
        <v>191</v>
      </c>
      <c r="E2150" s="134">
        <v>36.49</v>
      </c>
      <c r="F2150" t="s">
        <v>2816</v>
      </c>
    </row>
    <row r="2151" spans="1:6" x14ac:dyDescent="0.2">
      <c r="A2151" t="s">
        <v>2814</v>
      </c>
      <c r="B2151" t="s">
        <v>2922</v>
      </c>
      <c r="C2151">
        <v>14107393</v>
      </c>
      <c r="D2151" t="s">
        <v>61</v>
      </c>
      <c r="E2151" s="134">
        <v>36.49</v>
      </c>
      <c r="F2151" t="s">
        <v>2816</v>
      </c>
    </row>
    <row r="2152" spans="1:6" x14ac:dyDescent="0.2">
      <c r="A2152" t="s">
        <v>2814</v>
      </c>
      <c r="B2152" t="s">
        <v>2922</v>
      </c>
      <c r="C2152">
        <v>14107484</v>
      </c>
      <c r="D2152" t="s">
        <v>62</v>
      </c>
      <c r="E2152" s="134">
        <v>36.49</v>
      </c>
      <c r="F2152" t="s">
        <v>2816</v>
      </c>
    </row>
    <row r="2153" spans="1:6" x14ac:dyDescent="0.2">
      <c r="A2153" t="s">
        <v>2814</v>
      </c>
      <c r="B2153" t="s">
        <v>2922</v>
      </c>
      <c r="C2153">
        <v>14107552</v>
      </c>
      <c r="D2153" t="s">
        <v>63</v>
      </c>
      <c r="E2153" s="134">
        <v>36.49</v>
      </c>
      <c r="F2153" t="s">
        <v>2816</v>
      </c>
    </row>
    <row r="2154" spans="1:6" x14ac:dyDescent="0.2">
      <c r="A2154" t="s">
        <v>2814</v>
      </c>
      <c r="B2154" t="s">
        <v>2922</v>
      </c>
      <c r="C2154">
        <v>14107735</v>
      </c>
      <c r="D2154" t="s">
        <v>64</v>
      </c>
      <c r="E2154" s="134">
        <v>36.49</v>
      </c>
      <c r="F2154" t="s">
        <v>2816</v>
      </c>
    </row>
    <row r="2155" spans="1:6" x14ac:dyDescent="0.2">
      <c r="A2155" t="s">
        <v>2814</v>
      </c>
      <c r="B2155" t="s">
        <v>2922</v>
      </c>
      <c r="C2155">
        <v>14107754</v>
      </c>
      <c r="D2155" t="s">
        <v>65</v>
      </c>
      <c r="E2155" s="134">
        <v>36.49</v>
      </c>
      <c r="F2155" t="s">
        <v>2816</v>
      </c>
    </row>
    <row r="2156" spans="1:6" x14ac:dyDescent="0.2">
      <c r="A2156" t="s">
        <v>2814</v>
      </c>
      <c r="B2156" t="s">
        <v>2922</v>
      </c>
      <c r="C2156">
        <v>14107840</v>
      </c>
      <c r="D2156" t="s">
        <v>66</v>
      </c>
      <c r="E2156" s="134">
        <v>36.49</v>
      </c>
      <c r="F2156" t="s">
        <v>2816</v>
      </c>
    </row>
    <row r="2157" spans="1:6" x14ac:dyDescent="0.2">
      <c r="A2157" t="s">
        <v>2814</v>
      </c>
      <c r="B2157" t="s">
        <v>2922</v>
      </c>
      <c r="C2157">
        <v>14107967</v>
      </c>
      <c r="D2157" t="s">
        <v>67</v>
      </c>
      <c r="E2157" s="134">
        <v>36.49</v>
      </c>
      <c r="F2157" t="s">
        <v>2816</v>
      </c>
    </row>
    <row r="2158" spans="1:6" x14ac:dyDescent="0.2">
      <c r="A2158" t="s">
        <v>2814</v>
      </c>
      <c r="B2158" t="s">
        <v>2922</v>
      </c>
      <c r="C2158">
        <v>14107978</v>
      </c>
      <c r="D2158" t="s">
        <v>68</v>
      </c>
      <c r="E2158" s="134">
        <v>36.49</v>
      </c>
      <c r="F2158" t="s">
        <v>2816</v>
      </c>
    </row>
    <row r="2159" spans="1:6" x14ac:dyDescent="0.2">
      <c r="A2159" t="s">
        <v>2814</v>
      </c>
      <c r="B2159" t="s">
        <v>2922</v>
      </c>
      <c r="C2159">
        <v>14108111</v>
      </c>
      <c r="D2159" t="s">
        <v>69</v>
      </c>
      <c r="E2159" s="134">
        <v>36.49</v>
      </c>
      <c r="F2159" t="s">
        <v>2816</v>
      </c>
    </row>
    <row r="2160" spans="1:6" x14ac:dyDescent="0.2">
      <c r="A2160" t="s">
        <v>2814</v>
      </c>
      <c r="B2160" t="s">
        <v>2922</v>
      </c>
      <c r="C2160">
        <v>14108150</v>
      </c>
      <c r="D2160" t="s">
        <v>70</v>
      </c>
      <c r="E2160" s="134">
        <v>36.49</v>
      </c>
      <c r="F2160" t="s">
        <v>2816</v>
      </c>
    </row>
    <row r="2161" spans="1:6" x14ac:dyDescent="0.2">
      <c r="A2161" t="s">
        <v>2814</v>
      </c>
      <c r="B2161" t="s">
        <v>2922</v>
      </c>
      <c r="C2161">
        <v>14108222</v>
      </c>
      <c r="D2161" t="s">
        <v>71</v>
      </c>
      <c r="E2161" s="134">
        <v>36.49</v>
      </c>
      <c r="F2161" t="s">
        <v>2816</v>
      </c>
    </row>
    <row r="2162" spans="1:6" x14ac:dyDescent="0.2">
      <c r="A2162" t="s">
        <v>2814</v>
      </c>
      <c r="B2162" t="s">
        <v>2922</v>
      </c>
      <c r="C2162">
        <v>14108267</v>
      </c>
      <c r="D2162" t="s">
        <v>72</v>
      </c>
      <c r="E2162" s="134">
        <v>36.49</v>
      </c>
      <c r="F2162" t="s">
        <v>2816</v>
      </c>
    </row>
    <row r="2163" spans="1:6" x14ac:dyDescent="0.2">
      <c r="A2163" t="s">
        <v>2814</v>
      </c>
      <c r="B2163" t="s">
        <v>2922</v>
      </c>
      <c r="C2163">
        <v>14108271</v>
      </c>
      <c r="D2163" t="s">
        <v>73</v>
      </c>
      <c r="E2163" s="134">
        <v>36.49</v>
      </c>
      <c r="F2163" t="s">
        <v>2816</v>
      </c>
    </row>
    <row r="2164" spans="1:6" x14ac:dyDescent="0.2">
      <c r="A2164" t="s">
        <v>2814</v>
      </c>
      <c r="B2164" t="s">
        <v>2922</v>
      </c>
      <c r="C2164">
        <v>14108361</v>
      </c>
      <c r="D2164" t="s">
        <v>74</v>
      </c>
      <c r="E2164" s="134">
        <v>36.49</v>
      </c>
      <c r="F2164" t="s">
        <v>2816</v>
      </c>
    </row>
    <row r="2165" spans="1:6" x14ac:dyDescent="0.2">
      <c r="A2165" t="s">
        <v>2814</v>
      </c>
      <c r="B2165" t="s">
        <v>2922</v>
      </c>
      <c r="C2165">
        <v>14108382</v>
      </c>
      <c r="D2165" t="s">
        <v>75</v>
      </c>
      <c r="E2165" s="134">
        <v>36.49</v>
      </c>
      <c r="F2165" t="s">
        <v>2816</v>
      </c>
    </row>
    <row r="2166" spans="1:6" x14ac:dyDescent="0.2">
      <c r="A2166" t="s">
        <v>2814</v>
      </c>
      <c r="B2166" t="s">
        <v>2922</v>
      </c>
      <c r="C2166">
        <v>14108483</v>
      </c>
      <c r="D2166" t="s">
        <v>76</v>
      </c>
      <c r="E2166" s="134">
        <v>36.49</v>
      </c>
      <c r="F2166" t="s">
        <v>2816</v>
      </c>
    </row>
    <row r="2167" spans="1:6" x14ac:dyDescent="0.2">
      <c r="A2167" t="s">
        <v>2814</v>
      </c>
      <c r="B2167" t="s">
        <v>2922</v>
      </c>
      <c r="C2167">
        <v>14108552</v>
      </c>
      <c r="D2167" t="s">
        <v>309</v>
      </c>
      <c r="E2167" s="134">
        <v>36.49</v>
      </c>
      <c r="F2167" t="s">
        <v>2816</v>
      </c>
    </row>
    <row r="2168" spans="1:6" x14ac:dyDescent="0.2">
      <c r="A2168" t="s">
        <v>2814</v>
      </c>
      <c r="B2168" t="s">
        <v>2922</v>
      </c>
      <c r="C2168">
        <v>14108571</v>
      </c>
      <c r="D2168" t="s">
        <v>77</v>
      </c>
      <c r="E2168" s="134">
        <v>36.49</v>
      </c>
      <c r="F2168" t="s">
        <v>2816</v>
      </c>
    </row>
    <row r="2169" spans="1:6" x14ac:dyDescent="0.2">
      <c r="A2169" t="s">
        <v>2814</v>
      </c>
      <c r="B2169" t="s">
        <v>2922</v>
      </c>
      <c r="C2169">
        <v>14108916</v>
      </c>
      <c r="D2169" t="s">
        <v>79</v>
      </c>
      <c r="E2169" s="134">
        <v>36.49</v>
      </c>
      <c r="F2169" t="s">
        <v>2816</v>
      </c>
    </row>
    <row r="2170" spans="1:6" x14ac:dyDescent="0.2">
      <c r="A2170" t="s">
        <v>2814</v>
      </c>
      <c r="B2170" t="s">
        <v>2922</v>
      </c>
      <c r="C2170">
        <v>14109032</v>
      </c>
      <c r="D2170" t="s">
        <v>80</v>
      </c>
      <c r="E2170" s="134">
        <v>36.49</v>
      </c>
      <c r="F2170" t="s">
        <v>2816</v>
      </c>
    </row>
    <row r="2171" spans="1:6" x14ac:dyDescent="0.2">
      <c r="A2171" t="s">
        <v>2814</v>
      </c>
      <c r="B2171" t="s">
        <v>2922</v>
      </c>
      <c r="C2171">
        <v>14109097</v>
      </c>
      <c r="D2171" t="s">
        <v>81</v>
      </c>
      <c r="E2171" s="134">
        <v>36.49</v>
      </c>
      <c r="F2171" t="s">
        <v>2816</v>
      </c>
    </row>
    <row r="2172" spans="1:6" x14ac:dyDescent="0.2">
      <c r="A2172" t="s">
        <v>2814</v>
      </c>
      <c r="B2172" t="s">
        <v>2922</v>
      </c>
      <c r="C2172">
        <v>14109131</v>
      </c>
      <c r="D2172" t="s">
        <v>82</v>
      </c>
      <c r="E2172" s="134">
        <v>36.49</v>
      </c>
      <c r="F2172" t="s">
        <v>2816</v>
      </c>
    </row>
    <row r="2173" spans="1:6" x14ac:dyDescent="0.2">
      <c r="A2173" t="s">
        <v>2814</v>
      </c>
      <c r="B2173" t="s">
        <v>2922</v>
      </c>
      <c r="C2173">
        <v>14109133</v>
      </c>
      <c r="D2173" t="s">
        <v>83</v>
      </c>
      <c r="E2173" s="134">
        <v>36.49</v>
      </c>
      <c r="F2173" t="s">
        <v>2816</v>
      </c>
    </row>
    <row r="2174" spans="1:6" x14ac:dyDescent="0.2">
      <c r="A2174" t="s">
        <v>2814</v>
      </c>
      <c r="B2174" t="s">
        <v>2922</v>
      </c>
      <c r="C2174">
        <v>14109134</v>
      </c>
      <c r="D2174" t="s">
        <v>84</v>
      </c>
      <c r="E2174" s="134">
        <v>36.49</v>
      </c>
      <c r="F2174" t="s">
        <v>2816</v>
      </c>
    </row>
    <row r="2175" spans="1:6" x14ac:dyDescent="0.2">
      <c r="A2175" t="s">
        <v>2814</v>
      </c>
      <c r="B2175" t="s">
        <v>2922</v>
      </c>
      <c r="C2175">
        <v>14109378</v>
      </c>
      <c r="D2175" t="s">
        <v>85</v>
      </c>
      <c r="E2175" s="134">
        <v>36.49</v>
      </c>
      <c r="F2175" t="s">
        <v>2816</v>
      </c>
    </row>
    <row r="2176" spans="1:6" x14ac:dyDescent="0.2">
      <c r="A2176" t="s">
        <v>2814</v>
      </c>
      <c r="B2176" t="s">
        <v>2922</v>
      </c>
      <c r="C2176">
        <v>14109408</v>
      </c>
      <c r="D2176" t="s">
        <v>86</v>
      </c>
      <c r="E2176" s="134">
        <v>36.49</v>
      </c>
      <c r="F2176" t="s">
        <v>2816</v>
      </c>
    </row>
    <row r="2177" spans="1:6" x14ac:dyDescent="0.2">
      <c r="A2177" t="s">
        <v>2814</v>
      </c>
      <c r="B2177" t="s">
        <v>2922</v>
      </c>
      <c r="C2177">
        <v>14109430</v>
      </c>
      <c r="D2177" t="s">
        <v>87</v>
      </c>
      <c r="E2177" s="134">
        <v>36.49</v>
      </c>
      <c r="F2177" t="s">
        <v>2816</v>
      </c>
    </row>
    <row r="2178" spans="1:6" x14ac:dyDescent="0.2">
      <c r="A2178" t="s">
        <v>2814</v>
      </c>
      <c r="B2178" t="s">
        <v>2922</v>
      </c>
      <c r="C2178">
        <v>14109435</v>
      </c>
      <c r="D2178" t="s">
        <v>88</v>
      </c>
      <c r="E2178" s="134">
        <v>36.49</v>
      </c>
      <c r="F2178" t="s">
        <v>2816</v>
      </c>
    </row>
    <row r="2179" spans="1:6" x14ac:dyDescent="0.2">
      <c r="A2179" t="s">
        <v>2814</v>
      </c>
      <c r="B2179" t="s">
        <v>2922</v>
      </c>
      <c r="C2179">
        <v>14109436</v>
      </c>
      <c r="D2179" t="s">
        <v>364</v>
      </c>
      <c r="E2179" s="134">
        <v>36.49</v>
      </c>
      <c r="F2179" t="s">
        <v>2816</v>
      </c>
    </row>
    <row r="2180" spans="1:6" x14ac:dyDescent="0.2">
      <c r="A2180" t="s">
        <v>2814</v>
      </c>
      <c r="B2180" t="s">
        <v>2922</v>
      </c>
      <c r="C2180">
        <v>14109664</v>
      </c>
      <c r="D2180" t="s">
        <v>89</v>
      </c>
      <c r="E2180" s="134">
        <v>36.49</v>
      </c>
      <c r="F2180" t="s">
        <v>2816</v>
      </c>
    </row>
    <row r="2181" spans="1:6" x14ac:dyDescent="0.2">
      <c r="A2181" t="s">
        <v>2814</v>
      </c>
      <c r="B2181" t="s">
        <v>2922</v>
      </c>
      <c r="C2181">
        <v>14109674</v>
      </c>
      <c r="D2181" t="s">
        <v>90</v>
      </c>
      <c r="E2181" s="134">
        <v>36.49</v>
      </c>
      <c r="F2181" t="s">
        <v>2816</v>
      </c>
    </row>
    <row r="2182" spans="1:6" x14ac:dyDescent="0.2">
      <c r="A2182" t="s">
        <v>2814</v>
      </c>
      <c r="B2182" t="s">
        <v>2922</v>
      </c>
      <c r="C2182">
        <v>14109707</v>
      </c>
      <c r="D2182" t="s">
        <v>92</v>
      </c>
      <c r="E2182" s="134">
        <v>36.49</v>
      </c>
      <c r="F2182" t="s">
        <v>2816</v>
      </c>
    </row>
    <row r="2183" spans="1:6" x14ac:dyDescent="0.2">
      <c r="A2183" t="s">
        <v>2814</v>
      </c>
      <c r="B2183" t="s">
        <v>2922</v>
      </c>
      <c r="C2183">
        <v>14109808</v>
      </c>
      <c r="D2183" t="s">
        <v>96</v>
      </c>
      <c r="E2183" s="134">
        <v>36.49</v>
      </c>
      <c r="F2183" t="s">
        <v>2816</v>
      </c>
    </row>
    <row r="2184" spans="1:6" x14ac:dyDescent="0.2">
      <c r="A2184" t="s">
        <v>2814</v>
      </c>
      <c r="B2184" t="s">
        <v>2922</v>
      </c>
      <c r="C2184">
        <v>14109948</v>
      </c>
      <c r="D2184" t="s">
        <v>165</v>
      </c>
      <c r="E2184" s="134">
        <v>36.49</v>
      </c>
      <c r="F2184" t="s">
        <v>2816</v>
      </c>
    </row>
    <row r="2185" spans="1:6" x14ac:dyDescent="0.2">
      <c r="A2185" t="s">
        <v>2814</v>
      </c>
      <c r="B2185" t="s">
        <v>2922</v>
      </c>
      <c r="C2185">
        <v>14110039</v>
      </c>
      <c r="D2185" t="s">
        <v>98</v>
      </c>
      <c r="E2185" s="134">
        <v>36.49</v>
      </c>
      <c r="F2185" t="s">
        <v>2816</v>
      </c>
    </row>
    <row r="2186" spans="1:6" x14ac:dyDescent="0.2">
      <c r="A2186" t="s">
        <v>2814</v>
      </c>
      <c r="B2186" t="s">
        <v>2922</v>
      </c>
      <c r="C2186">
        <v>14110040</v>
      </c>
      <c r="D2186" t="s">
        <v>99</v>
      </c>
      <c r="E2186" s="134">
        <v>36.49</v>
      </c>
      <c r="F2186" t="s">
        <v>2816</v>
      </c>
    </row>
    <row r="2187" spans="1:6" x14ac:dyDescent="0.2">
      <c r="A2187" t="s">
        <v>2814</v>
      </c>
      <c r="B2187" t="s">
        <v>2922</v>
      </c>
      <c r="C2187">
        <v>14110042</v>
      </c>
      <c r="D2187" t="s">
        <v>329</v>
      </c>
      <c r="E2187" s="134">
        <v>36.49</v>
      </c>
      <c r="F2187" t="s">
        <v>2816</v>
      </c>
    </row>
    <row r="2188" spans="1:6" x14ac:dyDescent="0.2">
      <c r="A2188" t="s">
        <v>2814</v>
      </c>
      <c r="B2188" t="s">
        <v>2922</v>
      </c>
      <c r="C2188">
        <v>14110044</v>
      </c>
      <c r="D2188" t="s">
        <v>145</v>
      </c>
      <c r="E2188" s="134">
        <v>36.49</v>
      </c>
      <c r="F2188" t="s">
        <v>2816</v>
      </c>
    </row>
    <row r="2189" spans="1:6" x14ac:dyDescent="0.2">
      <c r="A2189" t="s">
        <v>2814</v>
      </c>
      <c r="B2189" t="s">
        <v>2922</v>
      </c>
      <c r="C2189">
        <v>14110292</v>
      </c>
      <c r="D2189" t="s">
        <v>100</v>
      </c>
      <c r="E2189" s="134">
        <v>36.49</v>
      </c>
      <c r="F2189" t="s">
        <v>2816</v>
      </c>
    </row>
    <row r="2190" spans="1:6" x14ac:dyDescent="0.2">
      <c r="A2190" t="s">
        <v>2814</v>
      </c>
      <c r="B2190" t="s">
        <v>2922</v>
      </c>
      <c r="C2190">
        <v>14110339</v>
      </c>
      <c r="D2190" t="s">
        <v>101</v>
      </c>
      <c r="E2190" s="134">
        <v>36.49</v>
      </c>
      <c r="F2190" t="s">
        <v>2816</v>
      </c>
    </row>
    <row r="2191" spans="1:6" x14ac:dyDescent="0.2">
      <c r="A2191" t="s">
        <v>2814</v>
      </c>
      <c r="B2191" t="s">
        <v>2922</v>
      </c>
      <c r="C2191">
        <v>14110465</v>
      </c>
      <c r="D2191" t="s">
        <v>102</v>
      </c>
      <c r="E2191" s="134">
        <v>36.49</v>
      </c>
      <c r="F2191" t="s">
        <v>2816</v>
      </c>
    </row>
    <row r="2192" spans="1:6" x14ac:dyDescent="0.2">
      <c r="A2192" t="s">
        <v>2814</v>
      </c>
      <c r="B2192" t="s">
        <v>2922</v>
      </c>
      <c r="C2192">
        <v>14110512</v>
      </c>
      <c r="D2192" t="s">
        <v>183</v>
      </c>
      <c r="E2192" s="134">
        <v>36.49</v>
      </c>
      <c r="F2192" t="s">
        <v>2816</v>
      </c>
    </row>
    <row r="2193" spans="1:6" x14ac:dyDescent="0.2">
      <c r="A2193" t="s">
        <v>2814</v>
      </c>
      <c r="B2193" t="s">
        <v>2922</v>
      </c>
      <c r="C2193">
        <v>14110761</v>
      </c>
      <c r="D2193" t="s">
        <v>104</v>
      </c>
      <c r="E2193" s="134">
        <v>36.49</v>
      </c>
      <c r="F2193" t="s">
        <v>2816</v>
      </c>
    </row>
    <row r="2194" spans="1:6" x14ac:dyDescent="0.2">
      <c r="A2194" t="s">
        <v>2814</v>
      </c>
      <c r="B2194" t="s">
        <v>2922</v>
      </c>
      <c r="C2194">
        <v>14110929</v>
      </c>
      <c r="D2194" t="s">
        <v>179</v>
      </c>
      <c r="E2194" s="134">
        <v>36.49</v>
      </c>
      <c r="F2194" t="s">
        <v>2816</v>
      </c>
    </row>
    <row r="2195" spans="1:6" x14ac:dyDescent="0.2">
      <c r="A2195" t="s">
        <v>2814</v>
      </c>
      <c r="B2195" t="s">
        <v>2922</v>
      </c>
      <c r="C2195">
        <v>14110973</v>
      </c>
      <c r="D2195" t="s">
        <v>106</v>
      </c>
      <c r="E2195" s="134">
        <v>36.49</v>
      </c>
      <c r="F2195" t="s">
        <v>2816</v>
      </c>
    </row>
    <row r="2196" spans="1:6" x14ac:dyDescent="0.2">
      <c r="A2196" t="s">
        <v>2814</v>
      </c>
      <c r="B2196" t="s">
        <v>2922</v>
      </c>
      <c r="C2196">
        <v>14110978</v>
      </c>
      <c r="D2196" t="s">
        <v>108</v>
      </c>
      <c r="E2196" s="134">
        <v>36.49</v>
      </c>
      <c r="F2196" t="s">
        <v>2816</v>
      </c>
    </row>
    <row r="2197" spans="1:6" x14ac:dyDescent="0.2">
      <c r="A2197" t="s">
        <v>2814</v>
      </c>
      <c r="B2197" t="s">
        <v>2922</v>
      </c>
      <c r="C2197">
        <v>14111143</v>
      </c>
      <c r="D2197" t="s">
        <v>109</v>
      </c>
      <c r="E2197" s="134">
        <v>36.49</v>
      </c>
      <c r="F2197" t="s">
        <v>2816</v>
      </c>
    </row>
    <row r="2198" spans="1:6" x14ac:dyDescent="0.2">
      <c r="A2198" t="s">
        <v>2814</v>
      </c>
      <c r="B2198" t="s">
        <v>2922</v>
      </c>
      <c r="C2198">
        <v>14111266</v>
      </c>
      <c r="D2198" t="s">
        <v>110</v>
      </c>
      <c r="E2198" s="134">
        <v>36.49</v>
      </c>
      <c r="F2198" t="s">
        <v>2816</v>
      </c>
    </row>
    <row r="2199" spans="1:6" x14ac:dyDescent="0.2">
      <c r="A2199" t="s">
        <v>2814</v>
      </c>
      <c r="B2199" t="s">
        <v>2922</v>
      </c>
      <c r="C2199">
        <v>14111557</v>
      </c>
      <c r="D2199" t="s">
        <v>111</v>
      </c>
      <c r="E2199" s="134">
        <v>36.49</v>
      </c>
      <c r="F2199" t="s">
        <v>2816</v>
      </c>
    </row>
    <row r="2200" spans="1:6" x14ac:dyDescent="0.2">
      <c r="A2200" t="s">
        <v>2814</v>
      </c>
      <c r="B2200" t="s">
        <v>2922</v>
      </c>
      <c r="C2200">
        <v>14111754</v>
      </c>
      <c r="D2200" t="s">
        <v>311</v>
      </c>
      <c r="E2200" s="134">
        <v>36.49</v>
      </c>
      <c r="F2200" t="s">
        <v>2816</v>
      </c>
    </row>
    <row r="2201" spans="1:6" x14ac:dyDescent="0.2">
      <c r="A2201" t="s">
        <v>2814</v>
      </c>
      <c r="B2201" t="s">
        <v>2922</v>
      </c>
      <c r="C2201">
        <v>14112026</v>
      </c>
      <c r="D2201" t="s">
        <v>113</v>
      </c>
      <c r="E2201" s="134">
        <v>36.49</v>
      </c>
      <c r="F2201" t="s">
        <v>2816</v>
      </c>
    </row>
    <row r="2202" spans="1:6" x14ac:dyDescent="0.2">
      <c r="A2202" t="s">
        <v>2814</v>
      </c>
      <c r="B2202" t="s">
        <v>2922</v>
      </c>
      <c r="C2202">
        <v>14112174</v>
      </c>
      <c r="D2202" t="s">
        <v>114</v>
      </c>
      <c r="E2202" s="134">
        <v>36.49</v>
      </c>
      <c r="F2202" t="s">
        <v>2816</v>
      </c>
    </row>
    <row r="2203" spans="1:6" x14ac:dyDescent="0.2">
      <c r="A2203" t="s">
        <v>2814</v>
      </c>
      <c r="B2203" t="s">
        <v>2922</v>
      </c>
      <c r="C2203">
        <v>14112292</v>
      </c>
      <c r="D2203" t="s">
        <v>190</v>
      </c>
      <c r="E2203" s="134">
        <v>36.49</v>
      </c>
      <c r="F2203" t="s">
        <v>2816</v>
      </c>
    </row>
    <row r="2204" spans="1:6" x14ac:dyDescent="0.2">
      <c r="A2204" t="s">
        <v>2814</v>
      </c>
      <c r="B2204" t="s">
        <v>2922</v>
      </c>
      <c r="C2204">
        <v>14112449</v>
      </c>
      <c r="D2204" t="s">
        <v>192</v>
      </c>
      <c r="E2204" s="134">
        <v>36.49</v>
      </c>
      <c r="F2204" t="s">
        <v>2816</v>
      </c>
    </row>
    <row r="2205" spans="1:6" x14ac:dyDescent="0.2">
      <c r="A2205" t="s">
        <v>2814</v>
      </c>
      <c r="B2205" t="s">
        <v>2922</v>
      </c>
      <c r="C2205">
        <v>14112591</v>
      </c>
      <c r="D2205" t="s">
        <v>115</v>
      </c>
      <c r="E2205" s="134">
        <v>36.49</v>
      </c>
      <c r="F2205" t="s">
        <v>2816</v>
      </c>
    </row>
    <row r="2206" spans="1:6" x14ac:dyDescent="0.2">
      <c r="A2206" t="s">
        <v>2814</v>
      </c>
      <c r="B2206" t="s">
        <v>2922</v>
      </c>
      <c r="C2206">
        <v>14112592</v>
      </c>
      <c r="D2206" t="s">
        <v>116</v>
      </c>
      <c r="E2206" s="134">
        <v>36.49</v>
      </c>
      <c r="F2206" t="s">
        <v>2816</v>
      </c>
    </row>
    <row r="2207" spans="1:6" x14ac:dyDescent="0.2">
      <c r="A2207" t="s">
        <v>2814</v>
      </c>
      <c r="B2207" t="s">
        <v>2922</v>
      </c>
      <c r="C2207">
        <v>14112595</v>
      </c>
      <c r="D2207" t="s">
        <v>365</v>
      </c>
      <c r="E2207" s="134">
        <v>36.49</v>
      </c>
      <c r="F2207" t="s">
        <v>2816</v>
      </c>
    </row>
    <row r="2208" spans="1:6" x14ac:dyDescent="0.2">
      <c r="A2208" t="s">
        <v>2814</v>
      </c>
      <c r="B2208" t="s">
        <v>2922</v>
      </c>
      <c r="C2208">
        <v>14112597</v>
      </c>
      <c r="D2208" t="s">
        <v>117</v>
      </c>
      <c r="E2208" s="134">
        <v>36.49</v>
      </c>
      <c r="F2208" t="s">
        <v>2816</v>
      </c>
    </row>
    <row r="2209" spans="1:6" x14ac:dyDescent="0.2">
      <c r="A2209" t="s">
        <v>2814</v>
      </c>
      <c r="B2209" t="s">
        <v>2922</v>
      </c>
      <c r="C2209">
        <v>14112602</v>
      </c>
      <c r="D2209" t="s">
        <v>118</v>
      </c>
      <c r="E2209" s="134">
        <v>36.49</v>
      </c>
      <c r="F2209" t="s">
        <v>2816</v>
      </c>
    </row>
    <row r="2210" spans="1:6" x14ac:dyDescent="0.2">
      <c r="A2210" t="s">
        <v>2814</v>
      </c>
      <c r="B2210" t="s">
        <v>2922</v>
      </c>
      <c r="C2210">
        <v>14112603</v>
      </c>
      <c r="D2210" t="s">
        <v>119</v>
      </c>
      <c r="E2210" s="134">
        <v>36.49</v>
      </c>
      <c r="F2210" t="s">
        <v>2816</v>
      </c>
    </row>
    <row r="2211" spans="1:6" x14ac:dyDescent="0.2">
      <c r="A2211" t="s">
        <v>2814</v>
      </c>
      <c r="B2211" t="s">
        <v>2922</v>
      </c>
      <c r="C2211">
        <v>14112605</v>
      </c>
      <c r="D2211" t="s">
        <v>120</v>
      </c>
      <c r="E2211" s="134">
        <v>36.49</v>
      </c>
      <c r="F2211" t="s">
        <v>2816</v>
      </c>
    </row>
    <row r="2212" spans="1:6" x14ac:dyDescent="0.2">
      <c r="A2212" t="s">
        <v>2814</v>
      </c>
      <c r="B2212" t="s">
        <v>2922</v>
      </c>
      <c r="C2212">
        <v>14112630</v>
      </c>
      <c r="D2212" t="s">
        <v>121</v>
      </c>
      <c r="E2212" s="134">
        <v>36.49</v>
      </c>
      <c r="F2212" t="s">
        <v>2816</v>
      </c>
    </row>
    <row r="2213" spans="1:6" x14ac:dyDescent="0.2">
      <c r="A2213" t="s">
        <v>2814</v>
      </c>
      <c r="B2213" t="s">
        <v>2922</v>
      </c>
      <c r="C2213">
        <v>14112757</v>
      </c>
      <c r="D2213" t="s">
        <v>348</v>
      </c>
      <c r="E2213" s="134">
        <v>36.49</v>
      </c>
      <c r="F2213" t="s">
        <v>2816</v>
      </c>
    </row>
    <row r="2214" spans="1:6" x14ac:dyDescent="0.2">
      <c r="A2214" t="s">
        <v>2814</v>
      </c>
      <c r="B2214" t="s">
        <v>2922</v>
      </c>
      <c r="C2214">
        <v>14113054</v>
      </c>
      <c r="D2214" t="s">
        <v>122</v>
      </c>
      <c r="E2214" s="134">
        <v>36.49</v>
      </c>
      <c r="F2214" t="s">
        <v>2816</v>
      </c>
    </row>
    <row r="2215" spans="1:6" x14ac:dyDescent="0.2">
      <c r="A2215" t="s">
        <v>2814</v>
      </c>
      <c r="B2215" t="s">
        <v>2922</v>
      </c>
      <c r="C2215">
        <v>14113140</v>
      </c>
      <c r="D2215" t="s">
        <v>123</v>
      </c>
      <c r="E2215" s="134">
        <v>36.49</v>
      </c>
      <c r="F2215" t="s">
        <v>2816</v>
      </c>
    </row>
    <row r="2216" spans="1:6" x14ac:dyDescent="0.2">
      <c r="A2216" t="s">
        <v>2814</v>
      </c>
      <c r="B2216" t="s">
        <v>2922</v>
      </c>
      <c r="C2216">
        <v>14113200</v>
      </c>
      <c r="D2216" t="s">
        <v>125</v>
      </c>
      <c r="E2216" s="134">
        <v>36.49</v>
      </c>
      <c r="F2216" t="s">
        <v>2816</v>
      </c>
    </row>
    <row r="2217" spans="1:6" x14ac:dyDescent="0.2">
      <c r="A2217" t="s">
        <v>2814</v>
      </c>
      <c r="B2217" t="s">
        <v>2922</v>
      </c>
      <c r="C2217">
        <v>14113311</v>
      </c>
      <c r="D2217" t="s">
        <v>126</v>
      </c>
      <c r="E2217" s="134">
        <v>36.49</v>
      </c>
      <c r="F2217" t="s">
        <v>2816</v>
      </c>
    </row>
    <row r="2218" spans="1:6" x14ac:dyDescent="0.2">
      <c r="A2218" t="s">
        <v>2814</v>
      </c>
      <c r="B2218" t="s">
        <v>2922</v>
      </c>
      <c r="C2218">
        <v>14113320</v>
      </c>
      <c r="D2218" t="s">
        <v>127</v>
      </c>
      <c r="E2218" s="134">
        <v>36.49</v>
      </c>
      <c r="F2218" t="s">
        <v>2816</v>
      </c>
    </row>
    <row r="2219" spans="1:6" x14ac:dyDescent="0.2">
      <c r="A2219" t="s">
        <v>2814</v>
      </c>
      <c r="B2219" t="s">
        <v>2922</v>
      </c>
      <c r="C2219">
        <v>14113349</v>
      </c>
      <c r="D2219" t="s">
        <v>128</v>
      </c>
      <c r="E2219" s="134">
        <v>36.49</v>
      </c>
      <c r="F2219" t="s">
        <v>2816</v>
      </c>
    </row>
    <row r="2220" spans="1:6" x14ac:dyDescent="0.2">
      <c r="A2220" t="s">
        <v>2814</v>
      </c>
      <c r="B2220" t="s">
        <v>2922</v>
      </c>
      <c r="C2220">
        <v>14113562</v>
      </c>
      <c r="D2220" t="s">
        <v>393</v>
      </c>
      <c r="E2220" s="134">
        <v>36.49</v>
      </c>
      <c r="F2220" t="s">
        <v>2816</v>
      </c>
    </row>
    <row r="2221" spans="1:6" x14ac:dyDescent="0.2">
      <c r="A2221" t="s">
        <v>2814</v>
      </c>
      <c r="B2221" t="s">
        <v>2922</v>
      </c>
      <c r="C2221">
        <v>14113619</v>
      </c>
      <c r="D2221" t="s">
        <v>130</v>
      </c>
      <c r="E2221" s="134">
        <v>36.49</v>
      </c>
      <c r="F2221" t="s">
        <v>2816</v>
      </c>
    </row>
    <row r="2222" spans="1:6" x14ac:dyDescent="0.2">
      <c r="A2222" t="s">
        <v>2814</v>
      </c>
      <c r="B2222" t="s">
        <v>2922</v>
      </c>
      <c r="C2222">
        <v>14113837</v>
      </c>
      <c r="D2222" t="s">
        <v>131</v>
      </c>
      <c r="E2222" s="134">
        <v>15.64</v>
      </c>
      <c r="F2222" t="s">
        <v>2816</v>
      </c>
    </row>
    <row r="2223" spans="1:6" x14ac:dyDescent="0.2">
      <c r="A2223" t="s">
        <v>2814</v>
      </c>
      <c r="B2223" t="s">
        <v>2922</v>
      </c>
      <c r="C2223">
        <v>14114030</v>
      </c>
      <c r="D2223" t="s">
        <v>132</v>
      </c>
      <c r="E2223" s="134">
        <v>36.49</v>
      </c>
      <c r="F2223" t="s">
        <v>2816</v>
      </c>
    </row>
    <row r="2224" spans="1:6" x14ac:dyDescent="0.2">
      <c r="A2224" t="s">
        <v>2814</v>
      </c>
      <c r="B2224" t="s">
        <v>2922</v>
      </c>
      <c r="C2224">
        <v>14114037</v>
      </c>
      <c r="D2224" t="s">
        <v>180</v>
      </c>
      <c r="E2224" s="134">
        <v>36.49</v>
      </c>
      <c r="F2224" t="s">
        <v>2816</v>
      </c>
    </row>
    <row r="2225" spans="1:6" x14ac:dyDescent="0.2">
      <c r="A2225" t="s">
        <v>2814</v>
      </c>
      <c r="B2225" t="s">
        <v>2922</v>
      </c>
      <c r="C2225">
        <v>14114062</v>
      </c>
      <c r="D2225" t="s">
        <v>133</v>
      </c>
      <c r="E2225" s="134">
        <v>36.49</v>
      </c>
      <c r="F2225" t="s">
        <v>2816</v>
      </c>
    </row>
    <row r="2226" spans="1:6" x14ac:dyDescent="0.2">
      <c r="A2226" t="s">
        <v>2814</v>
      </c>
      <c r="B2226" t="s">
        <v>2922</v>
      </c>
      <c r="C2226">
        <v>14114324</v>
      </c>
      <c r="D2226" t="s">
        <v>341</v>
      </c>
      <c r="E2226" s="134">
        <v>36.49</v>
      </c>
      <c r="F2226" t="s">
        <v>2816</v>
      </c>
    </row>
    <row r="2227" spans="1:6" x14ac:dyDescent="0.2">
      <c r="A2227" t="s">
        <v>2814</v>
      </c>
      <c r="B2227" t="s">
        <v>2922</v>
      </c>
      <c r="C2227">
        <v>14114330</v>
      </c>
      <c r="D2227" t="s">
        <v>134</v>
      </c>
      <c r="E2227" s="134">
        <v>36.49</v>
      </c>
      <c r="F2227" t="s">
        <v>2816</v>
      </c>
    </row>
    <row r="2228" spans="1:6" x14ac:dyDescent="0.2">
      <c r="A2228" t="s">
        <v>2814</v>
      </c>
      <c r="B2228" t="s">
        <v>2922</v>
      </c>
      <c r="C2228">
        <v>14114431</v>
      </c>
      <c r="D2228" t="s">
        <v>135</v>
      </c>
      <c r="E2228" s="134">
        <v>36.49</v>
      </c>
      <c r="F2228" t="s">
        <v>2816</v>
      </c>
    </row>
    <row r="2229" spans="1:6" x14ac:dyDescent="0.2">
      <c r="A2229" t="s">
        <v>2814</v>
      </c>
      <c r="B2229" t="s">
        <v>2922</v>
      </c>
      <c r="C2229">
        <v>14114665</v>
      </c>
      <c r="D2229" t="s">
        <v>136</v>
      </c>
      <c r="E2229" s="134">
        <v>36.49</v>
      </c>
      <c r="F2229" t="s">
        <v>2816</v>
      </c>
    </row>
    <row r="2230" spans="1:6" x14ac:dyDescent="0.2">
      <c r="A2230" t="s">
        <v>2814</v>
      </c>
      <c r="B2230" t="s">
        <v>2922</v>
      </c>
      <c r="C2230">
        <v>14114667</v>
      </c>
      <c r="D2230" t="s">
        <v>137</v>
      </c>
      <c r="E2230" s="134">
        <v>36.49</v>
      </c>
      <c r="F2230" t="s">
        <v>2816</v>
      </c>
    </row>
    <row r="2231" spans="1:6" x14ac:dyDescent="0.2">
      <c r="A2231" t="s">
        <v>2814</v>
      </c>
      <c r="B2231" t="s">
        <v>2922</v>
      </c>
      <c r="C2231">
        <v>14114709</v>
      </c>
      <c r="D2231" t="s">
        <v>138</v>
      </c>
      <c r="E2231" s="134">
        <v>36.49</v>
      </c>
      <c r="F2231" t="s">
        <v>2816</v>
      </c>
    </row>
    <row r="2232" spans="1:6" x14ac:dyDescent="0.2">
      <c r="A2232" t="s">
        <v>2814</v>
      </c>
      <c r="B2232" t="s">
        <v>2922</v>
      </c>
      <c r="C2232">
        <v>14115136</v>
      </c>
      <c r="D2232" t="s">
        <v>140</v>
      </c>
      <c r="E2232" s="134">
        <v>36.49</v>
      </c>
      <c r="F2232" t="s">
        <v>2816</v>
      </c>
    </row>
    <row r="2233" spans="1:6" x14ac:dyDescent="0.2">
      <c r="A2233" t="s">
        <v>2814</v>
      </c>
      <c r="B2233" t="s">
        <v>2922</v>
      </c>
      <c r="C2233">
        <v>14115536</v>
      </c>
      <c r="D2233" t="s">
        <v>144</v>
      </c>
      <c r="E2233" s="134">
        <v>36.49</v>
      </c>
      <c r="F2233" t="s">
        <v>2816</v>
      </c>
    </row>
    <row r="2234" spans="1:6" x14ac:dyDescent="0.2">
      <c r="A2234" t="s">
        <v>2814</v>
      </c>
      <c r="B2234" t="s">
        <v>2922</v>
      </c>
      <c r="C2234">
        <v>14115630</v>
      </c>
      <c r="D2234" t="s">
        <v>146</v>
      </c>
      <c r="E2234" s="134">
        <v>36.49</v>
      </c>
      <c r="F2234" t="s">
        <v>2816</v>
      </c>
    </row>
    <row r="2235" spans="1:6" x14ac:dyDescent="0.2">
      <c r="A2235" t="s">
        <v>2814</v>
      </c>
      <c r="B2235" t="s">
        <v>2922</v>
      </c>
      <c r="C2235">
        <v>14115830</v>
      </c>
      <c r="D2235" t="s">
        <v>149</v>
      </c>
      <c r="E2235" s="134">
        <v>36.49</v>
      </c>
      <c r="F2235" t="s">
        <v>2816</v>
      </c>
    </row>
    <row r="2236" spans="1:6" x14ac:dyDescent="0.2">
      <c r="A2236" t="s">
        <v>2814</v>
      </c>
      <c r="B2236" t="s">
        <v>2922</v>
      </c>
      <c r="C2236">
        <v>14115908</v>
      </c>
      <c r="D2236" t="s">
        <v>150</v>
      </c>
      <c r="E2236" s="134">
        <v>36.49</v>
      </c>
      <c r="F2236" t="s">
        <v>2816</v>
      </c>
    </row>
    <row r="2237" spans="1:6" x14ac:dyDescent="0.2">
      <c r="A2237" t="s">
        <v>2814</v>
      </c>
      <c r="B2237" t="s">
        <v>2922</v>
      </c>
      <c r="C2237">
        <v>14115909</v>
      </c>
      <c r="D2237" t="s">
        <v>335</v>
      </c>
      <c r="E2237" s="134">
        <v>36.49</v>
      </c>
      <c r="F2237" t="s">
        <v>2816</v>
      </c>
    </row>
    <row r="2238" spans="1:6" x14ac:dyDescent="0.2">
      <c r="A2238" t="s">
        <v>2814</v>
      </c>
      <c r="B2238" t="s">
        <v>2922</v>
      </c>
      <c r="C2238">
        <v>14115917</v>
      </c>
      <c r="D2238" t="s">
        <v>151</v>
      </c>
      <c r="E2238" s="134">
        <v>36.49</v>
      </c>
      <c r="F2238" t="s">
        <v>2816</v>
      </c>
    </row>
    <row r="2239" spans="1:6" x14ac:dyDescent="0.2">
      <c r="A2239" t="s">
        <v>2814</v>
      </c>
      <c r="B2239" t="s">
        <v>2922</v>
      </c>
      <c r="C2239">
        <v>14116000</v>
      </c>
      <c r="D2239" t="s">
        <v>152</v>
      </c>
      <c r="E2239" s="134">
        <v>36.49</v>
      </c>
      <c r="F2239" t="s">
        <v>2816</v>
      </c>
    </row>
    <row r="2240" spans="1:6" x14ac:dyDescent="0.2">
      <c r="A2240" t="s">
        <v>2814</v>
      </c>
      <c r="B2240" t="s">
        <v>2922</v>
      </c>
      <c r="C2240">
        <v>14116046</v>
      </c>
      <c r="D2240" t="s">
        <v>153</v>
      </c>
      <c r="E2240" s="134">
        <v>36.49</v>
      </c>
      <c r="F2240" t="s">
        <v>2816</v>
      </c>
    </row>
    <row r="2241" spans="1:6" x14ac:dyDescent="0.2">
      <c r="A2241" t="s">
        <v>2814</v>
      </c>
      <c r="B2241" t="s">
        <v>2922</v>
      </c>
      <c r="C2241">
        <v>14116058</v>
      </c>
      <c r="D2241" t="s">
        <v>154</v>
      </c>
      <c r="E2241" s="134">
        <v>36.49</v>
      </c>
      <c r="F2241" t="s">
        <v>2816</v>
      </c>
    </row>
    <row r="2242" spans="1:6" x14ac:dyDescent="0.2">
      <c r="A2242" t="s">
        <v>2814</v>
      </c>
      <c r="B2242" t="s">
        <v>2922</v>
      </c>
      <c r="C2242">
        <v>14116262</v>
      </c>
      <c r="D2242" t="s">
        <v>157</v>
      </c>
      <c r="E2242" s="134">
        <v>36.49</v>
      </c>
      <c r="F2242" t="s">
        <v>2816</v>
      </c>
    </row>
    <row r="2243" spans="1:6" x14ac:dyDescent="0.2">
      <c r="A2243" t="s">
        <v>2814</v>
      </c>
      <c r="B2243" t="s">
        <v>2922</v>
      </c>
      <c r="C2243">
        <v>14116295</v>
      </c>
      <c r="D2243" t="s">
        <v>158</v>
      </c>
      <c r="E2243" s="134">
        <v>36.49</v>
      </c>
      <c r="F2243" t="s">
        <v>2816</v>
      </c>
    </row>
    <row r="2244" spans="1:6" x14ac:dyDescent="0.2">
      <c r="A2244" t="s">
        <v>2814</v>
      </c>
      <c r="B2244" t="s">
        <v>2922</v>
      </c>
      <c r="C2244">
        <v>14116373</v>
      </c>
      <c r="D2244" t="s">
        <v>161</v>
      </c>
      <c r="E2244" s="134">
        <v>36.49</v>
      </c>
      <c r="F2244" t="s">
        <v>2816</v>
      </c>
    </row>
    <row r="2245" spans="1:6" x14ac:dyDescent="0.2">
      <c r="A2245" t="s">
        <v>2814</v>
      </c>
      <c r="B2245" t="s">
        <v>2922</v>
      </c>
      <c r="C2245">
        <v>14116431</v>
      </c>
      <c r="D2245" t="s">
        <v>162</v>
      </c>
      <c r="E2245" s="134">
        <v>36.49</v>
      </c>
      <c r="F2245" t="s">
        <v>2816</v>
      </c>
    </row>
    <row r="2246" spans="1:6" x14ac:dyDescent="0.2">
      <c r="A2246" t="s">
        <v>2814</v>
      </c>
      <c r="B2246" t="s">
        <v>2922</v>
      </c>
      <c r="C2246">
        <v>14116433</v>
      </c>
      <c r="D2246" t="s">
        <v>163</v>
      </c>
      <c r="E2246" s="134">
        <v>36.49</v>
      </c>
      <c r="F2246" t="s">
        <v>2816</v>
      </c>
    </row>
    <row r="2247" spans="1:6" x14ac:dyDescent="0.2">
      <c r="A2247" t="s">
        <v>2814</v>
      </c>
      <c r="B2247" t="s">
        <v>2922</v>
      </c>
      <c r="C2247">
        <v>14116504</v>
      </c>
      <c r="D2247" t="s">
        <v>164</v>
      </c>
      <c r="E2247" s="134">
        <v>36.49</v>
      </c>
      <c r="F2247" t="s">
        <v>2816</v>
      </c>
    </row>
    <row r="2248" spans="1:6" x14ac:dyDescent="0.2">
      <c r="A2248" t="s">
        <v>2814</v>
      </c>
      <c r="B2248" t="s">
        <v>2922</v>
      </c>
      <c r="C2248">
        <v>14116564</v>
      </c>
      <c r="D2248" t="s">
        <v>166</v>
      </c>
      <c r="E2248" s="134">
        <v>36.49</v>
      </c>
      <c r="F2248" t="s">
        <v>2816</v>
      </c>
    </row>
    <row r="2249" spans="1:6" x14ac:dyDescent="0.2">
      <c r="A2249" t="s">
        <v>2814</v>
      </c>
      <c r="B2249" t="s">
        <v>2922</v>
      </c>
      <c r="C2249">
        <v>14116600</v>
      </c>
      <c r="D2249" t="s">
        <v>167</v>
      </c>
      <c r="E2249" s="134">
        <v>36.49</v>
      </c>
      <c r="F2249" t="s">
        <v>2816</v>
      </c>
    </row>
    <row r="2250" spans="1:6" x14ac:dyDescent="0.2">
      <c r="A2250" t="s">
        <v>2814</v>
      </c>
      <c r="B2250" t="s">
        <v>2922</v>
      </c>
      <c r="C2250">
        <v>14116723</v>
      </c>
      <c r="D2250" t="s">
        <v>168</v>
      </c>
      <c r="E2250" s="134">
        <v>36.49</v>
      </c>
      <c r="F2250" t="s">
        <v>2816</v>
      </c>
    </row>
    <row r="2251" spans="1:6" x14ac:dyDescent="0.2">
      <c r="A2251" t="s">
        <v>2814</v>
      </c>
      <c r="B2251" t="s">
        <v>2922</v>
      </c>
      <c r="C2251">
        <v>14116855</v>
      </c>
      <c r="D2251" t="s">
        <v>169</v>
      </c>
      <c r="E2251" s="134">
        <v>36.49</v>
      </c>
      <c r="F2251" t="s">
        <v>2816</v>
      </c>
    </row>
    <row r="2252" spans="1:6" x14ac:dyDescent="0.2">
      <c r="A2252" t="s">
        <v>2814</v>
      </c>
      <c r="B2252" t="s">
        <v>2922</v>
      </c>
      <c r="C2252">
        <v>14116917</v>
      </c>
      <c r="D2252" t="s">
        <v>171</v>
      </c>
      <c r="E2252" s="134">
        <v>36.49</v>
      </c>
      <c r="F2252" t="s">
        <v>2816</v>
      </c>
    </row>
    <row r="2253" spans="1:6" x14ac:dyDescent="0.2">
      <c r="A2253" t="s">
        <v>2814</v>
      </c>
      <c r="B2253" t="s">
        <v>2922</v>
      </c>
      <c r="C2253">
        <v>14116929</v>
      </c>
      <c r="D2253" t="s">
        <v>366</v>
      </c>
      <c r="E2253" s="134">
        <v>36.49</v>
      </c>
      <c r="F2253" t="s">
        <v>2816</v>
      </c>
    </row>
    <row r="2254" spans="1:6" x14ac:dyDescent="0.2">
      <c r="A2254" t="s">
        <v>2814</v>
      </c>
      <c r="B2254" t="s">
        <v>2922</v>
      </c>
      <c r="C2254">
        <v>14117160</v>
      </c>
      <c r="D2254" t="s">
        <v>173</v>
      </c>
      <c r="E2254" s="134">
        <v>36.49</v>
      </c>
      <c r="F2254" t="s">
        <v>2816</v>
      </c>
    </row>
    <row r="2255" spans="1:6" x14ac:dyDescent="0.2">
      <c r="A2255" t="s">
        <v>2814</v>
      </c>
      <c r="B2255" t="s">
        <v>2922</v>
      </c>
      <c r="C2255">
        <v>14117297</v>
      </c>
      <c r="D2255" t="s">
        <v>174</v>
      </c>
      <c r="E2255" s="134">
        <v>36.49</v>
      </c>
      <c r="F2255" t="s">
        <v>2816</v>
      </c>
    </row>
    <row r="2256" spans="1:6" x14ac:dyDescent="0.2">
      <c r="A2256" t="s">
        <v>2814</v>
      </c>
      <c r="B2256" t="s">
        <v>2922</v>
      </c>
      <c r="C2256">
        <v>14117400</v>
      </c>
      <c r="D2256" t="s">
        <v>175</v>
      </c>
      <c r="E2256" s="134">
        <v>36.49</v>
      </c>
      <c r="F2256" t="s">
        <v>2816</v>
      </c>
    </row>
    <row r="2257" spans="1:6" x14ac:dyDescent="0.2">
      <c r="A2257" t="s">
        <v>2814</v>
      </c>
      <c r="B2257" t="s">
        <v>2922</v>
      </c>
      <c r="C2257">
        <v>14117542</v>
      </c>
      <c r="D2257" t="s">
        <v>176</v>
      </c>
      <c r="E2257" s="134">
        <v>36.49</v>
      </c>
      <c r="F2257" t="s">
        <v>2816</v>
      </c>
    </row>
    <row r="2258" spans="1:6" x14ac:dyDescent="0.2">
      <c r="A2258" t="s">
        <v>2814</v>
      </c>
      <c r="B2258" t="s">
        <v>2922</v>
      </c>
      <c r="C2258">
        <v>14117647</v>
      </c>
      <c r="D2258" t="s">
        <v>177</v>
      </c>
      <c r="E2258" s="134">
        <v>36.49</v>
      </c>
      <c r="F2258" t="s">
        <v>2816</v>
      </c>
    </row>
    <row r="2259" spans="1:6" x14ac:dyDescent="0.2">
      <c r="A2259" t="s">
        <v>2814</v>
      </c>
      <c r="B2259" t="s">
        <v>2922</v>
      </c>
      <c r="C2259">
        <v>14117905</v>
      </c>
      <c r="D2259" t="s">
        <v>398</v>
      </c>
      <c r="E2259" s="134">
        <v>36.49</v>
      </c>
      <c r="F2259" t="s">
        <v>2816</v>
      </c>
    </row>
    <row r="2260" spans="1:6" x14ac:dyDescent="0.2">
      <c r="A2260" t="s">
        <v>2814</v>
      </c>
      <c r="B2260" t="s">
        <v>2922</v>
      </c>
      <c r="C2260">
        <v>14117967</v>
      </c>
      <c r="D2260" t="s">
        <v>182</v>
      </c>
      <c r="E2260" s="134">
        <v>36.49</v>
      </c>
      <c r="F2260" t="s">
        <v>2816</v>
      </c>
    </row>
    <row r="2261" spans="1:6" x14ac:dyDescent="0.2">
      <c r="A2261" t="s">
        <v>2814</v>
      </c>
      <c r="B2261" t="s">
        <v>2922</v>
      </c>
      <c r="C2261">
        <v>14117986</v>
      </c>
      <c r="D2261" t="s">
        <v>184</v>
      </c>
      <c r="E2261" s="134">
        <v>36.49</v>
      </c>
      <c r="F2261" t="s">
        <v>2816</v>
      </c>
    </row>
    <row r="2262" spans="1:6" x14ac:dyDescent="0.2">
      <c r="A2262" t="s">
        <v>2814</v>
      </c>
      <c r="B2262" t="s">
        <v>2922</v>
      </c>
      <c r="C2262">
        <v>14118186</v>
      </c>
      <c r="D2262" t="s">
        <v>187</v>
      </c>
      <c r="E2262" s="134">
        <v>36.49</v>
      </c>
      <c r="F2262" t="s">
        <v>2816</v>
      </c>
    </row>
    <row r="2263" spans="1:6" x14ac:dyDescent="0.2">
      <c r="A2263" t="s">
        <v>2814</v>
      </c>
      <c r="B2263" t="s">
        <v>2922</v>
      </c>
      <c r="C2263">
        <v>14118196</v>
      </c>
      <c r="D2263" t="s">
        <v>188</v>
      </c>
      <c r="E2263" s="134">
        <v>36.49</v>
      </c>
      <c r="F2263" t="s">
        <v>2816</v>
      </c>
    </row>
    <row r="2264" spans="1:6" x14ac:dyDescent="0.2">
      <c r="A2264" t="s">
        <v>2814</v>
      </c>
      <c r="B2264" t="s">
        <v>2922</v>
      </c>
      <c r="C2264">
        <v>14118210</v>
      </c>
      <c r="D2264" t="s">
        <v>189</v>
      </c>
      <c r="E2264" s="134">
        <v>36.49</v>
      </c>
      <c r="F2264" t="s">
        <v>2816</v>
      </c>
    </row>
    <row r="2265" spans="1:6" x14ac:dyDescent="0.2">
      <c r="A2265" t="s">
        <v>2814</v>
      </c>
      <c r="B2265" t="s">
        <v>2922</v>
      </c>
      <c r="C2265">
        <v>14118397</v>
      </c>
      <c r="D2265" t="s">
        <v>196</v>
      </c>
      <c r="E2265" s="134">
        <v>36.49</v>
      </c>
      <c r="F2265" t="s">
        <v>2816</v>
      </c>
    </row>
    <row r="2266" spans="1:6" x14ac:dyDescent="0.2">
      <c r="A2266" t="s">
        <v>2814</v>
      </c>
      <c r="B2266" t="s">
        <v>2922</v>
      </c>
      <c r="C2266">
        <v>14118440</v>
      </c>
      <c r="D2266" t="s">
        <v>197</v>
      </c>
      <c r="E2266" s="134">
        <v>36.49</v>
      </c>
      <c r="F2266" t="s">
        <v>2816</v>
      </c>
    </row>
    <row r="2267" spans="1:6" x14ac:dyDescent="0.2">
      <c r="A2267" t="s">
        <v>2814</v>
      </c>
      <c r="B2267" t="s">
        <v>2922</v>
      </c>
      <c r="C2267">
        <v>14118499</v>
      </c>
      <c r="D2267" t="s">
        <v>198</v>
      </c>
      <c r="E2267" s="134">
        <v>36.49</v>
      </c>
      <c r="F2267" t="s">
        <v>2816</v>
      </c>
    </row>
    <row r="2268" spans="1:6" x14ac:dyDescent="0.2">
      <c r="A2268" t="s">
        <v>2814</v>
      </c>
      <c r="B2268" t="s">
        <v>2922</v>
      </c>
      <c r="C2268">
        <v>14118518</v>
      </c>
      <c r="D2268" t="s">
        <v>200</v>
      </c>
      <c r="E2268" s="134">
        <v>36.49</v>
      </c>
      <c r="F2268" t="s">
        <v>2816</v>
      </c>
    </row>
    <row r="2269" spans="1:6" x14ac:dyDescent="0.2">
      <c r="A2269" t="s">
        <v>2814</v>
      </c>
      <c r="B2269" t="s">
        <v>2922</v>
      </c>
      <c r="C2269">
        <v>14118640</v>
      </c>
      <c r="D2269" t="s">
        <v>205</v>
      </c>
      <c r="E2269" s="134">
        <v>36.49</v>
      </c>
      <c r="F2269" t="s">
        <v>2816</v>
      </c>
    </row>
    <row r="2270" spans="1:6" x14ac:dyDescent="0.2">
      <c r="A2270" t="s">
        <v>2814</v>
      </c>
      <c r="B2270" t="s">
        <v>2922</v>
      </c>
      <c r="C2270">
        <v>14121571</v>
      </c>
      <c r="D2270" t="s">
        <v>336</v>
      </c>
      <c r="E2270" s="134">
        <v>36.49</v>
      </c>
      <c r="F2270" t="s">
        <v>2816</v>
      </c>
    </row>
    <row r="2271" spans="1:6" x14ac:dyDescent="0.2">
      <c r="A2271" t="s">
        <v>2814</v>
      </c>
      <c r="B2271" t="s">
        <v>2922</v>
      </c>
      <c r="C2271">
        <v>14121582</v>
      </c>
      <c r="D2271" t="s">
        <v>337</v>
      </c>
      <c r="E2271" s="134">
        <v>36.49</v>
      </c>
      <c r="F2271" t="s">
        <v>2816</v>
      </c>
    </row>
    <row r="2272" spans="1:6" x14ac:dyDescent="0.2">
      <c r="A2272" t="s">
        <v>2814</v>
      </c>
      <c r="B2272" t="s">
        <v>2922</v>
      </c>
      <c r="C2272">
        <v>14121672</v>
      </c>
      <c r="D2272" t="s">
        <v>342</v>
      </c>
      <c r="E2272" s="134">
        <v>36.49</v>
      </c>
      <c r="F2272" t="s">
        <v>2816</v>
      </c>
    </row>
    <row r="2273" spans="1:6" x14ac:dyDescent="0.2">
      <c r="A2273" t="s">
        <v>2814</v>
      </c>
      <c r="B2273" t="s">
        <v>2922</v>
      </c>
      <c r="C2273">
        <v>14121766</v>
      </c>
      <c r="D2273" t="s">
        <v>351</v>
      </c>
      <c r="E2273" s="134">
        <v>36.49</v>
      </c>
      <c r="F2273" t="s">
        <v>2816</v>
      </c>
    </row>
    <row r="2274" spans="1:6" x14ac:dyDescent="0.2">
      <c r="A2274" t="s">
        <v>2814</v>
      </c>
      <c r="B2274" t="s">
        <v>2922</v>
      </c>
      <c r="C2274">
        <v>14121896</v>
      </c>
      <c r="D2274" t="s">
        <v>362</v>
      </c>
      <c r="E2274" s="134">
        <v>36.49</v>
      </c>
      <c r="F2274" t="s">
        <v>2816</v>
      </c>
    </row>
    <row r="2275" spans="1:6" x14ac:dyDescent="0.2">
      <c r="A2275" t="s">
        <v>2814</v>
      </c>
      <c r="B2275" t="s">
        <v>2922</v>
      </c>
      <c r="C2275">
        <v>14121917</v>
      </c>
      <c r="D2275" t="s">
        <v>363</v>
      </c>
      <c r="E2275" s="134">
        <v>36.49</v>
      </c>
      <c r="F2275" t="s">
        <v>2816</v>
      </c>
    </row>
    <row r="2276" spans="1:6" x14ac:dyDescent="0.2">
      <c r="A2276" t="s">
        <v>2814</v>
      </c>
      <c r="B2276" t="s">
        <v>2922</v>
      </c>
      <c r="C2276">
        <v>14122034</v>
      </c>
      <c r="D2276" t="s">
        <v>372</v>
      </c>
      <c r="E2276" s="134">
        <v>36.49</v>
      </c>
      <c r="F2276" t="s">
        <v>2816</v>
      </c>
    </row>
    <row r="2277" spans="1:6" x14ac:dyDescent="0.2">
      <c r="A2277" t="s">
        <v>2814</v>
      </c>
      <c r="B2277" t="s">
        <v>2922</v>
      </c>
      <c r="C2277">
        <v>14122083</v>
      </c>
      <c r="D2277" t="s">
        <v>378</v>
      </c>
      <c r="E2277" s="134">
        <v>36.49</v>
      </c>
      <c r="F2277" t="s">
        <v>2816</v>
      </c>
    </row>
    <row r="2278" spans="1:6" x14ac:dyDescent="0.2">
      <c r="A2278" t="s">
        <v>2814</v>
      </c>
      <c r="B2278" t="s">
        <v>2922</v>
      </c>
      <c r="C2278">
        <v>14122094</v>
      </c>
      <c r="D2278" t="s">
        <v>379</v>
      </c>
      <c r="E2278" s="134">
        <v>36.49</v>
      </c>
      <c r="F2278" t="s">
        <v>2816</v>
      </c>
    </row>
    <row r="2279" spans="1:6" x14ac:dyDescent="0.2">
      <c r="A2279" t="s">
        <v>2814</v>
      </c>
      <c r="B2279" t="s">
        <v>2963</v>
      </c>
      <c r="C2279">
        <v>14118625</v>
      </c>
      <c r="D2279" t="s">
        <v>422</v>
      </c>
      <c r="E2279" s="134">
        <v>110.84</v>
      </c>
      <c r="F2279" t="s">
        <v>2816</v>
      </c>
    </row>
    <row r="2280" spans="1:6" x14ac:dyDescent="0.2">
      <c r="A2280" t="s">
        <v>2814</v>
      </c>
      <c r="B2280" t="s">
        <v>2963</v>
      </c>
      <c r="C2280">
        <v>14122681</v>
      </c>
      <c r="D2280" t="s">
        <v>433</v>
      </c>
      <c r="E2280" s="134">
        <v>110.84</v>
      </c>
      <c r="F2280" t="s">
        <v>2816</v>
      </c>
    </row>
    <row r="2281" spans="1:6" x14ac:dyDescent="0.2">
      <c r="A2281" t="s">
        <v>2814</v>
      </c>
      <c r="B2281" t="s">
        <v>2963</v>
      </c>
      <c r="C2281">
        <v>14122682</v>
      </c>
      <c r="D2281" t="s">
        <v>434</v>
      </c>
      <c r="E2281" s="134">
        <v>110.84</v>
      </c>
      <c r="F2281" t="s">
        <v>2816</v>
      </c>
    </row>
    <row r="2282" spans="1:6" x14ac:dyDescent="0.2">
      <c r="A2282" t="s">
        <v>2814</v>
      </c>
      <c r="B2282" t="s">
        <v>2963</v>
      </c>
      <c r="C2282">
        <v>14123332</v>
      </c>
      <c r="D2282" t="s">
        <v>501</v>
      </c>
      <c r="E2282" s="134">
        <v>110.84</v>
      </c>
      <c r="F2282" t="s">
        <v>2816</v>
      </c>
    </row>
    <row r="2283" spans="1:6" x14ac:dyDescent="0.2">
      <c r="A2283" t="s">
        <v>2814</v>
      </c>
      <c r="B2283" t="s">
        <v>2963</v>
      </c>
      <c r="C2283">
        <v>14103470</v>
      </c>
      <c r="D2283" t="s">
        <v>518</v>
      </c>
      <c r="E2283" s="134">
        <v>117.45</v>
      </c>
      <c r="F2283" t="s">
        <v>2816</v>
      </c>
    </row>
    <row r="2284" spans="1:6" x14ac:dyDescent="0.2">
      <c r="A2284" t="s">
        <v>2814</v>
      </c>
      <c r="B2284" t="s">
        <v>2963</v>
      </c>
      <c r="C2284">
        <v>14110506</v>
      </c>
      <c r="D2284" t="s">
        <v>421</v>
      </c>
      <c r="E2284" s="134">
        <v>117.45</v>
      </c>
      <c r="F2284" t="s">
        <v>2816</v>
      </c>
    </row>
    <row r="2285" spans="1:6" x14ac:dyDescent="0.2">
      <c r="A2285" t="s">
        <v>2814</v>
      </c>
      <c r="B2285" t="s">
        <v>2963</v>
      </c>
      <c r="C2285">
        <v>14116565</v>
      </c>
      <c r="D2285" t="s">
        <v>456</v>
      </c>
      <c r="E2285" s="134">
        <v>117.45</v>
      </c>
      <c r="F2285" t="s">
        <v>2816</v>
      </c>
    </row>
    <row r="2286" spans="1:6" x14ac:dyDescent="0.2">
      <c r="A2286" t="s">
        <v>2814</v>
      </c>
      <c r="B2286" t="s">
        <v>2963</v>
      </c>
      <c r="C2286">
        <v>14117969</v>
      </c>
      <c r="D2286" t="s">
        <v>399</v>
      </c>
      <c r="E2286" s="134">
        <v>117.45</v>
      </c>
      <c r="F2286" t="s">
        <v>2816</v>
      </c>
    </row>
    <row r="2287" spans="1:6" x14ac:dyDescent="0.2">
      <c r="A2287" t="s">
        <v>2814</v>
      </c>
      <c r="B2287" t="s">
        <v>2963</v>
      </c>
      <c r="C2287">
        <v>14118579</v>
      </c>
      <c r="D2287" t="s">
        <v>464</v>
      </c>
      <c r="E2287" s="134">
        <v>117.45</v>
      </c>
      <c r="F2287" t="s">
        <v>2816</v>
      </c>
    </row>
    <row r="2288" spans="1:6" x14ac:dyDescent="0.2">
      <c r="A2288" t="s">
        <v>2814</v>
      </c>
      <c r="B2288" t="s">
        <v>2963</v>
      </c>
      <c r="C2288">
        <v>14119838</v>
      </c>
      <c r="D2288" t="s">
        <v>498</v>
      </c>
      <c r="E2288" s="134">
        <v>117.45</v>
      </c>
      <c r="F2288" t="s">
        <v>2816</v>
      </c>
    </row>
    <row r="2289" spans="1:6" x14ac:dyDescent="0.2">
      <c r="A2289" t="s">
        <v>2814</v>
      </c>
      <c r="B2289" t="s">
        <v>2963</v>
      </c>
      <c r="C2289">
        <v>14120455</v>
      </c>
      <c r="D2289" t="s">
        <v>287</v>
      </c>
      <c r="E2289" s="134">
        <v>117.45</v>
      </c>
      <c r="F2289" t="s">
        <v>2816</v>
      </c>
    </row>
    <row r="2290" spans="1:6" x14ac:dyDescent="0.2">
      <c r="A2290" t="s">
        <v>2814</v>
      </c>
      <c r="B2290" t="s">
        <v>2963</v>
      </c>
      <c r="C2290">
        <v>14122294</v>
      </c>
      <c r="D2290" t="s">
        <v>404</v>
      </c>
      <c r="E2290" s="134">
        <v>117.45</v>
      </c>
      <c r="F2290" t="s">
        <v>2816</v>
      </c>
    </row>
    <row r="2291" spans="1:6" x14ac:dyDescent="0.2">
      <c r="A2291" t="s">
        <v>2814</v>
      </c>
      <c r="B2291" t="s">
        <v>2963</v>
      </c>
      <c r="C2291">
        <v>14122320</v>
      </c>
      <c r="D2291" t="s">
        <v>405</v>
      </c>
      <c r="E2291" s="134">
        <v>117.45</v>
      </c>
      <c r="F2291" t="s">
        <v>2816</v>
      </c>
    </row>
    <row r="2292" spans="1:6" x14ac:dyDescent="0.2">
      <c r="A2292" t="s">
        <v>2814</v>
      </c>
      <c r="B2292" t="s">
        <v>2963</v>
      </c>
      <c r="C2292">
        <v>14122329</v>
      </c>
      <c r="D2292" t="s">
        <v>406</v>
      </c>
      <c r="E2292" s="134">
        <v>117.45</v>
      </c>
      <c r="F2292" t="s">
        <v>2816</v>
      </c>
    </row>
    <row r="2293" spans="1:6" x14ac:dyDescent="0.2">
      <c r="A2293" t="s">
        <v>2814</v>
      </c>
      <c r="B2293" t="s">
        <v>2963</v>
      </c>
      <c r="C2293">
        <v>14122330</v>
      </c>
      <c r="D2293" t="s">
        <v>407</v>
      </c>
      <c r="E2293" s="134">
        <v>117.45</v>
      </c>
      <c r="F2293" t="s">
        <v>2816</v>
      </c>
    </row>
    <row r="2294" spans="1:6" x14ac:dyDescent="0.2">
      <c r="A2294" t="s">
        <v>2814</v>
      </c>
      <c r="B2294" t="s">
        <v>2963</v>
      </c>
      <c r="C2294">
        <v>14122354</v>
      </c>
      <c r="D2294" t="s">
        <v>410</v>
      </c>
      <c r="E2294" s="134">
        <v>117.45</v>
      </c>
      <c r="F2294" t="s">
        <v>2816</v>
      </c>
    </row>
    <row r="2295" spans="1:6" x14ac:dyDescent="0.2">
      <c r="A2295" t="s">
        <v>2814</v>
      </c>
      <c r="B2295" t="s">
        <v>2963</v>
      </c>
      <c r="C2295">
        <v>14122355</v>
      </c>
      <c r="D2295" t="s">
        <v>411</v>
      </c>
      <c r="E2295" s="134">
        <v>117.45</v>
      </c>
      <c r="F2295" t="s">
        <v>2816</v>
      </c>
    </row>
    <row r="2296" spans="1:6" x14ac:dyDescent="0.2">
      <c r="A2296" t="s">
        <v>2814</v>
      </c>
      <c r="B2296" t="s">
        <v>2963</v>
      </c>
      <c r="C2296">
        <v>14122394</v>
      </c>
      <c r="D2296" t="s">
        <v>413</v>
      </c>
      <c r="E2296" s="134">
        <v>117.45</v>
      </c>
      <c r="F2296" t="s">
        <v>2816</v>
      </c>
    </row>
    <row r="2297" spans="1:6" x14ac:dyDescent="0.2">
      <c r="A2297" t="s">
        <v>2814</v>
      </c>
      <c r="B2297" t="s">
        <v>2963</v>
      </c>
      <c r="C2297">
        <v>14122416</v>
      </c>
      <c r="D2297" t="s">
        <v>414</v>
      </c>
      <c r="E2297" s="134">
        <v>117.45</v>
      </c>
      <c r="F2297" t="s">
        <v>2816</v>
      </c>
    </row>
    <row r="2298" spans="1:6" x14ac:dyDescent="0.2">
      <c r="A2298" t="s">
        <v>2814</v>
      </c>
      <c r="B2298" t="s">
        <v>2963</v>
      </c>
      <c r="C2298">
        <v>14122417</v>
      </c>
      <c r="D2298" t="s">
        <v>415</v>
      </c>
      <c r="E2298" s="134">
        <v>117.45</v>
      </c>
      <c r="F2298" t="s">
        <v>2816</v>
      </c>
    </row>
    <row r="2299" spans="1:6" x14ac:dyDescent="0.2">
      <c r="A2299" t="s">
        <v>2814</v>
      </c>
      <c r="B2299" t="s">
        <v>2963</v>
      </c>
      <c r="C2299">
        <v>14122419</v>
      </c>
      <c r="D2299" t="s">
        <v>416</v>
      </c>
      <c r="E2299" s="134">
        <v>117.45</v>
      </c>
      <c r="F2299" t="s">
        <v>2816</v>
      </c>
    </row>
    <row r="2300" spans="1:6" x14ac:dyDescent="0.2">
      <c r="A2300" t="s">
        <v>2814</v>
      </c>
      <c r="B2300" t="s">
        <v>2963</v>
      </c>
      <c r="C2300">
        <v>14122428</v>
      </c>
      <c r="D2300" t="s">
        <v>417</v>
      </c>
      <c r="E2300" s="134">
        <v>117.45</v>
      </c>
      <c r="F2300" t="s">
        <v>2816</v>
      </c>
    </row>
    <row r="2301" spans="1:6" x14ac:dyDescent="0.2">
      <c r="A2301" t="s">
        <v>2814</v>
      </c>
      <c r="B2301" t="s">
        <v>2963</v>
      </c>
      <c r="C2301">
        <v>14122431</v>
      </c>
      <c r="D2301" t="s">
        <v>419</v>
      </c>
      <c r="E2301" s="134">
        <v>117.45</v>
      </c>
      <c r="F2301" t="s">
        <v>2816</v>
      </c>
    </row>
    <row r="2302" spans="1:6" x14ac:dyDescent="0.2">
      <c r="A2302" t="s">
        <v>2814</v>
      </c>
      <c r="B2302" t="s">
        <v>2963</v>
      </c>
      <c r="C2302">
        <v>14122495</v>
      </c>
      <c r="D2302" t="s">
        <v>423</v>
      </c>
      <c r="E2302" s="134">
        <v>117.45</v>
      </c>
      <c r="F2302" t="s">
        <v>2816</v>
      </c>
    </row>
    <row r="2303" spans="1:6" x14ac:dyDescent="0.2">
      <c r="A2303" t="s">
        <v>2814</v>
      </c>
      <c r="B2303" t="s">
        <v>2963</v>
      </c>
      <c r="C2303">
        <v>14122510</v>
      </c>
      <c r="D2303" t="s">
        <v>424</v>
      </c>
      <c r="E2303" s="134">
        <v>117.45</v>
      </c>
      <c r="F2303" t="s">
        <v>2816</v>
      </c>
    </row>
    <row r="2304" spans="1:6" x14ac:dyDescent="0.2">
      <c r="A2304" t="s">
        <v>2814</v>
      </c>
      <c r="B2304" t="s">
        <v>2963</v>
      </c>
      <c r="C2304">
        <v>14122617</v>
      </c>
      <c r="D2304" t="s">
        <v>429</v>
      </c>
      <c r="E2304" s="134">
        <v>117.45</v>
      </c>
      <c r="F2304" t="s">
        <v>2816</v>
      </c>
    </row>
    <row r="2305" spans="1:6" x14ac:dyDescent="0.2">
      <c r="A2305" t="s">
        <v>2814</v>
      </c>
      <c r="B2305" t="s">
        <v>2963</v>
      </c>
      <c r="C2305">
        <v>14122618</v>
      </c>
      <c r="D2305" t="s">
        <v>430</v>
      </c>
      <c r="E2305" s="134">
        <v>117.45</v>
      </c>
      <c r="F2305" t="s">
        <v>2816</v>
      </c>
    </row>
    <row r="2306" spans="1:6" x14ac:dyDescent="0.2">
      <c r="A2306" t="s">
        <v>2814</v>
      </c>
      <c r="B2306" t="s">
        <v>2963</v>
      </c>
      <c r="C2306">
        <v>14122621</v>
      </c>
      <c r="D2306" t="s">
        <v>431</v>
      </c>
      <c r="E2306" s="134">
        <v>117.45</v>
      </c>
      <c r="F2306" t="s">
        <v>2816</v>
      </c>
    </row>
    <row r="2307" spans="1:6" x14ac:dyDescent="0.2">
      <c r="A2307" t="s">
        <v>2814</v>
      </c>
      <c r="B2307" t="s">
        <v>2963</v>
      </c>
      <c r="C2307">
        <v>14122685</v>
      </c>
      <c r="D2307" t="s">
        <v>436</v>
      </c>
      <c r="E2307" s="134">
        <v>117.45</v>
      </c>
      <c r="F2307" t="s">
        <v>2816</v>
      </c>
    </row>
    <row r="2308" spans="1:6" x14ac:dyDescent="0.2">
      <c r="A2308" t="s">
        <v>2814</v>
      </c>
      <c r="B2308" t="s">
        <v>2963</v>
      </c>
      <c r="C2308">
        <v>14122687</v>
      </c>
      <c r="D2308" t="s">
        <v>437</v>
      </c>
      <c r="E2308" s="134">
        <v>117.45</v>
      </c>
      <c r="F2308" t="s">
        <v>2816</v>
      </c>
    </row>
    <row r="2309" spans="1:6" x14ac:dyDescent="0.2">
      <c r="A2309" t="s">
        <v>2814</v>
      </c>
      <c r="B2309" t="s">
        <v>2963</v>
      </c>
      <c r="C2309">
        <v>14122707</v>
      </c>
      <c r="D2309" t="s">
        <v>439</v>
      </c>
      <c r="E2309" s="134">
        <v>117.45</v>
      </c>
      <c r="F2309" t="s">
        <v>2816</v>
      </c>
    </row>
    <row r="2310" spans="1:6" x14ac:dyDescent="0.2">
      <c r="A2310" t="s">
        <v>2814</v>
      </c>
      <c r="B2310" t="s">
        <v>2963</v>
      </c>
      <c r="C2310">
        <v>14122758</v>
      </c>
      <c r="D2310" t="s">
        <v>442</v>
      </c>
      <c r="E2310" s="134">
        <v>117.45</v>
      </c>
      <c r="F2310" t="s">
        <v>2816</v>
      </c>
    </row>
    <row r="2311" spans="1:6" x14ac:dyDescent="0.2">
      <c r="A2311" t="s">
        <v>2814</v>
      </c>
      <c r="B2311" t="s">
        <v>2963</v>
      </c>
      <c r="C2311">
        <v>14122772</v>
      </c>
      <c r="D2311" t="s">
        <v>443</v>
      </c>
      <c r="E2311" s="134">
        <v>117.45</v>
      </c>
      <c r="F2311" t="s">
        <v>2816</v>
      </c>
    </row>
    <row r="2312" spans="1:6" x14ac:dyDescent="0.2">
      <c r="A2312" t="s">
        <v>2814</v>
      </c>
      <c r="B2312" t="s">
        <v>2963</v>
      </c>
      <c r="C2312">
        <v>14122775</v>
      </c>
      <c r="D2312" t="s">
        <v>445</v>
      </c>
      <c r="E2312" s="134">
        <v>117.45</v>
      </c>
      <c r="F2312" t="s">
        <v>2816</v>
      </c>
    </row>
    <row r="2313" spans="1:6" x14ac:dyDescent="0.2">
      <c r="A2313" t="s">
        <v>2814</v>
      </c>
      <c r="B2313" t="s">
        <v>2963</v>
      </c>
      <c r="C2313">
        <v>14122809</v>
      </c>
      <c r="D2313" t="s">
        <v>446</v>
      </c>
      <c r="E2313" s="134">
        <v>117.45</v>
      </c>
      <c r="F2313" t="s">
        <v>2816</v>
      </c>
    </row>
    <row r="2314" spans="1:6" x14ac:dyDescent="0.2">
      <c r="A2314" t="s">
        <v>2814</v>
      </c>
      <c r="B2314" t="s">
        <v>2963</v>
      </c>
      <c r="C2314">
        <v>14122831</v>
      </c>
      <c r="D2314" t="s">
        <v>447</v>
      </c>
      <c r="E2314" s="134">
        <v>117.45</v>
      </c>
      <c r="F2314" t="s">
        <v>2816</v>
      </c>
    </row>
    <row r="2315" spans="1:6" x14ac:dyDescent="0.2">
      <c r="A2315" t="s">
        <v>2814</v>
      </c>
      <c r="B2315" t="s">
        <v>2963</v>
      </c>
      <c r="C2315">
        <v>14122832</v>
      </c>
      <c r="D2315" t="s">
        <v>448</v>
      </c>
      <c r="E2315" s="134">
        <v>117.45</v>
      </c>
      <c r="F2315" t="s">
        <v>2816</v>
      </c>
    </row>
    <row r="2316" spans="1:6" x14ac:dyDescent="0.2">
      <c r="A2316" t="s">
        <v>2814</v>
      </c>
      <c r="B2316" t="s">
        <v>2963</v>
      </c>
      <c r="C2316">
        <v>14122856</v>
      </c>
      <c r="D2316" t="s">
        <v>452</v>
      </c>
      <c r="E2316" s="134">
        <v>117.45</v>
      </c>
      <c r="F2316" t="s">
        <v>2816</v>
      </c>
    </row>
    <row r="2317" spans="1:6" x14ac:dyDescent="0.2">
      <c r="A2317" t="s">
        <v>2814</v>
      </c>
      <c r="B2317" t="s">
        <v>2963</v>
      </c>
      <c r="C2317">
        <v>14122871</v>
      </c>
      <c r="D2317" t="s">
        <v>453</v>
      </c>
      <c r="E2317" s="134">
        <v>117.45</v>
      </c>
      <c r="F2317" t="s">
        <v>2816</v>
      </c>
    </row>
    <row r="2318" spans="1:6" x14ac:dyDescent="0.2">
      <c r="A2318" t="s">
        <v>2814</v>
      </c>
      <c r="B2318" t="s">
        <v>2963</v>
      </c>
      <c r="C2318">
        <v>14122904</v>
      </c>
      <c r="D2318" t="s">
        <v>457</v>
      </c>
      <c r="E2318" s="134">
        <v>117.45</v>
      </c>
      <c r="F2318" t="s">
        <v>2816</v>
      </c>
    </row>
    <row r="2319" spans="1:6" x14ac:dyDescent="0.2">
      <c r="A2319" t="s">
        <v>2814</v>
      </c>
      <c r="B2319" t="s">
        <v>2963</v>
      </c>
      <c r="C2319">
        <v>14122922</v>
      </c>
      <c r="D2319" t="s">
        <v>458</v>
      </c>
      <c r="E2319" s="134">
        <v>117.45</v>
      </c>
      <c r="F2319" t="s">
        <v>2816</v>
      </c>
    </row>
    <row r="2320" spans="1:6" x14ac:dyDescent="0.2">
      <c r="A2320" t="s">
        <v>2814</v>
      </c>
      <c r="B2320" t="s">
        <v>2963</v>
      </c>
      <c r="C2320">
        <v>14122927</v>
      </c>
      <c r="D2320" t="s">
        <v>461</v>
      </c>
      <c r="E2320" s="134">
        <v>117.45</v>
      </c>
      <c r="F2320" t="s">
        <v>2816</v>
      </c>
    </row>
    <row r="2321" spans="1:6" x14ac:dyDescent="0.2">
      <c r="A2321" t="s">
        <v>2814</v>
      </c>
      <c r="B2321" t="s">
        <v>2963</v>
      </c>
      <c r="C2321">
        <v>14122928</v>
      </c>
      <c r="D2321" t="s">
        <v>462</v>
      </c>
      <c r="E2321" s="134">
        <v>117.45</v>
      </c>
      <c r="F2321" t="s">
        <v>2816</v>
      </c>
    </row>
    <row r="2322" spans="1:6" x14ac:dyDescent="0.2">
      <c r="A2322" t="s">
        <v>2814</v>
      </c>
      <c r="B2322" t="s">
        <v>2963</v>
      </c>
      <c r="C2322">
        <v>14122929</v>
      </c>
      <c r="D2322" t="s">
        <v>463</v>
      </c>
      <c r="E2322" s="134">
        <v>117.45</v>
      </c>
      <c r="F2322" t="s">
        <v>2816</v>
      </c>
    </row>
    <row r="2323" spans="1:6" x14ac:dyDescent="0.2">
      <c r="A2323" t="s">
        <v>2814</v>
      </c>
      <c r="B2323" t="s">
        <v>2963</v>
      </c>
      <c r="C2323">
        <v>14122992</v>
      </c>
      <c r="D2323" t="s">
        <v>465</v>
      </c>
      <c r="E2323" s="134">
        <v>117.45</v>
      </c>
      <c r="F2323" t="s">
        <v>2816</v>
      </c>
    </row>
    <row r="2324" spans="1:6" x14ac:dyDescent="0.2">
      <c r="A2324" t="s">
        <v>2814</v>
      </c>
      <c r="B2324" t="s">
        <v>2963</v>
      </c>
      <c r="C2324">
        <v>14123004</v>
      </c>
      <c r="D2324" t="s">
        <v>468</v>
      </c>
      <c r="E2324" s="134">
        <v>117.45</v>
      </c>
      <c r="F2324" t="s">
        <v>2816</v>
      </c>
    </row>
    <row r="2325" spans="1:6" x14ac:dyDescent="0.2">
      <c r="A2325" t="s">
        <v>2814</v>
      </c>
      <c r="B2325" t="s">
        <v>2963</v>
      </c>
      <c r="C2325">
        <v>14123010</v>
      </c>
      <c r="D2325" t="s">
        <v>470</v>
      </c>
      <c r="E2325" s="134">
        <v>117.45</v>
      </c>
      <c r="F2325" t="s">
        <v>2816</v>
      </c>
    </row>
    <row r="2326" spans="1:6" x14ac:dyDescent="0.2">
      <c r="A2326" t="s">
        <v>2814</v>
      </c>
      <c r="B2326" t="s">
        <v>2963</v>
      </c>
      <c r="C2326">
        <v>14123063</v>
      </c>
      <c r="D2326" t="s">
        <v>473</v>
      </c>
      <c r="E2326" s="134">
        <v>117.45</v>
      </c>
      <c r="F2326" t="s">
        <v>2816</v>
      </c>
    </row>
    <row r="2327" spans="1:6" x14ac:dyDescent="0.2">
      <c r="A2327" t="s">
        <v>2814</v>
      </c>
      <c r="B2327" t="s">
        <v>2963</v>
      </c>
      <c r="C2327">
        <v>14123080</v>
      </c>
      <c r="D2327" t="s">
        <v>475</v>
      </c>
      <c r="E2327" s="134">
        <v>117.45</v>
      </c>
      <c r="F2327" t="s">
        <v>2816</v>
      </c>
    </row>
    <row r="2328" spans="1:6" x14ac:dyDescent="0.2">
      <c r="A2328" t="s">
        <v>2814</v>
      </c>
      <c r="B2328" t="s">
        <v>2963</v>
      </c>
      <c r="C2328">
        <v>14123083</v>
      </c>
      <c r="D2328" t="s">
        <v>478</v>
      </c>
      <c r="E2328" s="134">
        <v>117.45</v>
      </c>
      <c r="F2328" t="s">
        <v>2816</v>
      </c>
    </row>
    <row r="2329" spans="1:6" x14ac:dyDescent="0.2">
      <c r="A2329" t="s">
        <v>2814</v>
      </c>
      <c r="B2329" t="s">
        <v>2963</v>
      </c>
      <c r="C2329">
        <v>14123084</v>
      </c>
      <c r="D2329" t="s">
        <v>479</v>
      </c>
      <c r="E2329" s="134">
        <v>117.45</v>
      </c>
      <c r="F2329" t="s">
        <v>2816</v>
      </c>
    </row>
    <row r="2330" spans="1:6" x14ac:dyDescent="0.2">
      <c r="A2330" t="s">
        <v>2814</v>
      </c>
      <c r="B2330" t="s">
        <v>2963</v>
      </c>
      <c r="C2330">
        <v>14123107</v>
      </c>
      <c r="D2330" t="s">
        <v>480</v>
      </c>
      <c r="E2330" s="134">
        <v>117.45</v>
      </c>
      <c r="F2330" t="s">
        <v>2816</v>
      </c>
    </row>
    <row r="2331" spans="1:6" x14ac:dyDescent="0.2">
      <c r="A2331" t="s">
        <v>2814</v>
      </c>
      <c r="B2331" t="s">
        <v>2963</v>
      </c>
      <c r="C2331">
        <v>14123238</v>
      </c>
      <c r="D2331" t="s">
        <v>487</v>
      </c>
      <c r="E2331" s="134">
        <v>117.45</v>
      </c>
      <c r="F2331" t="s">
        <v>2816</v>
      </c>
    </row>
    <row r="2332" spans="1:6" x14ac:dyDescent="0.2">
      <c r="A2332" t="s">
        <v>2814</v>
      </c>
      <c r="B2332" t="s">
        <v>2963</v>
      </c>
      <c r="C2332">
        <v>14123246</v>
      </c>
      <c r="D2332" t="s">
        <v>489</v>
      </c>
      <c r="E2332" s="134">
        <v>117.45</v>
      </c>
      <c r="F2332" t="s">
        <v>2816</v>
      </c>
    </row>
    <row r="2333" spans="1:6" x14ac:dyDescent="0.2">
      <c r="A2333" t="s">
        <v>2814</v>
      </c>
      <c r="B2333" t="s">
        <v>2963</v>
      </c>
      <c r="C2333">
        <v>14123254</v>
      </c>
      <c r="D2333" t="s">
        <v>490</v>
      </c>
      <c r="E2333" s="134">
        <v>117.45</v>
      </c>
      <c r="F2333" t="s">
        <v>2816</v>
      </c>
    </row>
    <row r="2334" spans="1:6" x14ac:dyDescent="0.2">
      <c r="A2334" t="s">
        <v>2814</v>
      </c>
      <c r="B2334" t="s">
        <v>2963</v>
      </c>
      <c r="C2334">
        <v>14123272</v>
      </c>
      <c r="D2334" t="s">
        <v>499</v>
      </c>
      <c r="E2334" s="134">
        <v>117.45</v>
      </c>
      <c r="F2334" t="s">
        <v>2816</v>
      </c>
    </row>
    <row r="2335" spans="1:6" x14ac:dyDescent="0.2">
      <c r="A2335" t="s">
        <v>2814</v>
      </c>
      <c r="B2335" t="s">
        <v>2963</v>
      </c>
      <c r="C2335">
        <v>14123273</v>
      </c>
      <c r="D2335" t="s">
        <v>491</v>
      </c>
      <c r="E2335" s="134">
        <v>117.45</v>
      </c>
      <c r="F2335" t="s">
        <v>2816</v>
      </c>
    </row>
    <row r="2336" spans="1:6" x14ac:dyDescent="0.2">
      <c r="A2336" t="s">
        <v>2814</v>
      </c>
      <c r="B2336" t="s">
        <v>2963</v>
      </c>
      <c r="C2336">
        <v>14123274</v>
      </c>
      <c r="D2336" t="s">
        <v>492</v>
      </c>
      <c r="E2336" s="134">
        <v>117.45</v>
      </c>
      <c r="F2336" t="s">
        <v>2816</v>
      </c>
    </row>
    <row r="2337" spans="1:6" x14ac:dyDescent="0.2">
      <c r="A2337" t="s">
        <v>2814</v>
      </c>
      <c r="B2337" t="s">
        <v>2963</v>
      </c>
      <c r="C2337">
        <v>14123275</v>
      </c>
      <c r="D2337" t="s">
        <v>493</v>
      </c>
      <c r="E2337" s="134">
        <v>117.45</v>
      </c>
      <c r="F2337" t="s">
        <v>2816</v>
      </c>
    </row>
    <row r="2338" spans="1:6" x14ac:dyDescent="0.2">
      <c r="A2338" t="s">
        <v>2814</v>
      </c>
      <c r="B2338" t="s">
        <v>2963</v>
      </c>
      <c r="C2338">
        <v>14123276</v>
      </c>
      <c r="D2338" t="s">
        <v>494</v>
      </c>
      <c r="E2338" s="134">
        <v>117.45</v>
      </c>
      <c r="F2338" t="s">
        <v>2816</v>
      </c>
    </row>
    <row r="2339" spans="1:6" x14ac:dyDescent="0.2">
      <c r="A2339" t="s">
        <v>2814</v>
      </c>
      <c r="B2339" t="s">
        <v>2963</v>
      </c>
      <c r="C2339">
        <v>14123277</v>
      </c>
      <c r="D2339" t="s">
        <v>495</v>
      </c>
      <c r="E2339" s="134">
        <v>117.45</v>
      </c>
      <c r="F2339" t="s">
        <v>2816</v>
      </c>
    </row>
    <row r="2340" spans="1:6" x14ac:dyDescent="0.2">
      <c r="A2340" t="s">
        <v>2814</v>
      </c>
      <c r="B2340" t="s">
        <v>2963</v>
      </c>
      <c r="C2340">
        <v>14123313</v>
      </c>
      <c r="D2340" t="s">
        <v>497</v>
      </c>
      <c r="E2340" s="134">
        <v>117.45</v>
      </c>
      <c r="F2340" t="s">
        <v>2816</v>
      </c>
    </row>
    <row r="2341" spans="1:6" x14ac:dyDescent="0.2">
      <c r="A2341" t="s">
        <v>2814</v>
      </c>
      <c r="B2341" t="s">
        <v>2963</v>
      </c>
      <c r="C2341">
        <v>14123334</v>
      </c>
      <c r="D2341" t="s">
        <v>502</v>
      </c>
      <c r="E2341" s="134">
        <v>117.45</v>
      </c>
      <c r="F2341" t="s">
        <v>2816</v>
      </c>
    </row>
    <row r="2342" spans="1:6" x14ac:dyDescent="0.2">
      <c r="A2342" t="s">
        <v>2814</v>
      </c>
      <c r="B2342" t="s">
        <v>2963</v>
      </c>
      <c r="C2342">
        <v>14123336</v>
      </c>
      <c r="D2342" t="s">
        <v>503</v>
      </c>
      <c r="E2342" s="134">
        <v>117.45</v>
      </c>
      <c r="F2342" t="s">
        <v>2816</v>
      </c>
    </row>
    <row r="2343" spans="1:6" x14ac:dyDescent="0.2">
      <c r="A2343" t="s">
        <v>2814</v>
      </c>
      <c r="B2343" t="s">
        <v>2963</v>
      </c>
      <c r="C2343">
        <v>14123375</v>
      </c>
      <c r="D2343" t="s">
        <v>504</v>
      </c>
      <c r="E2343" s="134">
        <v>117.45</v>
      </c>
      <c r="F2343" t="s">
        <v>2816</v>
      </c>
    </row>
    <row r="2344" spans="1:6" x14ac:dyDescent="0.2">
      <c r="A2344" t="s">
        <v>2814</v>
      </c>
      <c r="B2344" t="s">
        <v>2963</v>
      </c>
      <c r="C2344">
        <v>14123445</v>
      </c>
      <c r="D2344" t="s">
        <v>506</v>
      </c>
      <c r="E2344" s="134">
        <v>117.45</v>
      </c>
      <c r="F2344" t="s">
        <v>2816</v>
      </c>
    </row>
    <row r="2345" spans="1:6" x14ac:dyDescent="0.2">
      <c r="A2345" t="s">
        <v>2814</v>
      </c>
      <c r="B2345" t="s">
        <v>2963</v>
      </c>
      <c r="C2345">
        <v>14123446</v>
      </c>
      <c r="D2345" t="s">
        <v>507</v>
      </c>
      <c r="E2345" s="134">
        <v>117.45</v>
      </c>
      <c r="F2345" t="s">
        <v>2816</v>
      </c>
    </row>
    <row r="2346" spans="1:6" x14ac:dyDescent="0.2">
      <c r="A2346" t="s">
        <v>2814</v>
      </c>
      <c r="B2346" t="s">
        <v>2963</v>
      </c>
      <c r="C2346">
        <v>14123447</v>
      </c>
      <c r="D2346" t="s">
        <v>508</v>
      </c>
      <c r="E2346" s="134">
        <v>117.45</v>
      </c>
      <c r="F2346" t="s">
        <v>2816</v>
      </c>
    </row>
    <row r="2347" spans="1:6" x14ac:dyDescent="0.2">
      <c r="A2347" t="s">
        <v>2814</v>
      </c>
      <c r="B2347" t="s">
        <v>2963</v>
      </c>
      <c r="C2347">
        <v>14123460</v>
      </c>
      <c r="D2347" t="s">
        <v>510</v>
      </c>
      <c r="E2347" s="134">
        <v>117.45</v>
      </c>
      <c r="F2347" t="s">
        <v>2816</v>
      </c>
    </row>
    <row r="2348" spans="1:6" x14ac:dyDescent="0.2">
      <c r="A2348" t="s">
        <v>2814</v>
      </c>
      <c r="B2348" t="s">
        <v>2963</v>
      </c>
      <c r="C2348">
        <v>14123473</v>
      </c>
      <c r="D2348" t="s">
        <v>514</v>
      </c>
      <c r="E2348" s="134">
        <v>117.45</v>
      </c>
      <c r="F2348" t="s">
        <v>2816</v>
      </c>
    </row>
    <row r="2349" spans="1:6" x14ac:dyDescent="0.2">
      <c r="A2349" t="s">
        <v>2814</v>
      </c>
      <c r="B2349" t="s">
        <v>2963</v>
      </c>
      <c r="C2349">
        <v>14123489</v>
      </c>
      <c r="D2349" t="s">
        <v>516</v>
      </c>
      <c r="E2349" s="134">
        <v>117.45</v>
      </c>
      <c r="F2349" t="s">
        <v>2816</v>
      </c>
    </row>
    <row r="2350" spans="1:6" x14ac:dyDescent="0.2">
      <c r="A2350" t="s">
        <v>2814</v>
      </c>
      <c r="B2350" t="s">
        <v>2963</v>
      </c>
      <c r="C2350">
        <v>14123514</v>
      </c>
      <c r="D2350" t="s">
        <v>519</v>
      </c>
      <c r="E2350" s="134">
        <v>117.45</v>
      </c>
      <c r="F2350" t="s">
        <v>2816</v>
      </c>
    </row>
    <row r="2351" spans="1:6" x14ac:dyDescent="0.2">
      <c r="A2351" t="s">
        <v>2814</v>
      </c>
      <c r="B2351" t="s">
        <v>2963</v>
      </c>
      <c r="C2351">
        <v>14123516</v>
      </c>
      <c r="D2351" t="s">
        <v>520</v>
      </c>
      <c r="E2351" s="134">
        <v>117.45</v>
      </c>
      <c r="F2351" t="s">
        <v>2816</v>
      </c>
    </row>
    <row r="2352" spans="1:6" x14ac:dyDescent="0.2">
      <c r="A2352" t="s">
        <v>2814</v>
      </c>
      <c r="B2352" t="s">
        <v>2963</v>
      </c>
      <c r="C2352">
        <v>14123522</v>
      </c>
      <c r="D2352" t="s">
        <v>522</v>
      </c>
      <c r="E2352" s="134">
        <v>117.45</v>
      </c>
      <c r="F2352" t="s">
        <v>2816</v>
      </c>
    </row>
    <row r="2353" spans="1:6" x14ac:dyDescent="0.2">
      <c r="A2353" t="s">
        <v>2814</v>
      </c>
      <c r="B2353" t="s">
        <v>2963</v>
      </c>
      <c r="C2353">
        <v>14123523</v>
      </c>
      <c r="D2353" t="s">
        <v>523</v>
      </c>
      <c r="E2353" s="134">
        <v>117.45</v>
      </c>
      <c r="F2353" t="s">
        <v>2816</v>
      </c>
    </row>
    <row r="2354" spans="1:6" x14ac:dyDescent="0.2">
      <c r="A2354" t="s">
        <v>2814</v>
      </c>
      <c r="B2354" t="s">
        <v>2963</v>
      </c>
      <c r="C2354">
        <v>14123526</v>
      </c>
      <c r="D2354" t="s">
        <v>524</v>
      </c>
      <c r="E2354" s="134">
        <v>117.45</v>
      </c>
      <c r="F2354" t="s">
        <v>2816</v>
      </c>
    </row>
    <row r="2355" spans="1:6" x14ac:dyDescent="0.2">
      <c r="A2355" t="s">
        <v>2814</v>
      </c>
      <c r="B2355" t="s">
        <v>2963</v>
      </c>
      <c r="C2355">
        <v>14123528</v>
      </c>
      <c r="D2355" t="s">
        <v>526</v>
      </c>
      <c r="E2355" s="134">
        <v>117.45</v>
      </c>
      <c r="F2355" t="s">
        <v>2816</v>
      </c>
    </row>
    <row r="2356" spans="1:6" x14ac:dyDescent="0.2">
      <c r="A2356" t="s">
        <v>2814</v>
      </c>
      <c r="B2356" t="s">
        <v>2963</v>
      </c>
      <c r="C2356">
        <v>14123530</v>
      </c>
      <c r="D2356" t="s">
        <v>527</v>
      </c>
      <c r="E2356" s="134">
        <v>117.45</v>
      </c>
      <c r="F2356" t="s">
        <v>2816</v>
      </c>
    </row>
    <row r="2357" spans="1:6" x14ac:dyDescent="0.2">
      <c r="A2357" t="s">
        <v>2814</v>
      </c>
      <c r="B2357" t="s">
        <v>2963</v>
      </c>
      <c r="C2357">
        <v>14123536</v>
      </c>
      <c r="D2357" t="s">
        <v>528</v>
      </c>
      <c r="E2357" s="134">
        <v>117.45</v>
      </c>
      <c r="F2357" t="s">
        <v>2816</v>
      </c>
    </row>
    <row r="2358" spans="1:6" x14ac:dyDescent="0.2">
      <c r="A2358" t="s">
        <v>2814</v>
      </c>
      <c r="B2358" t="s">
        <v>2963</v>
      </c>
      <c r="C2358">
        <v>14123541</v>
      </c>
      <c r="D2358" t="s">
        <v>529</v>
      </c>
      <c r="E2358" s="134">
        <v>117.45</v>
      </c>
      <c r="F2358" t="s">
        <v>2816</v>
      </c>
    </row>
    <row r="2359" spans="1:6" x14ac:dyDescent="0.2">
      <c r="A2359" t="s">
        <v>2814</v>
      </c>
      <c r="B2359" t="s">
        <v>2963</v>
      </c>
      <c r="C2359">
        <v>14123562</v>
      </c>
      <c r="D2359" t="s">
        <v>532</v>
      </c>
      <c r="E2359" s="134">
        <v>117.45</v>
      </c>
      <c r="F2359" t="s">
        <v>2816</v>
      </c>
    </row>
    <row r="2360" spans="1:6" x14ac:dyDescent="0.2">
      <c r="A2360" t="s">
        <v>2814</v>
      </c>
      <c r="B2360" t="s">
        <v>2963</v>
      </c>
      <c r="C2360">
        <v>14123570</v>
      </c>
      <c r="D2360" t="s">
        <v>535</v>
      </c>
      <c r="E2360" s="134">
        <v>117.45</v>
      </c>
      <c r="F2360" t="s">
        <v>2816</v>
      </c>
    </row>
    <row r="2361" spans="1:6" x14ac:dyDescent="0.2">
      <c r="A2361" t="s">
        <v>2814</v>
      </c>
      <c r="B2361" t="s">
        <v>2963</v>
      </c>
      <c r="C2361">
        <v>14123572</v>
      </c>
      <c r="D2361" t="s">
        <v>537</v>
      </c>
      <c r="E2361" s="134">
        <v>117.45</v>
      </c>
      <c r="F2361" t="s">
        <v>2816</v>
      </c>
    </row>
    <row r="2362" spans="1:6" x14ac:dyDescent="0.2">
      <c r="A2362" t="s">
        <v>2814</v>
      </c>
      <c r="B2362" t="s">
        <v>2963</v>
      </c>
      <c r="C2362">
        <v>14123591</v>
      </c>
      <c r="D2362" t="s">
        <v>539</v>
      </c>
      <c r="E2362" s="134">
        <v>117.45</v>
      </c>
      <c r="F2362" t="s">
        <v>2816</v>
      </c>
    </row>
    <row r="2363" spans="1:6" x14ac:dyDescent="0.2">
      <c r="A2363" t="s">
        <v>2814</v>
      </c>
      <c r="B2363" t="s">
        <v>2963</v>
      </c>
      <c r="C2363">
        <v>14123599</v>
      </c>
      <c r="D2363" t="s">
        <v>540</v>
      </c>
      <c r="E2363" s="134">
        <v>117.45</v>
      </c>
      <c r="F2363" t="s">
        <v>2816</v>
      </c>
    </row>
    <row r="2364" spans="1:6" x14ac:dyDescent="0.2">
      <c r="A2364" t="s">
        <v>2814</v>
      </c>
      <c r="B2364" t="s">
        <v>2963</v>
      </c>
      <c r="C2364">
        <v>14123629</v>
      </c>
      <c r="D2364" t="s">
        <v>541</v>
      </c>
      <c r="E2364" s="134">
        <v>117.45</v>
      </c>
      <c r="F2364" t="s">
        <v>2816</v>
      </c>
    </row>
    <row r="2365" spans="1:6" x14ac:dyDescent="0.2">
      <c r="A2365" t="s">
        <v>2814</v>
      </c>
      <c r="B2365" t="s">
        <v>2963</v>
      </c>
      <c r="C2365">
        <v>14123634</v>
      </c>
      <c r="D2365" t="s">
        <v>897</v>
      </c>
      <c r="E2365" s="134">
        <v>117.45</v>
      </c>
      <c r="F2365" t="s">
        <v>2816</v>
      </c>
    </row>
    <row r="2366" spans="1:6" x14ac:dyDescent="0.2">
      <c r="A2366" t="s">
        <v>2814</v>
      </c>
      <c r="B2366" t="s">
        <v>2963</v>
      </c>
      <c r="C2366">
        <v>14123640</v>
      </c>
      <c r="D2366" t="s">
        <v>900</v>
      </c>
      <c r="E2366" s="134">
        <v>117.45</v>
      </c>
      <c r="F2366" t="s">
        <v>2816</v>
      </c>
    </row>
    <row r="2367" spans="1:6" x14ac:dyDescent="0.2">
      <c r="A2367" t="s">
        <v>2814</v>
      </c>
      <c r="B2367" t="s">
        <v>2963</v>
      </c>
      <c r="C2367">
        <v>14123642</v>
      </c>
      <c r="D2367" t="s">
        <v>901</v>
      </c>
      <c r="E2367" s="134">
        <v>117.45</v>
      </c>
      <c r="F2367" t="s">
        <v>2816</v>
      </c>
    </row>
    <row r="2368" spans="1:6" x14ac:dyDescent="0.2">
      <c r="A2368" t="s">
        <v>2814</v>
      </c>
      <c r="B2368" t="s">
        <v>2963</v>
      </c>
      <c r="C2368">
        <v>14123651</v>
      </c>
      <c r="D2368" t="s">
        <v>904</v>
      </c>
      <c r="E2368" s="134">
        <v>117.45</v>
      </c>
      <c r="F2368" t="s">
        <v>2816</v>
      </c>
    </row>
    <row r="2369" spans="1:6" x14ac:dyDescent="0.2">
      <c r="A2369" t="s">
        <v>2814</v>
      </c>
      <c r="B2369" t="s">
        <v>2963</v>
      </c>
      <c r="C2369">
        <v>14123652</v>
      </c>
      <c r="D2369" t="s">
        <v>905</v>
      </c>
      <c r="E2369" s="134">
        <v>117.45</v>
      </c>
      <c r="F2369" t="s">
        <v>2816</v>
      </c>
    </row>
    <row r="2370" spans="1:6" x14ac:dyDescent="0.2">
      <c r="A2370" t="s">
        <v>2814</v>
      </c>
      <c r="B2370" t="s">
        <v>2963</v>
      </c>
      <c r="C2370">
        <v>14123654</v>
      </c>
      <c r="D2370" t="s">
        <v>934</v>
      </c>
      <c r="E2370" s="134">
        <v>117.45</v>
      </c>
      <c r="F2370" t="s">
        <v>2816</v>
      </c>
    </row>
    <row r="2371" spans="1:6" x14ac:dyDescent="0.2">
      <c r="A2371" t="s">
        <v>2814</v>
      </c>
      <c r="B2371" t="s">
        <v>2963</v>
      </c>
      <c r="C2371">
        <v>14123656</v>
      </c>
      <c r="D2371" t="s">
        <v>936</v>
      </c>
      <c r="E2371" s="134">
        <v>117.45</v>
      </c>
      <c r="F2371" t="s">
        <v>2816</v>
      </c>
    </row>
    <row r="2372" spans="1:6" x14ac:dyDescent="0.2">
      <c r="A2372" t="s">
        <v>2814</v>
      </c>
      <c r="B2372" t="s">
        <v>2963</v>
      </c>
      <c r="C2372">
        <v>14123657</v>
      </c>
      <c r="D2372" t="s">
        <v>937</v>
      </c>
      <c r="E2372" s="134">
        <v>117.45</v>
      </c>
      <c r="F2372" t="s">
        <v>2816</v>
      </c>
    </row>
    <row r="2373" spans="1:6" x14ac:dyDescent="0.2">
      <c r="A2373" t="s">
        <v>2814</v>
      </c>
      <c r="B2373" t="s">
        <v>2963</v>
      </c>
      <c r="C2373">
        <v>14123696</v>
      </c>
      <c r="D2373" t="s">
        <v>938</v>
      </c>
      <c r="E2373" s="134">
        <v>117.45</v>
      </c>
      <c r="F2373" t="s">
        <v>2816</v>
      </c>
    </row>
    <row r="2374" spans="1:6" x14ac:dyDescent="0.2">
      <c r="A2374" t="s">
        <v>2814</v>
      </c>
      <c r="B2374" t="s">
        <v>2963</v>
      </c>
      <c r="C2374">
        <v>14123702</v>
      </c>
      <c r="D2374" t="s">
        <v>940</v>
      </c>
      <c r="E2374" s="134">
        <v>117.45</v>
      </c>
      <c r="F2374" t="s">
        <v>2816</v>
      </c>
    </row>
    <row r="2375" spans="1:6" x14ac:dyDescent="0.2">
      <c r="A2375" t="s">
        <v>2814</v>
      </c>
      <c r="B2375" t="s">
        <v>2963</v>
      </c>
      <c r="C2375">
        <v>14123704</v>
      </c>
      <c r="D2375" t="s">
        <v>942</v>
      </c>
      <c r="E2375" s="134">
        <v>117.45</v>
      </c>
      <c r="F2375" t="s">
        <v>2816</v>
      </c>
    </row>
    <row r="2376" spans="1:6" x14ac:dyDescent="0.2">
      <c r="A2376" t="s">
        <v>2814</v>
      </c>
      <c r="B2376" t="s">
        <v>2963</v>
      </c>
      <c r="C2376">
        <v>14123708</v>
      </c>
      <c r="D2376" t="s">
        <v>945</v>
      </c>
      <c r="E2376" s="134">
        <v>117.45</v>
      </c>
      <c r="F2376" t="s">
        <v>2816</v>
      </c>
    </row>
    <row r="2377" spans="1:6" x14ac:dyDescent="0.2">
      <c r="A2377" t="s">
        <v>2814</v>
      </c>
      <c r="B2377" t="s">
        <v>2963</v>
      </c>
      <c r="C2377">
        <v>14123709</v>
      </c>
      <c r="D2377" t="s">
        <v>946</v>
      </c>
      <c r="E2377" s="134">
        <v>117.45</v>
      </c>
      <c r="F2377" t="s">
        <v>2816</v>
      </c>
    </row>
    <row r="2378" spans="1:6" x14ac:dyDescent="0.2">
      <c r="A2378" t="s">
        <v>2814</v>
      </c>
      <c r="B2378" t="s">
        <v>2963</v>
      </c>
      <c r="C2378">
        <v>14123719</v>
      </c>
      <c r="D2378" t="s">
        <v>953</v>
      </c>
      <c r="E2378" s="134">
        <v>117.45</v>
      </c>
      <c r="F2378" t="s">
        <v>2816</v>
      </c>
    </row>
    <row r="2379" spans="1:6" x14ac:dyDescent="0.2">
      <c r="A2379" t="s">
        <v>2814</v>
      </c>
      <c r="B2379" t="s">
        <v>2963</v>
      </c>
      <c r="C2379">
        <v>14123720</v>
      </c>
      <c r="D2379" t="s">
        <v>955</v>
      </c>
      <c r="E2379" s="134">
        <v>117.45</v>
      </c>
      <c r="F2379" t="s">
        <v>2816</v>
      </c>
    </row>
    <row r="2380" spans="1:6" x14ac:dyDescent="0.2">
      <c r="A2380" t="s">
        <v>2814</v>
      </c>
      <c r="B2380" t="s">
        <v>2963</v>
      </c>
      <c r="C2380">
        <v>14123725</v>
      </c>
      <c r="D2380" t="s">
        <v>956</v>
      </c>
      <c r="E2380" s="134">
        <v>117.45</v>
      </c>
      <c r="F2380" t="s">
        <v>2816</v>
      </c>
    </row>
    <row r="2381" spans="1:6" x14ac:dyDescent="0.2">
      <c r="A2381" t="s">
        <v>2814</v>
      </c>
      <c r="B2381" t="s">
        <v>2963</v>
      </c>
      <c r="C2381">
        <v>14123771</v>
      </c>
      <c r="D2381" t="s">
        <v>960</v>
      </c>
      <c r="E2381" s="134">
        <v>117.45</v>
      </c>
      <c r="F2381" t="s">
        <v>2816</v>
      </c>
    </row>
    <row r="2382" spans="1:6" x14ac:dyDescent="0.2">
      <c r="A2382" t="s">
        <v>2814</v>
      </c>
      <c r="B2382" t="s">
        <v>2963</v>
      </c>
      <c r="C2382">
        <v>14123787</v>
      </c>
      <c r="D2382" t="s">
        <v>963</v>
      </c>
      <c r="E2382" s="134">
        <v>117.45</v>
      </c>
      <c r="F2382" t="s">
        <v>2816</v>
      </c>
    </row>
    <row r="2383" spans="1:6" x14ac:dyDescent="0.2">
      <c r="A2383" t="s">
        <v>2814</v>
      </c>
      <c r="B2383" t="s">
        <v>2963</v>
      </c>
      <c r="C2383">
        <v>14123789</v>
      </c>
      <c r="D2383" t="s">
        <v>964</v>
      </c>
      <c r="E2383" s="134">
        <v>117.45</v>
      </c>
      <c r="F2383" t="s">
        <v>2816</v>
      </c>
    </row>
    <row r="2384" spans="1:6" x14ac:dyDescent="0.2">
      <c r="A2384" t="s">
        <v>2814</v>
      </c>
      <c r="B2384" t="s">
        <v>2963</v>
      </c>
      <c r="C2384">
        <v>14123843</v>
      </c>
      <c r="D2384" t="s">
        <v>970</v>
      </c>
      <c r="E2384" s="134">
        <v>117.45</v>
      </c>
      <c r="F2384" t="s">
        <v>2816</v>
      </c>
    </row>
    <row r="2385" spans="1:6" x14ac:dyDescent="0.2">
      <c r="A2385" t="s">
        <v>2814</v>
      </c>
      <c r="B2385" t="s">
        <v>2963</v>
      </c>
      <c r="C2385">
        <v>14123845</v>
      </c>
      <c r="D2385" t="s">
        <v>973</v>
      </c>
      <c r="E2385" s="134">
        <v>117.45</v>
      </c>
      <c r="F2385" t="s">
        <v>2816</v>
      </c>
    </row>
    <row r="2386" spans="1:6" x14ac:dyDescent="0.2">
      <c r="A2386" t="s">
        <v>2814</v>
      </c>
      <c r="B2386" t="s">
        <v>2963</v>
      </c>
      <c r="C2386">
        <v>14123846</v>
      </c>
      <c r="D2386" t="s">
        <v>974</v>
      </c>
      <c r="E2386" s="134">
        <v>117.45</v>
      </c>
      <c r="F2386" t="s">
        <v>2816</v>
      </c>
    </row>
    <row r="2387" spans="1:6" x14ac:dyDescent="0.2">
      <c r="A2387" t="s">
        <v>2814</v>
      </c>
      <c r="B2387" t="s">
        <v>2963</v>
      </c>
      <c r="C2387">
        <v>14123884</v>
      </c>
      <c r="D2387" t="s">
        <v>976</v>
      </c>
      <c r="E2387" s="134">
        <v>117.45</v>
      </c>
      <c r="F2387" t="s">
        <v>2816</v>
      </c>
    </row>
    <row r="2388" spans="1:6" x14ac:dyDescent="0.2">
      <c r="A2388" t="s">
        <v>2814</v>
      </c>
      <c r="B2388" t="s">
        <v>2963</v>
      </c>
      <c r="C2388">
        <v>14123885</v>
      </c>
      <c r="D2388" t="s">
        <v>978</v>
      </c>
      <c r="E2388" s="134">
        <v>117.45</v>
      </c>
      <c r="F2388" t="s">
        <v>2816</v>
      </c>
    </row>
    <row r="2389" spans="1:6" x14ac:dyDescent="0.2">
      <c r="A2389" t="s">
        <v>2814</v>
      </c>
      <c r="B2389" t="s">
        <v>2963</v>
      </c>
      <c r="C2389">
        <v>14123893</v>
      </c>
      <c r="D2389" t="s">
        <v>979</v>
      </c>
      <c r="E2389" s="134">
        <v>117.45</v>
      </c>
      <c r="F2389" t="s">
        <v>2816</v>
      </c>
    </row>
    <row r="2390" spans="1:6" x14ac:dyDescent="0.2">
      <c r="A2390" t="s">
        <v>2814</v>
      </c>
      <c r="B2390" t="s">
        <v>2963</v>
      </c>
      <c r="C2390">
        <v>14123918</v>
      </c>
      <c r="D2390" t="s">
        <v>991</v>
      </c>
      <c r="E2390" s="134">
        <v>117.45</v>
      </c>
      <c r="F2390" t="s">
        <v>2816</v>
      </c>
    </row>
    <row r="2391" spans="1:6" x14ac:dyDescent="0.2">
      <c r="A2391" t="s">
        <v>2814</v>
      </c>
      <c r="B2391" t="s">
        <v>2963</v>
      </c>
      <c r="C2391">
        <v>14123920</v>
      </c>
      <c r="D2391" t="s">
        <v>993</v>
      </c>
      <c r="E2391" s="134">
        <v>117.45</v>
      </c>
      <c r="F2391" t="s">
        <v>2816</v>
      </c>
    </row>
    <row r="2392" spans="1:6" x14ac:dyDescent="0.2">
      <c r="A2392" t="s">
        <v>2814</v>
      </c>
      <c r="B2392" t="s">
        <v>2963</v>
      </c>
      <c r="C2392">
        <v>14123950</v>
      </c>
      <c r="D2392" t="s">
        <v>997</v>
      </c>
      <c r="E2392" s="134">
        <v>117.45</v>
      </c>
      <c r="F2392" t="s">
        <v>2816</v>
      </c>
    </row>
    <row r="2393" spans="1:6" x14ac:dyDescent="0.2">
      <c r="A2393" t="s">
        <v>2814</v>
      </c>
      <c r="B2393" t="s">
        <v>2963</v>
      </c>
      <c r="C2393">
        <v>14123951</v>
      </c>
      <c r="D2393" t="s">
        <v>998</v>
      </c>
      <c r="E2393" s="134">
        <v>117.45</v>
      </c>
      <c r="F2393" t="s">
        <v>2816</v>
      </c>
    </row>
    <row r="2394" spans="1:6" x14ac:dyDescent="0.2">
      <c r="A2394" t="s">
        <v>2814</v>
      </c>
      <c r="B2394" t="s">
        <v>2963</v>
      </c>
      <c r="C2394">
        <v>14123971</v>
      </c>
      <c r="D2394" t="s">
        <v>999</v>
      </c>
      <c r="E2394" s="134">
        <v>117.45</v>
      </c>
      <c r="F2394" t="s">
        <v>2816</v>
      </c>
    </row>
    <row r="2395" spans="1:6" x14ac:dyDescent="0.2">
      <c r="A2395" t="s">
        <v>2814</v>
      </c>
      <c r="B2395" t="s">
        <v>2963</v>
      </c>
      <c r="C2395">
        <v>14123985</v>
      </c>
      <c r="D2395" t="s">
        <v>1001</v>
      </c>
      <c r="E2395" s="134">
        <v>117.45</v>
      </c>
      <c r="F2395" t="s">
        <v>2816</v>
      </c>
    </row>
    <row r="2396" spans="1:6" x14ac:dyDescent="0.2">
      <c r="A2396" t="s">
        <v>2814</v>
      </c>
      <c r="B2396" t="s">
        <v>2963</v>
      </c>
      <c r="C2396">
        <v>14123986</v>
      </c>
      <c r="D2396" t="s">
        <v>1002</v>
      </c>
      <c r="E2396" s="134">
        <v>117.45</v>
      </c>
      <c r="F2396" t="s">
        <v>2816</v>
      </c>
    </row>
    <row r="2397" spans="1:6" x14ac:dyDescent="0.2">
      <c r="A2397" t="s">
        <v>2814</v>
      </c>
      <c r="B2397" t="s">
        <v>2963</v>
      </c>
      <c r="C2397">
        <v>14123987</v>
      </c>
      <c r="D2397" t="s">
        <v>1003</v>
      </c>
      <c r="E2397" s="134">
        <v>117.45</v>
      </c>
      <c r="F2397" t="s">
        <v>2816</v>
      </c>
    </row>
    <row r="2398" spans="1:6" x14ac:dyDescent="0.2">
      <c r="A2398" t="s">
        <v>2814</v>
      </c>
      <c r="B2398" t="s">
        <v>2963</v>
      </c>
      <c r="C2398">
        <v>14123988</v>
      </c>
      <c r="D2398" t="s">
        <v>1004</v>
      </c>
      <c r="E2398" s="134">
        <v>117.45</v>
      </c>
      <c r="F2398" t="s">
        <v>2816</v>
      </c>
    </row>
    <row r="2399" spans="1:6" x14ac:dyDescent="0.2">
      <c r="A2399" t="s">
        <v>2814</v>
      </c>
      <c r="B2399" t="s">
        <v>2963</v>
      </c>
      <c r="C2399">
        <v>14124020</v>
      </c>
      <c r="D2399" t="s">
        <v>1006</v>
      </c>
      <c r="E2399" s="134">
        <v>117.45</v>
      </c>
      <c r="F2399" t="s">
        <v>2816</v>
      </c>
    </row>
    <row r="2400" spans="1:6" x14ac:dyDescent="0.2">
      <c r="A2400" t="s">
        <v>2814</v>
      </c>
      <c r="B2400" t="s">
        <v>2963</v>
      </c>
      <c r="C2400">
        <v>14124028</v>
      </c>
      <c r="D2400" t="s">
        <v>1008</v>
      </c>
      <c r="E2400" s="134">
        <v>117.45</v>
      </c>
      <c r="F2400" t="s">
        <v>2816</v>
      </c>
    </row>
    <row r="2401" spans="1:6" x14ac:dyDescent="0.2">
      <c r="A2401" t="s">
        <v>2814</v>
      </c>
      <c r="B2401" t="s">
        <v>2963</v>
      </c>
      <c r="C2401">
        <v>14102637</v>
      </c>
      <c r="D2401" t="s">
        <v>2911</v>
      </c>
      <c r="E2401" s="134">
        <v>109.03</v>
      </c>
      <c r="F2401" t="s">
        <v>2816</v>
      </c>
    </row>
    <row r="2402" spans="1:6" x14ac:dyDescent="0.2">
      <c r="A2402" t="s">
        <v>2814</v>
      </c>
      <c r="B2402" t="s">
        <v>2963</v>
      </c>
      <c r="C2402">
        <v>14102638</v>
      </c>
      <c r="D2402" t="s">
        <v>2912</v>
      </c>
      <c r="E2402" s="134">
        <v>109.03</v>
      </c>
      <c r="F2402" t="s">
        <v>2816</v>
      </c>
    </row>
    <row r="2403" spans="1:6" x14ac:dyDescent="0.2">
      <c r="A2403" t="s">
        <v>2814</v>
      </c>
      <c r="B2403" t="s">
        <v>2963</v>
      </c>
      <c r="C2403">
        <v>14103046</v>
      </c>
      <c r="D2403" t="s">
        <v>2913</v>
      </c>
      <c r="E2403" s="134">
        <v>109.03</v>
      </c>
      <c r="F2403" t="s">
        <v>2816</v>
      </c>
    </row>
    <row r="2404" spans="1:6" x14ac:dyDescent="0.2">
      <c r="A2404" t="s">
        <v>2814</v>
      </c>
      <c r="B2404" t="s">
        <v>2963</v>
      </c>
      <c r="C2404">
        <v>14108427</v>
      </c>
      <c r="D2404" t="s">
        <v>2933</v>
      </c>
      <c r="E2404" s="134">
        <v>109.03</v>
      </c>
      <c r="F2404" t="s">
        <v>2816</v>
      </c>
    </row>
    <row r="2405" spans="1:6" x14ac:dyDescent="0.2">
      <c r="A2405" t="s">
        <v>2814</v>
      </c>
      <c r="B2405" t="s">
        <v>2963</v>
      </c>
      <c r="C2405">
        <v>14111261</v>
      </c>
      <c r="D2405" t="s">
        <v>2934</v>
      </c>
      <c r="E2405" s="134">
        <v>109.03</v>
      </c>
      <c r="F2405" t="s">
        <v>2816</v>
      </c>
    </row>
    <row r="2406" spans="1:6" x14ac:dyDescent="0.2">
      <c r="A2406" t="s">
        <v>2814</v>
      </c>
      <c r="B2406" t="s">
        <v>2963</v>
      </c>
      <c r="C2406">
        <v>14111633</v>
      </c>
      <c r="D2406" t="s">
        <v>2937</v>
      </c>
      <c r="E2406" s="134">
        <v>109.03</v>
      </c>
      <c r="F2406" t="s">
        <v>2816</v>
      </c>
    </row>
    <row r="2407" spans="1:6" x14ac:dyDescent="0.2">
      <c r="A2407" t="s">
        <v>2814</v>
      </c>
      <c r="B2407" t="s">
        <v>2963</v>
      </c>
      <c r="C2407">
        <v>14111652</v>
      </c>
      <c r="D2407" t="s">
        <v>2914</v>
      </c>
      <c r="E2407" s="134">
        <v>109.03</v>
      </c>
      <c r="F2407" t="s">
        <v>2816</v>
      </c>
    </row>
    <row r="2408" spans="1:6" x14ac:dyDescent="0.2">
      <c r="A2408" t="s">
        <v>2814</v>
      </c>
      <c r="B2408" t="s">
        <v>2963</v>
      </c>
      <c r="C2408">
        <v>14111997</v>
      </c>
      <c r="D2408" t="s">
        <v>2938</v>
      </c>
      <c r="E2408" s="134">
        <v>109.03</v>
      </c>
      <c r="F2408" t="s">
        <v>2816</v>
      </c>
    </row>
    <row r="2409" spans="1:6" x14ac:dyDescent="0.2">
      <c r="A2409" t="s">
        <v>2814</v>
      </c>
      <c r="B2409" t="s">
        <v>2963</v>
      </c>
      <c r="C2409">
        <v>14213524</v>
      </c>
      <c r="D2409" t="s">
        <v>2915</v>
      </c>
      <c r="E2409" s="134">
        <v>109.03</v>
      </c>
      <c r="F2409" t="s">
        <v>2816</v>
      </c>
    </row>
    <row r="2410" spans="1:6" x14ac:dyDescent="0.2">
      <c r="A2410" t="s">
        <v>2814</v>
      </c>
      <c r="B2410" t="s">
        <v>2963</v>
      </c>
      <c r="C2410">
        <v>14221054</v>
      </c>
      <c r="D2410" t="s">
        <v>2946</v>
      </c>
      <c r="E2410" s="134">
        <v>109.03</v>
      </c>
      <c r="F2410" t="s">
        <v>2816</v>
      </c>
    </row>
    <row r="2411" spans="1:6" x14ac:dyDescent="0.2">
      <c r="A2411" t="s">
        <v>2814</v>
      </c>
      <c r="B2411" t="s">
        <v>2963</v>
      </c>
      <c r="C2411">
        <v>14221921</v>
      </c>
      <c r="D2411" t="s">
        <v>2916</v>
      </c>
      <c r="E2411" s="134">
        <v>109.03</v>
      </c>
      <c r="F2411" t="s">
        <v>2816</v>
      </c>
    </row>
    <row r="2412" spans="1:6" x14ac:dyDescent="0.2">
      <c r="A2412" t="s">
        <v>2814</v>
      </c>
      <c r="B2412" t="s">
        <v>2963</v>
      </c>
      <c r="C2412">
        <v>14222082</v>
      </c>
      <c r="D2412" t="s">
        <v>2948</v>
      </c>
      <c r="E2412" s="134">
        <v>109.03</v>
      </c>
      <c r="F2412" t="s">
        <v>2816</v>
      </c>
    </row>
    <row r="2413" spans="1:6" x14ac:dyDescent="0.2">
      <c r="A2413" t="s">
        <v>2814</v>
      </c>
      <c r="B2413" t="s">
        <v>2963</v>
      </c>
      <c r="C2413">
        <v>14222163</v>
      </c>
      <c r="D2413" t="s">
        <v>2949</v>
      </c>
      <c r="E2413" s="134">
        <v>109.03</v>
      </c>
      <c r="F2413" t="s">
        <v>2816</v>
      </c>
    </row>
    <row r="2414" spans="1:6" x14ac:dyDescent="0.2">
      <c r="A2414" t="s">
        <v>2814</v>
      </c>
      <c r="B2414" t="s">
        <v>2963</v>
      </c>
      <c r="C2414">
        <v>14222997</v>
      </c>
      <c r="D2414" t="s">
        <v>2917</v>
      </c>
      <c r="E2414" s="134">
        <v>109.03</v>
      </c>
      <c r="F2414" t="s">
        <v>2816</v>
      </c>
    </row>
    <row r="2415" spans="1:6" x14ac:dyDescent="0.2">
      <c r="A2415" t="s">
        <v>2814</v>
      </c>
      <c r="B2415" t="s">
        <v>2963</v>
      </c>
      <c r="C2415">
        <v>14223279</v>
      </c>
      <c r="D2415" t="s">
        <v>2951</v>
      </c>
      <c r="E2415" s="134">
        <v>109.03</v>
      </c>
      <c r="F2415" t="s">
        <v>2816</v>
      </c>
    </row>
    <row r="2416" spans="1:6" x14ac:dyDescent="0.2">
      <c r="A2416" t="s">
        <v>2814</v>
      </c>
      <c r="B2416" t="s">
        <v>2963</v>
      </c>
      <c r="C2416">
        <v>14223290</v>
      </c>
      <c r="D2416" t="s">
        <v>2952</v>
      </c>
      <c r="E2416" s="134">
        <v>109.03</v>
      </c>
      <c r="F2416" t="s">
        <v>2816</v>
      </c>
    </row>
    <row r="2417" spans="1:6" x14ac:dyDescent="0.2">
      <c r="A2417" t="s">
        <v>2814</v>
      </c>
      <c r="B2417" t="s">
        <v>2963</v>
      </c>
      <c r="C2417">
        <v>14223590</v>
      </c>
      <c r="D2417" t="s">
        <v>2954</v>
      </c>
      <c r="E2417" s="134">
        <v>109.03</v>
      </c>
      <c r="F2417" t="s">
        <v>2816</v>
      </c>
    </row>
    <row r="2418" spans="1:6" x14ac:dyDescent="0.2">
      <c r="A2418" t="s">
        <v>2814</v>
      </c>
      <c r="B2418" t="s">
        <v>2963</v>
      </c>
      <c r="C2418">
        <v>14223662</v>
      </c>
      <c r="D2418" t="s">
        <v>2918</v>
      </c>
      <c r="E2418" s="134">
        <v>109.03</v>
      </c>
      <c r="F2418" t="s">
        <v>2816</v>
      </c>
    </row>
    <row r="2419" spans="1:6" x14ac:dyDescent="0.2">
      <c r="A2419" t="s">
        <v>2814</v>
      </c>
      <c r="B2419" t="s">
        <v>2963</v>
      </c>
      <c r="C2419">
        <v>14223826</v>
      </c>
      <c r="D2419" t="s">
        <v>2919</v>
      </c>
      <c r="E2419" s="134">
        <v>109.03</v>
      </c>
      <c r="F2419" t="s">
        <v>2816</v>
      </c>
    </row>
    <row r="2420" spans="1:6" x14ac:dyDescent="0.2">
      <c r="A2420" t="s">
        <v>2814</v>
      </c>
      <c r="B2420" t="s">
        <v>2963</v>
      </c>
      <c r="C2420">
        <v>16101291</v>
      </c>
      <c r="D2420" t="s">
        <v>2818</v>
      </c>
      <c r="E2420" s="134">
        <v>106.56</v>
      </c>
      <c r="F2420" t="s">
        <v>2816</v>
      </c>
    </row>
    <row r="2421" spans="1:6" x14ac:dyDescent="0.2">
      <c r="A2421" t="s">
        <v>2814</v>
      </c>
      <c r="B2421" t="s">
        <v>2963</v>
      </c>
      <c r="C2421">
        <v>16101324</v>
      </c>
      <c r="D2421" t="s">
        <v>2821</v>
      </c>
      <c r="E2421" s="134">
        <v>106.56</v>
      </c>
      <c r="F2421" t="s">
        <v>2816</v>
      </c>
    </row>
    <row r="2422" spans="1:6" x14ac:dyDescent="0.2">
      <c r="A2422" t="s">
        <v>2814</v>
      </c>
      <c r="B2422" t="s">
        <v>2963</v>
      </c>
      <c r="C2422">
        <v>16101347</v>
      </c>
      <c r="D2422" t="s">
        <v>2822</v>
      </c>
      <c r="E2422" s="134">
        <v>106.56</v>
      </c>
      <c r="F2422" t="s">
        <v>2816</v>
      </c>
    </row>
    <row r="2423" spans="1:6" x14ac:dyDescent="0.2">
      <c r="A2423" t="s">
        <v>2814</v>
      </c>
      <c r="B2423" t="s">
        <v>2963</v>
      </c>
      <c r="C2423">
        <v>16101370</v>
      </c>
      <c r="D2423" t="s">
        <v>2823</v>
      </c>
      <c r="E2423" s="134">
        <v>106.56</v>
      </c>
      <c r="F2423" t="s">
        <v>2816</v>
      </c>
    </row>
    <row r="2424" spans="1:6" x14ac:dyDescent="0.2">
      <c r="A2424" t="s">
        <v>2814</v>
      </c>
      <c r="B2424" t="s">
        <v>2963</v>
      </c>
      <c r="C2424">
        <v>16101382</v>
      </c>
      <c r="D2424" t="s">
        <v>2824</v>
      </c>
      <c r="E2424" s="134">
        <v>106.56</v>
      </c>
      <c r="F2424" t="s">
        <v>2816</v>
      </c>
    </row>
    <row r="2425" spans="1:6" x14ac:dyDescent="0.2">
      <c r="A2425" t="s">
        <v>2814</v>
      </c>
      <c r="B2425" t="s">
        <v>2963</v>
      </c>
      <c r="C2425">
        <v>16102265</v>
      </c>
      <c r="D2425" t="s">
        <v>2827</v>
      </c>
      <c r="E2425" s="134">
        <v>106.56</v>
      </c>
      <c r="F2425" t="s">
        <v>2816</v>
      </c>
    </row>
    <row r="2426" spans="1:6" x14ac:dyDescent="0.2">
      <c r="A2426" t="s">
        <v>2814</v>
      </c>
      <c r="B2426" t="s">
        <v>2963</v>
      </c>
      <c r="C2426">
        <v>16102762</v>
      </c>
      <c r="D2426" t="s">
        <v>2830</v>
      </c>
      <c r="E2426" s="134">
        <v>106.56</v>
      </c>
      <c r="F2426" t="s">
        <v>2816</v>
      </c>
    </row>
    <row r="2427" spans="1:6" x14ac:dyDescent="0.2">
      <c r="A2427" t="s">
        <v>2814</v>
      </c>
      <c r="B2427" t="s">
        <v>2963</v>
      </c>
      <c r="C2427">
        <v>16103733</v>
      </c>
      <c r="D2427" t="s">
        <v>2831</v>
      </c>
      <c r="E2427" s="134">
        <v>106.56</v>
      </c>
      <c r="F2427" t="s">
        <v>2816</v>
      </c>
    </row>
    <row r="2428" spans="1:6" x14ac:dyDescent="0.2">
      <c r="A2428" t="s">
        <v>2814</v>
      </c>
      <c r="B2428" t="s">
        <v>2963</v>
      </c>
      <c r="C2428">
        <v>16104436</v>
      </c>
      <c r="D2428" t="s">
        <v>2832</v>
      </c>
      <c r="E2428" s="134">
        <v>106.56</v>
      </c>
      <c r="F2428" t="s">
        <v>2816</v>
      </c>
    </row>
    <row r="2429" spans="1:6" x14ac:dyDescent="0.2">
      <c r="A2429" t="s">
        <v>2814</v>
      </c>
      <c r="B2429" t="s">
        <v>2963</v>
      </c>
      <c r="C2429">
        <v>16105115</v>
      </c>
      <c r="D2429" t="s">
        <v>2835</v>
      </c>
      <c r="E2429" s="134">
        <v>106.56</v>
      </c>
      <c r="F2429" t="s">
        <v>2816</v>
      </c>
    </row>
    <row r="2430" spans="1:6" x14ac:dyDescent="0.2">
      <c r="A2430" t="s">
        <v>2814</v>
      </c>
      <c r="B2430" t="s">
        <v>2963</v>
      </c>
      <c r="C2430">
        <v>16107227</v>
      </c>
      <c r="D2430" t="s">
        <v>2837</v>
      </c>
      <c r="E2430" s="134">
        <v>106.56</v>
      </c>
      <c r="F2430" t="s">
        <v>2816</v>
      </c>
    </row>
    <row r="2431" spans="1:6" x14ac:dyDescent="0.2">
      <c r="A2431" t="s">
        <v>2814</v>
      </c>
      <c r="B2431" t="s">
        <v>2963</v>
      </c>
      <c r="C2431">
        <v>16107705</v>
      </c>
      <c r="D2431" t="s">
        <v>2839</v>
      </c>
      <c r="E2431" s="134">
        <v>106.56</v>
      </c>
      <c r="F2431" t="s">
        <v>2816</v>
      </c>
    </row>
    <row r="2432" spans="1:6" x14ac:dyDescent="0.2">
      <c r="A2432" t="s">
        <v>2814</v>
      </c>
      <c r="B2432" t="s">
        <v>2963</v>
      </c>
      <c r="C2432">
        <v>16107845</v>
      </c>
      <c r="D2432" t="s">
        <v>2840</v>
      </c>
      <c r="E2432" s="134">
        <v>106.56</v>
      </c>
      <c r="F2432" t="s">
        <v>2816</v>
      </c>
    </row>
    <row r="2433" spans="1:6" x14ac:dyDescent="0.2">
      <c r="A2433" t="s">
        <v>2814</v>
      </c>
      <c r="B2433" t="s">
        <v>2963</v>
      </c>
      <c r="C2433">
        <v>16107905</v>
      </c>
      <c r="D2433" t="s">
        <v>2841</v>
      </c>
      <c r="E2433" s="134">
        <v>106.56</v>
      </c>
      <c r="F2433" t="s">
        <v>2816</v>
      </c>
    </row>
    <row r="2434" spans="1:6" x14ac:dyDescent="0.2">
      <c r="A2434" t="s">
        <v>2814</v>
      </c>
      <c r="B2434" t="s">
        <v>2963</v>
      </c>
      <c r="C2434">
        <v>16110177</v>
      </c>
      <c r="D2434" t="s">
        <v>2843</v>
      </c>
      <c r="E2434" s="134">
        <v>106.56</v>
      </c>
      <c r="F2434" t="s">
        <v>2816</v>
      </c>
    </row>
    <row r="2435" spans="1:6" x14ac:dyDescent="0.2">
      <c r="A2435" t="s">
        <v>2814</v>
      </c>
      <c r="B2435" t="s">
        <v>2963</v>
      </c>
      <c r="C2435">
        <v>16110744</v>
      </c>
      <c r="D2435" t="s">
        <v>2844</v>
      </c>
      <c r="E2435" s="134">
        <v>106.56</v>
      </c>
      <c r="F2435" t="s">
        <v>2816</v>
      </c>
    </row>
    <row r="2436" spans="1:6" x14ac:dyDescent="0.2">
      <c r="A2436" t="s">
        <v>2814</v>
      </c>
      <c r="B2436" t="s">
        <v>2963</v>
      </c>
      <c r="C2436">
        <v>16112068</v>
      </c>
      <c r="D2436" t="s">
        <v>2847</v>
      </c>
      <c r="E2436" s="134">
        <v>106.56</v>
      </c>
      <c r="F2436" t="s">
        <v>2816</v>
      </c>
    </row>
    <row r="2437" spans="1:6" x14ac:dyDescent="0.2">
      <c r="A2437" t="s">
        <v>2814</v>
      </c>
      <c r="B2437" t="s">
        <v>2963</v>
      </c>
      <c r="C2437">
        <v>16112578</v>
      </c>
      <c r="D2437" t="s">
        <v>2848</v>
      </c>
      <c r="E2437" s="134">
        <v>106.56</v>
      </c>
      <c r="F2437" t="s">
        <v>2816</v>
      </c>
    </row>
    <row r="2438" spans="1:6" x14ac:dyDescent="0.2">
      <c r="A2438" t="s">
        <v>2814</v>
      </c>
      <c r="B2438" t="s">
        <v>2963</v>
      </c>
      <c r="C2438">
        <v>16113003</v>
      </c>
      <c r="D2438" t="s">
        <v>2849</v>
      </c>
      <c r="E2438" s="134">
        <v>106.56</v>
      </c>
      <c r="F2438" t="s">
        <v>2816</v>
      </c>
    </row>
    <row r="2439" spans="1:6" x14ac:dyDescent="0.2">
      <c r="A2439" t="s">
        <v>2814</v>
      </c>
      <c r="B2439" t="s">
        <v>2963</v>
      </c>
      <c r="C2439">
        <v>16114063</v>
      </c>
      <c r="D2439" t="s">
        <v>2850</v>
      </c>
      <c r="E2439" s="134">
        <v>106.56</v>
      </c>
      <c r="F2439" t="s">
        <v>2816</v>
      </c>
    </row>
    <row r="2440" spans="1:6" x14ac:dyDescent="0.2">
      <c r="A2440" t="s">
        <v>2814</v>
      </c>
      <c r="B2440" t="s">
        <v>2963</v>
      </c>
      <c r="C2440">
        <v>16114529</v>
      </c>
      <c r="D2440" t="s">
        <v>2851</v>
      </c>
      <c r="E2440" s="134">
        <v>106.56</v>
      </c>
      <c r="F2440" t="s">
        <v>2816</v>
      </c>
    </row>
    <row r="2441" spans="1:6" x14ac:dyDescent="0.2">
      <c r="A2441" t="s">
        <v>2814</v>
      </c>
      <c r="B2441" t="s">
        <v>2963</v>
      </c>
      <c r="C2441">
        <v>16114991</v>
      </c>
      <c r="D2441" t="s">
        <v>2852</v>
      </c>
      <c r="E2441" s="134">
        <v>106.56</v>
      </c>
      <c r="F2441" t="s">
        <v>2816</v>
      </c>
    </row>
    <row r="2442" spans="1:6" x14ac:dyDescent="0.2">
      <c r="A2442" t="s">
        <v>2814</v>
      </c>
      <c r="B2442" t="s">
        <v>2963</v>
      </c>
      <c r="C2442">
        <v>16115026</v>
      </c>
      <c r="D2442" t="s">
        <v>2853</v>
      </c>
      <c r="E2442" s="134">
        <v>106.56</v>
      </c>
      <c r="F2442" t="s">
        <v>2816</v>
      </c>
    </row>
    <row r="2443" spans="1:6" x14ac:dyDescent="0.2">
      <c r="A2443" t="s">
        <v>2814</v>
      </c>
      <c r="B2443" t="s">
        <v>2963</v>
      </c>
      <c r="C2443">
        <v>16115150</v>
      </c>
      <c r="D2443" t="s">
        <v>2854</v>
      </c>
      <c r="E2443" s="134">
        <v>106.56</v>
      </c>
      <c r="F2443" t="s">
        <v>2816</v>
      </c>
    </row>
    <row r="2444" spans="1:6" x14ac:dyDescent="0.2">
      <c r="A2444" t="s">
        <v>2814</v>
      </c>
      <c r="B2444" t="s">
        <v>2963</v>
      </c>
      <c r="C2444">
        <v>16115783</v>
      </c>
      <c r="D2444" t="s">
        <v>2857</v>
      </c>
      <c r="E2444" s="134">
        <v>106.56</v>
      </c>
      <c r="F2444" t="s">
        <v>2816</v>
      </c>
    </row>
    <row r="2445" spans="1:6" x14ac:dyDescent="0.2">
      <c r="A2445" t="s">
        <v>2814</v>
      </c>
      <c r="B2445" t="s">
        <v>2963</v>
      </c>
      <c r="C2445">
        <v>16116202</v>
      </c>
      <c r="D2445" t="s">
        <v>2859</v>
      </c>
      <c r="E2445" s="134">
        <v>106.56</v>
      </c>
      <c r="F2445" t="s">
        <v>2816</v>
      </c>
    </row>
    <row r="2446" spans="1:6" x14ac:dyDescent="0.2">
      <c r="A2446" t="s">
        <v>2814</v>
      </c>
      <c r="B2446" t="s">
        <v>2963</v>
      </c>
      <c r="C2446">
        <v>16116477</v>
      </c>
      <c r="D2446" t="s">
        <v>2861</v>
      </c>
      <c r="E2446" s="134">
        <v>106.56</v>
      </c>
      <c r="F2446" t="s">
        <v>2816</v>
      </c>
    </row>
    <row r="2447" spans="1:6" x14ac:dyDescent="0.2">
      <c r="A2447" t="s">
        <v>2814</v>
      </c>
      <c r="B2447" t="s">
        <v>2963</v>
      </c>
      <c r="C2447">
        <v>16116733</v>
      </c>
      <c r="D2447" t="s">
        <v>2862</v>
      </c>
      <c r="E2447" s="134">
        <v>106.56</v>
      </c>
      <c r="F2447" t="s">
        <v>2816</v>
      </c>
    </row>
    <row r="2448" spans="1:6" x14ac:dyDescent="0.2">
      <c r="A2448" t="s">
        <v>2814</v>
      </c>
      <c r="B2448" t="s">
        <v>2963</v>
      </c>
      <c r="C2448">
        <v>16117764</v>
      </c>
      <c r="D2448" t="s">
        <v>2864</v>
      </c>
      <c r="E2448" s="134">
        <v>106.56</v>
      </c>
      <c r="F2448" t="s">
        <v>2816</v>
      </c>
    </row>
    <row r="2449" spans="1:6" x14ac:dyDescent="0.2">
      <c r="A2449" t="s">
        <v>2814</v>
      </c>
      <c r="B2449" t="s">
        <v>2963</v>
      </c>
      <c r="C2449">
        <v>16118421</v>
      </c>
      <c r="D2449" t="s">
        <v>2865</v>
      </c>
      <c r="E2449" s="134">
        <v>106.56</v>
      </c>
      <c r="F2449" t="s">
        <v>2816</v>
      </c>
    </row>
    <row r="2450" spans="1:6" x14ac:dyDescent="0.2">
      <c r="A2450" t="s">
        <v>2814</v>
      </c>
      <c r="B2450" t="s">
        <v>2963</v>
      </c>
      <c r="C2450">
        <v>16118701</v>
      </c>
      <c r="D2450" t="s">
        <v>2867</v>
      </c>
      <c r="E2450" s="134">
        <v>106.56</v>
      </c>
      <c r="F2450" t="s">
        <v>2816</v>
      </c>
    </row>
    <row r="2451" spans="1:6" x14ac:dyDescent="0.2">
      <c r="A2451" t="s">
        <v>2814</v>
      </c>
      <c r="B2451" t="s">
        <v>2963</v>
      </c>
      <c r="C2451">
        <v>16118874</v>
      </c>
      <c r="D2451" t="s">
        <v>2869</v>
      </c>
      <c r="E2451" s="134">
        <v>106.56</v>
      </c>
      <c r="F2451" t="s">
        <v>2816</v>
      </c>
    </row>
    <row r="2452" spans="1:6" x14ac:dyDescent="0.2">
      <c r="A2452" t="s">
        <v>2814</v>
      </c>
      <c r="B2452" t="s">
        <v>2963</v>
      </c>
      <c r="C2452">
        <v>16118963</v>
      </c>
      <c r="D2452" t="s">
        <v>2870</v>
      </c>
      <c r="E2452" s="134">
        <v>106.56</v>
      </c>
      <c r="F2452" t="s">
        <v>2816</v>
      </c>
    </row>
    <row r="2453" spans="1:6" x14ac:dyDescent="0.2">
      <c r="A2453" t="s">
        <v>2814</v>
      </c>
      <c r="B2453" t="s">
        <v>2963</v>
      </c>
      <c r="C2453">
        <v>16119048</v>
      </c>
      <c r="D2453" t="s">
        <v>2871</v>
      </c>
      <c r="E2453" s="134">
        <v>106.56</v>
      </c>
      <c r="F2453" t="s">
        <v>2816</v>
      </c>
    </row>
    <row r="2454" spans="1:6" x14ac:dyDescent="0.2">
      <c r="A2454" t="s">
        <v>2814</v>
      </c>
      <c r="B2454" t="s">
        <v>2963</v>
      </c>
      <c r="C2454">
        <v>16119278</v>
      </c>
      <c r="D2454" t="s">
        <v>2872</v>
      </c>
      <c r="E2454" s="134">
        <v>106.56</v>
      </c>
      <c r="F2454" t="s">
        <v>2816</v>
      </c>
    </row>
    <row r="2455" spans="1:6" x14ac:dyDescent="0.2">
      <c r="A2455" t="s">
        <v>2814</v>
      </c>
      <c r="B2455" t="s">
        <v>2963</v>
      </c>
      <c r="C2455">
        <v>16119354</v>
      </c>
      <c r="D2455" t="s">
        <v>2873</v>
      </c>
      <c r="E2455" s="134">
        <v>106.56</v>
      </c>
      <c r="F2455" t="s">
        <v>2816</v>
      </c>
    </row>
    <row r="2456" spans="1:6" x14ac:dyDescent="0.2">
      <c r="A2456" t="s">
        <v>2814</v>
      </c>
      <c r="B2456" t="s">
        <v>2963</v>
      </c>
      <c r="C2456">
        <v>16119562</v>
      </c>
      <c r="D2456" t="s">
        <v>2874</v>
      </c>
      <c r="E2456" s="134">
        <v>106.56</v>
      </c>
      <c r="F2456" t="s">
        <v>2816</v>
      </c>
    </row>
    <row r="2457" spans="1:6" x14ac:dyDescent="0.2">
      <c r="A2457" t="s">
        <v>2814</v>
      </c>
      <c r="B2457" t="s">
        <v>2963</v>
      </c>
      <c r="C2457">
        <v>16119563</v>
      </c>
      <c r="D2457" t="s">
        <v>2875</v>
      </c>
      <c r="E2457" s="134">
        <v>106.56</v>
      </c>
      <c r="F2457" t="s">
        <v>2816</v>
      </c>
    </row>
    <row r="2458" spans="1:6" x14ac:dyDescent="0.2">
      <c r="A2458" t="s">
        <v>2814</v>
      </c>
      <c r="B2458" t="s">
        <v>2963</v>
      </c>
      <c r="C2458">
        <v>16119689</v>
      </c>
      <c r="D2458" t="s">
        <v>2876</v>
      </c>
      <c r="E2458" s="134">
        <v>106.56</v>
      </c>
      <c r="F2458" t="s">
        <v>2816</v>
      </c>
    </row>
    <row r="2459" spans="1:6" x14ac:dyDescent="0.2">
      <c r="A2459" t="s">
        <v>2814</v>
      </c>
      <c r="B2459" t="s">
        <v>2963</v>
      </c>
      <c r="C2459">
        <v>16120137</v>
      </c>
      <c r="D2459" t="s">
        <v>2877</v>
      </c>
      <c r="E2459" s="134">
        <v>106.56</v>
      </c>
      <c r="F2459" t="s">
        <v>2816</v>
      </c>
    </row>
    <row r="2460" spans="1:6" x14ac:dyDescent="0.2">
      <c r="A2460" t="s">
        <v>2814</v>
      </c>
      <c r="B2460" t="s">
        <v>2963</v>
      </c>
      <c r="C2460">
        <v>16120702</v>
      </c>
      <c r="D2460" t="s">
        <v>2880</v>
      </c>
      <c r="E2460" s="134">
        <v>106.56</v>
      </c>
      <c r="F2460" t="s">
        <v>2816</v>
      </c>
    </row>
    <row r="2461" spans="1:6" x14ac:dyDescent="0.2">
      <c r="A2461" t="s">
        <v>2814</v>
      </c>
      <c r="B2461" t="s">
        <v>2963</v>
      </c>
      <c r="C2461">
        <v>16121712</v>
      </c>
      <c r="D2461" t="s">
        <v>2882</v>
      </c>
      <c r="E2461" s="134">
        <v>106.56</v>
      </c>
      <c r="F2461" t="s">
        <v>2816</v>
      </c>
    </row>
    <row r="2462" spans="1:6" x14ac:dyDescent="0.2">
      <c r="A2462" t="s">
        <v>2814</v>
      </c>
      <c r="B2462" t="s">
        <v>2963</v>
      </c>
      <c r="C2462">
        <v>16121844</v>
      </c>
      <c r="D2462" t="s">
        <v>2883</v>
      </c>
      <c r="E2462" s="134">
        <v>106.56</v>
      </c>
      <c r="F2462" t="s">
        <v>2816</v>
      </c>
    </row>
    <row r="2463" spans="1:6" x14ac:dyDescent="0.2">
      <c r="A2463" t="s">
        <v>2814</v>
      </c>
      <c r="B2463" t="s">
        <v>2963</v>
      </c>
      <c r="C2463">
        <v>16121937</v>
      </c>
      <c r="D2463" t="s">
        <v>2884</v>
      </c>
      <c r="E2463" s="134">
        <v>106.56</v>
      </c>
      <c r="F2463" t="s">
        <v>2816</v>
      </c>
    </row>
    <row r="2464" spans="1:6" x14ac:dyDescent="0.2">
      <c r="A2464" t="s">
        <v>2814</v>
      </c>
      <c r="B2464" t="s">
        <v>2963</v>
      </c>
      <c r="C2464">
        <v>16122078</v>
      </c>
      <c r="D2464" t="s">
        <v>2885</v>
      </c>
      <c r="E2464" s="134">
        <v>106.56</v>
      </c>
      <c r="F2464" t="s">
        <v>2816</v>
      </c>
    </row>
    <row r="2465" spans="1:6" x14ac:dyDescent="0.2">
      <c r="A2465" t="s">
        <v>2814</v>
      </c>
      <c r="B2465" t="s">
        <v>2963</v>
      </c>
      <c r="C2465">
        <v>16122204</v>
      </c>
      <c r="D2465" t="s">
        <v>2886</v>
      </c>
      <c r="E2465" s="134">
        <v>106.56</v>
      </c>
      <c r="F2465" t="s">
        <v>2816</v>
      </c>
    </row>
    <row r="2466" spans="1:6" x14ac:dyDescent="0.2">
      <c r="A2466" t="s">
        <v>2814</v>
      </c>
      <c r="B2466" t="s">
        <v>2963</v>
      </c>
      <c r="C2466">
        <v>16122277</v>
      </c>
      <c r="D2466" t="s">
        <v>2887</v>
      </c>
      <c r="E2466" s="134">
        <v>106.56</v>
      </c>
      <c r="F2466" t="s">
        <v>2816</v>
      </c>
    </row>
    <row r="2467" spans="1:6" x14ac:dyDescent="0.2">
      <c r="A2467" t="s">
        <v>2814</v>
      </c>
      <c r="B2467" t="s">
        <v>2963</v>
      </c>
      <c r="C2467">
        <v>16122298</v>
      </c>
      <c r="D2467" t="s">
        <v>2888</v>
      </c>
      <c r="E2467" s="134">
        <v>106.56</v>
      </c>
      <c r="F2467" t="s">
        <v>2816</v>
      </c>
    </row>
    <row r="2468" spans="1:6" x14ac:dyDescent="0.2">
      <c r="A2468" t="s">
        <v>2814</v>
      </c>
      <c r="B2468" t="s">
        <v>2963</v>
      </c>
      <c r="C2468">
        <v>16122324</v>
      </c>
      <c r="D2468" t="s">
        <v>2889</v>
      </c>
      <c r="E2468" s="134">
        <v>106.56</v>
      </c>
      <c r="F2468" t="s">
        <v>2816</v>
      </c>
    </row>
    <row r="2469" spans="1:6" x14ac:dyDescent="0.2">
      <c r="A2469" t="s">
        <v>2814</v>
      </c>
      <c r="B2469" t="s">
        <v>2963</v>
      </c>
      <c r="C2469">
        <v>16122376</v>
      </c>
      <c r="D2469" t="s">
        <v>2890</v>
      </c>
      <c r="E2469" s="134">
        <v>106.56</v>
      </c>
      <c r="F2469" t="s">
        <v>2816</v>
      </c>
    </row>
    <row r="2470" spans="1:6" x14ac:dyDescent="0.2">
      <c r="A2470" t="s">
        <v>2814</v>
      </c>
      <c r="B2470" t="s">
        <v>2963</v>
      </c>
      <c r="C2470">
        <v>16122503</v>
      </c>
      <c r="D2470" t="s">
        <v>2891</v>
      </c>
      <c r="E2470" s="134">
        <v>106.56</v>
      </c>
      <c r="F2470" t="s">
        <v>2816</v>
      </c>
    </row>
    <row r="2471" spans="1:6" x14ac:dyDescent="0.2">
      <c r="A2471" t="s">
        <v>2814</v>
      </c>
      <c r="B2471" t="s">
        <v>2963</v>
      </c>
      <c r="C2471">
        <v>16122568</v>
      </c>
      <c r="D2471" t="s">
        <v>2892</v>
      </c>
      <c r="E2471" s="134">
        <v>106.56</v>
      </c>
      <c r="F2471" t="s">
        <v>2816</v>
      </c>
    </row>
    <row r="2472" spans="1:6" x14ac:dyDescent="0.2">
      <c r="A2472" t="s">
        <v>2814</v>
      </c>
      <c r="B2472" t="s">
        <v>2963</v>
      </c>
      <c r="C2472">
        <v>16123358</v>
      </c>
      <c r="D2472" t="s">
        <v>2893</v>
      </c>
      <c r="E2472" s="134">
        <v>106.56</v>
      </c>
      <c r="F2472" t="s">
        <v>2816</v>
      </c>
    </row>
    <row r="2473" spans="1:6" x14ac:dyDescent="0.2">
      <c r="A2473" t="s">
        <v>2814</v>
      </c>
      <c r="B2473" t="s">
        <v>2963</v>
      </c>
      <c r="C2473">
        <v>16123499</v>
      </c>
      <c r="D2473" t="s">
        <v>2894</v>
      </c>
      <c r="E2473" s="134">
        <v>106.56</v>
      </c>
      <c r="F2473" t="s">
        <v>2816</v>
      </c>
    </row>
    <row r="2474" spans="1:6" x14ac:dyDescent="0.2">
      <c r="A2474" t="s">
        <v>2814</v>
      </c>
      <c r="B2474" t="s">
        <v>2963</v>
      </c>
      <c r="C2474">
        <v>16123585</v>
      </c>
      <c r="D2474" t="s">
        <v>2896</v>
      </c>
      <c r="E2474" s="134">
        <v>106.56</v>
      </c>
      <c r="F2474" t="s">
        <v>2816</v>
      </c>
    </row>
    <row r="2475" spans="1:6" x14ac:dyDescent="0.2">
      <c r="A2475" t="s">
        <v>2814</v>
      </c>
      <c r="B2475" t="s">
        <v>2963</v>
      </c>
      <c r="C2475">
        <v>16123592</v>
      </c>
      <c r="D2475" t="s">
        <v>2897</v>
      </c>
      <c r="E2475" s="134">
        <v>106.56</v>
      </c>
      <c r="F2475" t="s">
        <v>2816</v>
      </c>
    </row>
    <row r="2476" spans="1:6" x14ac:dyDescent="0.2">
      <c r="A2476" t="s">
        <v>2814</v>
      </c>
      <c r="B2476" t="s">
        <v>2963</v>
      </c>
      <c r="C2476">
        <v>16123745</v>
      </c>
      <c r="D2476" t="s">
        <v>2898</v>
      </c>
      <c r="E2476" s="134">
        <v>106.56</v>
      </c>
      <c r="F2476" t="s">
        <v>2816</v>
      </c>
    </row>
    <row r="2477" spans="1:6" x14ac:dyDescent="0.2">
      <c r="A2477" t="s">
        <v>2814</v>
      </c>
      <c r="B2477" t="s">
        <v>2963</v>
      </c>
      <c r="C2477">
        <v>16123790</v>
      </c>
      <c r="D2477" t="s">
        <v>2900</v>
      </c>
      <c r="E2477" s="134">
        <v>106.56</v>
      </c>
      <c r="F2477" t="s">
        <v>2816</v>
      </c>
    </row>
    <row r="2478" spans="1:6" x14ac:dyDescent="0.2">
      <c r="A2478" t="s">
        <v>2814</v>
      </c>
      <c r="B2478" t="s">
        <v>2963</v>
      </c>
      <c r="C2478">
        <v>16123864</v>
      </c>
      <c r="D2478" t="s">
        <v>2901</v>
      </c>
      <c r="E2478" s="134">
        <v>106.56</v>
      </c>
      <c r="F2478" t="s">
        <v>2816</v>
      </c>
    </row>
    <row r="2479" spans="1:6" x14ac:dyDescent="0.2">
      <c r="A2479" t="s">
        <v>2814</v>
      </c>
      <c r="B2479" t="s">
        <v>2963</v>
      </c>
      <c r="C2479">
        <v>16123865</v>
      </c>
      <c r="D2479" t="s">
        <v>2902</v>
      </c>
      <c r="E2479" s="134">
        <v>106.56</v>
      </c>
      <c r="F2479" t="s">
        <v>2816</v>
      </c>
    </row>
    <row r="2480" spans="1:6" x14ac:dyDescent="0.2">
      <c r="A2480" t="s">
        <v>2814</v>
      </c>
      <c r="B2480" t="s">
        <v>2963</v>
      </c>
      <c r="C2480">
        <v>16123866</v>
      </c>
      <c r="D2480" t="s">
        <v>2903</v>
      </c>
      <c r="E2480" s="134">
        <v>106.56</v>
      </c>
      <c r="F2480" t="s">
        <v>2816</v>
      </c>
    </row>
    <row r="2481" spans="1:6" x14ac:dyDescent="0.2">
      <c r="A2481" t="s">
        <v>2814</v>
      </c>
      <c r="B2481" t="s">
        <v>2963</v>
      </c>
      <c r="C2481">
        <v>16123910</v>
      </c>
      <c r="D2481" t="s">
        <v>2906</v>
      </c>
      <c r="E2481" s="134">
        <v>106.56</v>
      </c>
      <c r="F2481" t="s">
        <v>2816</v>
      </c>
    </row>
    <row r="2482" spans="1:6" x14ac:dyDescent="0.2">
      <c r="A2482" t="s">
        <v>2814</v>
      </c>
      <c r="B2482" t="s">
        <v>2963</v>
      </c>
      <c r="C2482">
        <v>16123937</v>
      </c>
      <c r="D2482" t="s">
        <v>2920</v>
      </c>
      <c r="E2482" s="134">
        <v>106.56</v>
      </c>
      <c r="F2482" t="s">
        <v>2816</v>
      </c>
    </row>
    <row r="2483" spans="1:6" x14ac:dyDescent="0.2">
      <c r="A2483" t="s">
        <v>2814</v>
      </c>
      <c r="B2483" t="s">
        <v>2963</v>
      </c>
      <c r="C2483">
        <v>14100751</v>
      </c>
      <c r="D2483" t="s">
        <v>320</v>
      </c>
      <c r="E2483" s="134">
        <v>120.75</v>
      </c>
      <c r="F2483" t="s">
        <v>2816</v>
      </c>
    </row>
    <row r="2484" spans="1:6" x14ac:dyDescent="0.2">
      <c r="A2484" t="s">
        <v>2814</v>
      </c>
      <c r="B2484" t="s">
        <v>2963</v>
      </c>
      <c r="C2484">
        <v>14102081</v>
      </c>
      <c r="D2484" t="s">
        <v>28</v>
      </c>
      <c r="E2484" s="134">
        <v>120.75</v>
      </c>
      <c r="F2484" t="s">
        <v>2816</v>
      </c>
    </row>
    <row r="2485" spans="1:6" x14ac:dyDescent="0.2">
      <c r="A2485" t="s">
        <v>2814</v>
      </c>
      <c r="B2485" t="s">
        <v>2963</v>
      </c>
      <c r="C2485">
        <v>14104853</v>
      </c>
      <c r="D2485" t="s">
        <v>181</v>
      </c>
      <c r="E2485" s="134">
        <v>120.75</v>
      </c>
      <c r="F2485" t="s">
        <v>2816</v>
      </c>
    </row>
    <row r="2486" spans="1:6" x14ac:dyDescent="0.2">
      <c r="A2486" t="s">
        <v>2814</v>
      </c>
      <c r="B2486" t="s">
        <v>2963</v>
      </c>
      <c r="C2486">
        <v>14109748</v>
      </c>
      <c r="D2486" t="s">
        <v>94</v>
      </c>
      <c r="E2486" s="134">
        <v>120.75</v>
      </c>
      <c r="F2486" t="s">
        <v>2816</v>
      </c>
    </row>
    <row r="2487" spans="1:6" x14ac:dyDescent="0.2">
      <c r="A2487" t="s">
        <v>2814</v>
      </c>
      <c r="B2487" t="s">
        <v>2963</v>
      </c>
      <c r="C2487">
        <v>14109802</v>
      </c>
      <c r="D2487" t="s">
        <v>95</v>
      </c>
      <c r="E2487" s="134">
        <v>120.75</v>
      </c>
      <c r="F2487" t="s">
        <v>2816</v>
      </c>
    </row>
    <row r="2488" spans="1:6" x14ac:dyDescent="0.2">
      <c r="A2488" t="s">
        <v>2814</v>
      </c>
      <c r="B2488" t="s">
        <v>2963</v>
      </c>
      <c r="C2488">
        <v>14110707</v>
      </c>
      <c r="D2488" t="s">
        <v>267</v>
      </c>
      <c r="E2488" s="134">
        <v>120.75</v>
      </c>
      <c r="F2488" t="s">
        <v>2816</v>
      </c>
    </row>
    <row r="2489" spans="1:6" x14ac:dyDescent="0.2">
      <c r="A2489" t="s">
        <v>2814</v>
      </c>
      <c r="B2489" t="s">
        <v>2963</v>
      </c>
      <c r="C2489">
        <v>14110974</v>
      </c>
      <c r="D2489" t="s">
        <v>107</v>
      </c>
      <c r="E2489" s="134">
        <v>120.75</v>
      </c>
      <c r="F2489" t="s">
        <v>2816</v>
      </c>
    </row>
    <row r="2490" spans="1:6" x14ac:dyDescent="0.2">
      <c r="A2490" t="s">
        <v>2814</v>
      </c>
      <c r="B2490" t="s">
        <v>2963</v>
      </c>
      <c r="C2490">
        <v>14111675</v>
      </c>
      <c r="D2490" t="s">
        <v>112</v>
      </c>
      <c r="E2490" s="134">
        <v>120.75</v>
      </c>
      <c r="F2490" t="s">
        <v>2816</v>
      </c>
    </row>
    <row r="2491" spans="1:6" x14ac:dyDescent="0.2">
      <c r="A2491" t="s">
        <v>2814</v>
      </c>
      <c r="B2491" t="s">
        <v>2963</v>
      </c>
      <c r="C2491">
        <v>14114320</v>
      </c>
      <c r="D2491" t="s">
        <v>312</v>
      </c>
      <c r="E2491" s="134">
        <v>120.75</v>
      </c>
      <c r="F2491" t="s">
        <v>2816</v>
      </c>
    </row>
    <row r="2492" spans="1:6" x14ac:dyDescent="0.2">
      <c r="A2492" t="s">
        <v>2814</v>
      </c>
      <c r="B2492" t="s">
        <v>2963</v>
      </c>
      <c r="C2492">
        <v>14114737</v>
      </c>
      <c r="D2492" t="s">
        <v>139</v>
      </c>
      <c r="E2492" s="134">
        <v>120.75</v>
      </c>
      <c r="F2492" t="s">
        <v>2816</v>
      </c>
    </row>
    <row r="2493" spans="1:6" x14ac:dyDescent="0.2">
      <c r="A2493" t="s">
        <v>2814</v>
      </c>
      <c r="B2493" t="s">
        <v>2963</v>
      </c>
      <c r="C2493">
        <v>14115244</v>
      </c>
      <c r="D2493" t="s">
        <v>141</v>
      </c>
      <c r="E2493" s="134">
        <v>120.75</v>
      </c>
      <c r="F2493" t="s">
        <v>2816</v>
      </c>
    </row>
    <row r="2494" spans="1:6" x14ac:dyDescent="0.2">
      <c r="A2494" t="s">
        <v>2814</v>
      </c>
      <c r="B2494" t="s">
        <v>2963</v>
      </c>
      <c r="C2494">
        <v>14115304</v>
      </c>
      <c r="D2494" t="s">
        <v>142</v>
      </c>
      <c r="E2494" s="134">
        <v>120.75</v>
      </c>
      <c r="F2494" t="s">
        <v>2816</v>
      </c>
    </row>
    <row r="2495" spans="1:6" x14ac:dyDescent="0.2">
      <c r="A2495" t="s">
        <v>2814</v>
      </c>
      <c r="B2495" t="s">
        <v>2963</v>
      </c>
      <c r="C2495">
        <v>14115435</v>
      </c>
      <c r="D2495" t="s">
        <v>143</v>
      </c>
      <c r="E2495" s="134">
        <v>120.75</v>
      </c>
      <c r="F2495" t="s">
        <v>2816</v>
      </c>
    </row>
    <row r="2496" spans="1:6" x14ac:dyDescent="0.2">
      <c r="A2496" t="s">
        <v>2814</v>
      </c>
      <c r="B2496" t="s">
        <v>2963</v>
      </c>
      <c r="C2496">
        <v>14115820</v>
      </c>
      <c r="D2496" t="s">
        <v>148</v>
      </c>
      <c r="E2496" s="134">
        <v>120.75</v>
      </c>
      <c r="F2496" t="s">
        <v>2816</v>
      </c>
    </row>
    <row r="2497" spans="1:6" x14ac:dyDescent="0.2">
      <c r="A2497" t="s">
        <v>2814</v>
      </c>
      <c r="B2497" t="s">
        <v>2963</v>
      </c>
      <c r="C2497">
        <v>14116860</v>
      </c>
      <c r="D2497" t="s">
        <v>170</v>
      </c>
      <c r="E2497" s="134">
        <v>120.75</v>
      </c>
      <c r="F2497" t="s">
        <v>2816</v>
      </c>
    </row>
    <row r="2498" spans="1:6" x14ac:dyDescent="0.2">
      <c r="A2498" t="s">
        <v>2814</v>
      </c>
      <c r="B2498" t="s">
        <v>2963</v>
      </c>
      <c r="C2498">
        <v>14117158</v>
      </c>
      <c r="D2498" t="s">
        <v>172</v>
      </c>
      <c r="E2498" s="134">
        <v>120.75</v>
      </c>
      <c r="F2498" t="s">
        <v>2816</v>
      </c>
    </row>
    <row r="2499" spans="1:6" x14ac:dyDescent="0.2">
      <c r="A2499" t="s">
        <v>2814</v>
      </c>
      <c r="B2499" t="s">
        <v>2963</v>
      </c>
      <c r="C2499">
        <v>14117508</v>
      </c>
      <c r="D2499" t="s">
        <v>313</v>
      </c>
      <c r="E2499" s="134">
        <v>120.75</v>
      </c>
      <c r="F2499" t="s">
        <v>2816</v>
      </c>
    </row>
    <row r="2500" spans="1:6" x14ac:dyDescent="0.2">
      <c r="A2500" t="s">
        <v>2814</v>
      </c>
      <c r="B2500" t="s">
        <v>2963</v>
      </c>
      <c r="C2500">
        <v>14118501</v>
      </c>
      <c r="D2500" t="s">
        <v>199</v>
      </c>
      <c r="E2500" s="134">
        <v>120.75</v>
      </c>
      <c r="F2500" t="s">
        <v>2816</v>
      </c>
    </row>
    <row r="2501" spans="1:6" x14ac:dyDescent="0.2">
      <c r="A2501" t="s">
        <v>2814</v>
      </c>
      <c r="B2501" t="s">
        <v>2963</v>
      </c>
      <c r="C2501">
        <v>14118505</v>
      </c>
      <c r="D2501" t="s">
        <v>349</v>
      </c>
      <c r="E2501" s="134">
        <v>120.75</v>
      </c>
      <c r="F2501" t="s">
        <v>2816</v>
      </c>
    </row>
    <row r="2502" spans="1:6" x14ac:dyDescent="0.2">
      <c r="A2502" t="s">
        <v>2814</v>
      </c>
      <c r="B2502" t="s">
        <v>2963</v>
      </c>
      <c r="C2502">
        <v>14118958</v>
      </c>
      <c r="D2502" t="s">
        <v>367</v>
      </c>
      <c r="E2502" s="134">
        <v>120.75</v>
      </c>
      <c r="F2502" t="s">
        <v>2816</v>
      </c>
    </row>
    <row r="2503" spans="1:6" x14ac:dyDescent="0.2">
      <c r="A2503" t="s">
        <v>2814</v>
      </c>
      <c r="B2503" t="s">
        <v>2963</v>
      </c>
      <c r="C2503">
        <v>14119958</v>
      </c>
      <c r="D2503" t="s">
        <v>270</v>
      </c>
      <c r="E2503" s="134">
        <v>120.75</v>
      </c>
      <c r="F2503" t="s">
        <v>2816</v>
      </c>
    </row>
    <row r="2504" spans="1:6" x14ac:dyDescent="0.2">
      <c r="A2504" t="s">
        <v>2814</v>
      </c>
      <c r="B2504" t="s">
        <v>2963</v>
      </c>
      <c r="C2504">
        <v>14120489</v>
      </c>
      <c r="D2504" t="s">
        <v>288</v>
      </c>
      <c r="E2504" s="134">
        <v>120.75</v>
      </c>
      <c r="F2504" t="s">
        <v>2816</v>
      </c>
    </row>
    <row r="2505" spans="1:6" x14ac:dyDescent="0.2">
      <c r="A2505" t="s">
        <v>2814</v>
      </c>
      <c r="B2505" t="s">
        <v>2963</v>
      </c>
      <c r="C2505">
        <v>14120611</v>
      </c>
      <c r="D2505" t="s">
        <v>289</v>
      </c>
      <c r="E2505" s="134">
        <v>120.75</v>
      </c>
      <c r="F2505" t="s">
        <v>2816</v>
      </c>
    </row>
    <row r="2506" spans="1:6" x14ac:dyDescent="0.2">
      <c r="A2506" t="s">
        <v>2814</v>
      </c>
      <c r="B2506" t="s">
        <v>2963</v>
      </c>
      <c r="C2506">
        <v>14120613</v>
      </c>
      <c r="D2506" t="s">
        <v>290</v>
      </c>
      <c r="E2506" s="134">
        <v>120.75</v>
      </c>
      <c r="F2506" t="s">
        <v>2816</v>
      </c>
    </row>
    <row r="2507" spans="1:6" x14ac:dyDescent="0.2">
      <c r="A2507" t="s">
        <v>2814</v>
      </c>
      <c r="B2507" t="s">
        <v>2963</v>
      </c>
      <c r="C2507">
        <v>14120668</v>
      </c>
      <c r="D2507" t="s">
        <v>294</v>
      </c>
      <c r="E2507" s="134">
        <v>120.75</v>
      </c>
      <c r="F2507" t="s">
        <v>2816</v>
      </c>
    </row>
    <row r="2508" spans="1:6" x14ac:dyDescent="0.2">
      <c r="A2508" t="s">
        <v>2814</v>
      </c>
      <c r="B2508" t="s">
        <v>2963</v>
      </c>
      <c r="C2508">
        <v>14120806</v>
      </c>
      <c r="D2508" t="s">
        <v>299</v>
      </c>
      <c r="E2508" s="134">
        <v>120.75</v>
      </c>
      <c r="F2508" t="s">
        <v>2816</v>
      </c>
    </row>
    <row r="2509" spans="1:6" x14ac:dyDescent="0.2">
      <c r="A2509" t="s">
        <v>2814</v>
      </c>
      <c r="B2509" t="s">
        <v>2963</v>
      </c>
      <c r="C2509">
        <v>14120807</v>
      </c>
      <c r="D2509" t="s">
        <v>300</v>
      </c>
      <c r="E2509" s="134">
        <v>120.75</v>
      </c>
      <c r="F2509" t="s">
        <v>2816</v>
      </c>
    </row>
    <row r="2510" spans="1:6" x14ac:dyDescent="0.2">
      <c r="A2510" t="s">
        <v>2814</v>
      </c>
      <c r="B2510" t="s">
        <v>2963</v>
      </c>
      <c r="C2510">
        <v>14120850</v>
      </c>
      <c r="D2510" t="s">
        <v>301</v>
      </c>
      <c r="E2510" s="134">
        <v>120.75</v>
      </c>
      <c r="F2510" t="s">
        <v>2816</v>
      </c>
    </row>
    <row r="2511" spans="1:6" x14ac:dyDescent="0.2">
      <c r="A2511" t="s">
        <v>2814</v>
      </c>
      <c r="B2511" t="s">
        <v>2963</v>
      </c>
      <c r="C2511">
        <v>14120925</v>
      </c>
      <c r="D2511" t="s">
        <v>304</v>
      </c>
      <c r="E2511" s="134">
        <v>120.75</v>
      </c>
      <c r="F2511" t="s">
        <v>2816</v>
      </c>
    </row>
    <row r="2512" spans="1:6" x14ac:dyDescent="0.2">
      <c r="A2512" t="s">
        <v>2814</v>
      </c>
      <c r="B2512" t="s">
        <v>2963</v>
      </c>
      <c r="C2512">
        <v>14121013</v>
      </c>
      <c r="D2512" t="s">
        <v>305</v>
      </c>
      <c r="E2512" s="134">
        <v>120.75</v>
      </c>
      <c r="F2512" t="s">
        <v>2816</v>
      </c>
    </row>
    <row r="2513" spans="1:6" x14ac:dyDescent="0.2">
      <c r="A2513" t="s">
        <v>2814</v>
      </c>
      <c r="B2513" t="s">
        <v>2963</v>
      </c>
      <c r="C2513">
        <v>14121103</v>
      </c>
      <c r="D2513" t="s">
        <v>307</v>
      </c>
      <c r="E2513" s="134">
        <v>120.75</v>
      </c>
      <c r="F2513" t="s">
        <v>2816</v>
      </c>
    </row>
    <row r="2514" spans="1:6" x14ac:dyDescent="0.2">
      <c r="A2514" t="s">
        <v>2814</v>
      </c>
      <c r="B2514" t="s">
        <v>2963</v>
      </c>
      <c r="C2514">
        <v>14121104</v>
      </c>
      <c r="D2514" t="s">
        <v>308</v>
      </c>
      <c r="E2514" s="134">
        <v>120.75</v>
      </c>
      <c r="F2514" t="s">
        <v>2816</v>
      </c>
    </row>
    <row r="2515" spans="1:6" x14ac:dyDescent="0.2">
      <c r="A2515" t="s">
        <v>2814</v>
      </c>
      <c r="B2515" t="s">
        <v>2963</v>
      </c>
      <c r="C2515">
        <v>14121158</v>
      </c>
      <c r="D2515" t="s">
        <v>317</v>
      </c>
      <c r="E2515" s="134">
        <v>120.75</v>
      </c>
      <c r="F2515" t="s">
        <v>2816</v>
      </c>
    </row>
    <row r="2516" spans="1:6" x14ac:dyDescent="0.2">
      <c r="A2516" t="s">
        <v>2814</v>
      </c>
      <c r="B2516" t="s">
        <v>2963</v>
      </c>
      <c r="C2516">
        <v>14121235</v>
      </c>
      <c r="D2516" t="s">
        <v>321</v>
      </c>
      <c r="E2516" s="134">
        <v>120.75</v>
      </c>
      <c r="F2516" t="s">
        <v>2816</v>
      </c>
    </row>
    <row r="2517" spans="1:6" x14ac:dyDescent="0.2">
      <c r="A2517" t="s">
        <v>2814</v>
      </c>
      <c r="B2517" t="s">
        <v>2963</v>
      </c>
      <c r="C2517">
        <v>14121239</v>
      </c>
      <c r="D2517" t="s">
        <v>323</v>
      </c>
      <c r="E2517" s="134">
        <v>120.75</v>
      </c>
      <c r="F2517" t="s">
        <v>2816</v>
      </c>
    </row>
    <row r="2518" spans="1:6" x14ac:dyDescent="0.2">
      <c r="A2518" t="s">
        <v>2814</v>
      </c>
      <c r="B2518" t="s">
        <v>2963</v>
      </c>
      <c r="C2518">
        <v>14121266</v>
      </c>
      <c r="D2518" t="s">
        <v>324</v>
      </c>
      <c r="E2518" s="134">
        <v>120.75</v>
      </c>
      <c r="F2518" t="s">
        <v>2816</v>
      </c>
    </row>
    <row r="2519" spans="1:6" x14ac:dyDescent="0.2">
      <c r="A2519" t="s">
        <v>2814</v>
      </c>
      <c r="B2519" t="s">
        <v>2963</v>
      </c>
      <c r="C2519">
        <v>14121271</v>
      </c>
      <c r="D2519" t="s">
        <v>325</v>
      </c>
      <c r="E2519" s="134">
        <v>120.75</v>
      </c>
      <c r="F2519" t="s">
        <v>2816</v>
      </c>
    </row>
    <row r="2520" spans="1:6" x14ac:dyDescent="0.2">
      <c r="A2520" t="s">
        <v>2814</v>
      </c>
      <c r="B2520" t="s">
        <v>2963</v>
      </c>
      <c r="C2520">
        <v>14121328</v>
      </c>
      <c r="D2520" t="s">
        <v>326</v>
      </c>
      <c r="E2520" s="134">
        <v>120.75</v>
      </c>
      <c r="F2520" t="s">
        <v>2816</v>
      </c>
    </row>
    <row r="2521" spans="1:6" x14ac:dyDescent="0.2">
      <c r="A2521" t="s">
        <v>2814</v>
      </c>
      <c r="B2521" t="s">
        <v>2963</v>
      </c>
      <c r="C2521">
        <v>14121398</v>
      </c>
      <c r="D2521" t="s">
        <v>327</v>
      </c>
      <c r="E2521" s="134">
        <v>120.75</v>
      </c>
      <c r="F2521" t="s">
        <v>2816</v>
      </c>
    </row>
    <row r="2522" spans="1:6" x14ac:dyDescent="0.2">
      <c r="A2522" t="s">
        <v>2814</v>
      </c>
      <c r="B2522" t="s">
        <v>2963</v>
      </c>
      <c r="C2522">
        <v>14121523</v>
      </c>
      <c r="D2522" t="s">
        <v>332</v>
      </c>
      <c r="E2522" s="134">
        <v>120.75</v>
      </c>
      <c r="F2522" t="s">
        <v>2816</v>
      </c>
    </row>
    <row r="2523" spans="1:6" x14ac:dyDescent="0.2">
      <c r="A2523" t="s">
        <v>2814</v>
      </c>
      <c r="B2523" t="s">
        <v>2963</v>
      </c>
      <c r="C2523">
        <v>14121543</v>
      </c>
      <c r="D2523" t="s">
        <v>333</v>
      </c>
      <c r="E2523" s="134">
        <v>120.75</v>
      </c>
      <c r="F2523" t="s">
        <v>2816</v>
      </c>
    </row>
    <row r="2524" spans="1:6" x14ac:dyDescent="0.2">
      <c r="A2524" t="s">
        <v>2814</v>
      </c>
      <c r="B2524" t="s">
        <v>2963</v>
      </c>
      <c r="C2524">
        <v>14121598</v>
      </c>
      <c r="D2524" t="s">
        <v>338</v>
      </c>
      <c r="E2524" s="134">
        <v>120.75</v>
      </c>
      <c r="F2524" t="s">
        <v>2816</v>
      </c>
    </row>
    <row r="2525" spans="1:6" x14ac:dyDescent="0.2">
      <c r="A2525" t="s">
        <v>2814</v>
      </c>
      <c r="B2525" t="s">
        <v>2963</v>
      </c>
      <c r="C2525">
        <v>14121600</v>
      </c>
      <c r="D2525" t="s">
        <v>339</v>
      </c>
      <c r="E2525" s="134">
        <v>120.75</v>
      </c>
      <c r="F2525" t="s">
        <v>2816</v>
      </c>
    </row>
    <row r="2526" spans="1:6" x14ac:dyDescent="0.2">
      <c r="A2526" t="s">
        <v>2814</v>
      </c>
      <c r="B2526" t="s">
        <v>2963</v>
      </c>
      <c r="C2526">
        <v>14121733</v>
      </c>
      <c r="D2526" t="s">
        <v>346</v>
      </c>
      <c r="E2526" s="134">
        <v>120.75</v>
      </c>
      <c r="F2526" t="s">
        <v>2816</v>
      </c>
    </row>
    <row r="2527" spans="1:6" x14ac:dyDescent="0.2">
      <c r="A2527" t="s">
        <v>2814</v>
      </c>
      <c r="B2527" t="s">
        <v>2963</v>
      </c>
      <c r="C2527">
        <v>14121756</v>
      </c>
      <c r="D2527" t="s">
        <v>350</v>
      </c>
      <c r="E2527" s="134">
        <v>120.75</v>
      </c>
      <c r="F2527" t="s">
        <v>2816</v>
      </c>
    </row>
    <row r="2528" spans="1:6" x14ac:dyDescent="0.2">
      <c r="A2528" t="s">
        <v>2814</v>
      </c>
      <c r="B2528" t="s">
        <v>2963</v>
      </c>
      <c r="C2528">
        <v>14121785</v>
      </c>
      <c r="D2528" t="s">
        <v>353</v>
      </c>
      <c r="E2528" s="134">
        <v>120.75</v>
      </c>
      <c r="F2528" t="s">
        <v>2816</v>
      </c>
    </row>
    <row r="2529" spans="1:6" x14ac:dyDescent="0.2">
      <c r="A2529" t="s">
        <v>2814</v>
      </c>
      <c r="B2529" t="s">
        <v>2963</v>
      </c>
      <c r="C2529">
        <v>14121791</v>
      </c>
      <c r="D2529" t="s">
        <v>354</v>
      </c>
      <c r="E2529" s="134">
        <v>120.75</v>
      </c>
      <c r="F2529" t="s">
        <v>2816</v>
      </c>
    </row>
    <row r="2530" spans="1:6" x14ac:dyDescent="0.2">
      <c r="A2530" t="s">
        <v>2814</v>
      </c>
      <c r="B2530" t="s">
        <v>2963</v>
      </c>
      <c r="C2530">
        <v>14121809</v>
      </c>
      <c r="D2530" t="s">
        <v>355</v>
      </c>
      <c r="E2530" s="134">
        <v>120.75</v>
      </c>
      <c r="F2530" t="s">
        <v>2816</v>
      </c>
    </row>
    <row r="2531" spans="1:6" x14ac:dyDescent="0.2">
      <c r="A2531" t="s">
        <v>2814</v>
      </c>
      <c r="B2531" t="s">
        <v>2963</v>
      </c>
      <c r="C2531">
        <v>14121811</v>
      </c>
      <c r="D2531" t="s">
        <v>356</v>
      </c>
      <c r="E2531" s="134">
        <v>120.75</v>
      </c>
      <c r="F2531" t="s">
        <v>2816</v>
      </c>
    </row>
    <row r="2532" spans="1:6" x14ac:dyDescent="0.2">
      <c r="A2532" t="s">
        <v>2814</v>
      </c>
      <c r="B2532" t="s">
        <v>2963</v>
      </c>
      <c r="C2532">
        <v>14121821</v>
      </c>
      <c r="D2532" t="s">
        <v>357</v>
      </c>
      <c r="E2532" s="134">
        <v>120.75</v>
      </c>
      <c r="F2532" t="s">
        <v>2816</v>
      </c>
    </row>
    <row r="2533" spans="1:6" x14ac:dyDescent="0.2">
      <c r="A2533" t="s">
        <v>2814</v>
      </c>
      <c r="B2533" t="s">
        <v>2963</v>
      </c>
      <c r="C2533">
        <v>14121856</v>
      </c>
      <c r="D2533" t="s">
        <v>358</v>
      </c>
      <c r="E2533" s="134">
        <v>120.75</v>
      </c>
      <c r="F2533" t="s">
        <v>2816</v>
      </c>
    </row>
    <row r="2534" spans="1:6" x14ac:dyDescent="0.2">
      <c r="A2534" t="s">
        <v>2814</v>
      </c>
      <c r="B2534" t="s">
        <v>2963</v>
      </c>
      <c r="C2534">
        <v>14121859</v>
      </c>
      <c r="D2534" t="s">
        <v>359</v>
      </c>
      <c r="E2534" s="134">
        <v>120.75</v>
      </c>
      <c r="F2534" t="s">
        <v>2816</v>
      </c>
    </row>
    <row r="2535" spans="1:6" x14ac:dyDescent="0.2">
      <c r="A2535" t="s">
        <v>2814</v>
      </c>
      <c r="B2535" t="s">
        <v>2963</v>
      </c>
      <c r="C2535">
        <v>14121860</v>
      </c>
      <c r="D2535" t="s">
        <v>360</v>
      </c>
      <c r="E2535" s="134">
        <v>120.75</v>
      </c>
      <c r="F2535" t="s">
        <v>2816</v>
      </c>
    </row>
    <row r="2536" spans="1:6" x14ac:dyDescent="0.2">
      <c r="A2536" t="s">
        <v>2814</v>
      </c>
      <c r="B2536" t="s">
        <v>2963</v>
      </c>
      <c r="C2536">
        <v>14121869</v>
      </c>
      <c r="D2536" t="s">
        <v>361</v>
      </c>
      <c r="E2536" s="134">
        <v>120.75</v>
      </c>
      <c r="F2536" t="s">
        <v>2816</v>
      </c>
    </row>
    <row r="2537" spans="1:6" x14ac:dyDescent="0.2">
      <c r="A2537" t="s">
        <v>2814</v>
      </c>
      <c r="B2537" t="s">
        <v>2963</v>
      </c>
      <c r="C2537">
        <v>14121964</v>
      </c>
      <c r="D2537" t="s">
        <v>368</v>
      </c>
      <c r="E2537" s="134">
        <v>120.75</v>
      </c>
      <c r="F2537" t="s">
        <v>2816</v>
      </c>
    </row>
    <row r="2538" spans="1:6" x14ac:dyDescent="0.2">
      <c r="A2538" t="s">
        <v>2814</v>
      </c>
      <c r="B2538" t="s">
        <v>2963</v>
      </c>
      <c r="C2538">
        <v>14121985</v>
      </c>
      <c r="D2538" t="s">
        <v>369</v>
      </c>
      <c r="E2538" s="134">
        <v>120.75</v>
      </c>
      <c r="F2538" t="s">
        <v>2816</v>
      </c>
    </row>
    <row r="2539" spans="1:6" x14ac:dyDescent="0.2">
      <c r="A2539" t="s">
        <v>2814</v>
      </c>
      <c r="B2539" t="s">
        <v>2963</v>
      </c>
      <c r="C2539">
        <v>14122033</v>
      </c>
      <c r="D2539" t="s">
        <v>371</v>
      </c>
      <c r="E2539" s="134">
        <v>120.75</v>
      </c>
      <c r="F2539" t="s">
        <v>2816</v>
      </c>
    </row>
    <row r="2540" spans="1:6" x14ac:dyDescent="0.2">
      <c r="A2540" t="s">
        <v>2814</v>
      </c>
      <c r="B2540" t="s">
        <v>2963</v>
      </c>
      <c r="C2540">
        <v>14122067</v>
      </c>
      <c r="D2540" t="s">
        <v>374</v>
      </c>
      <c r="E2540" s="134">
        <v>120.75</v>
      </c>
      <c r="F2540" t="s">
        <v>2816</v>
      </c>
    </row>
    <row r="2541" spans="1:6" x14ac:dyDescent="0.2">
      <c r="A2541" t="s">
        <v>2814</v>
      </c>
      <c r="B2541" t="s">
        <v>2963</v>
      </c>
      <c r="C2541">
        <v>14122072</v>
      </c>
      <c r="D2541" t="s">
        <v>375</v>
      </c>
      <c r="E2541" s="134">
        <v>120.75</v>
      </c>
      <c r="F2541" t="s">
        <v>2816</v>
      </c>
    </row>
    <row r="2542" spans="1:6" x14ac:dyDescent="0.2">
      <c r="A2542" t="s">
        <v>2814</v>
      </c>
      <c r="B2542" t="s">
        <v>2963</v>
      </c>
      <c r="C2542">
        <v>14122113</v>
      </c>
      <c r="D2542" t="s">
        <v>383</v>
      </c>
      <c r="E2542" s="134">
        <v>120.75</v>
      </c>
      <c r="F2542" t="s">
        <v>2816</v>
      </c>
    </row>
    <row r="2543" spans="1:6" x14ac:dyDescent="0.2">
      <c r="A2543" t="s">
        <v>2814</v>
      </c>
      <c r="B2543" t="s">
        <v>2963</v>
      </c>
      <c r="C2543">
        <v>14122135</v>
      </c>
      <c r="D2543" t="s">
        <v>385</v>
      </c>
      <c r="E2543" s="134">
        <v>120.75</v>
      </c>
      <c r="F2543" t="s">
        <v>2816</v>
      </c>
    </row>
    <row r="2544" spans="1:6" x14ac:dyDescent="0.2">
      <c r="A2544" t="s">
        <v>2814</v>
      </c>
      <c r="B2544" t="s">
        <v>2963</v>
      </c>
      <c r="C2544">
        <v>14122136</v>
      </c>
      <c r="D2544" t="s">
        <v>386</v>
      </c>
      <c r="E2544" s="134">
        <v>120.75</v>
      </c>
      <c r="F2544" t="s">
        <v>2816</v>
      </c>
    </row>
    <row r="2545" spans="1:6" x14ac:dyDescent="0.2">
      <c r="A2545" t="s">
        <v>2814</v>
      </c>
      <c r="B2545" t="s">
        <v>2963</v>
      </c>
      <c r="C2545">
        <v>14122148</v>
      </c>
      <c r="D2545" t="s">
        <v>388</v>
      </c>
      <c r="E2545" s="134">
        <v>120.75</v>
      </c>
      <c r="F2545" t="s">
        <v>2816</v>
      </c>
    </row>
    <row r="2546" spans="1:6" x14ac:dyDescent="0.2">
      <c r="A2546" t="s">
        <v>2814</v>
      </c>
      <c r="B2546" t="s">
        <v>2963</v>
      </c>
      <c r="C2546">
        <v>14122149</v>
      </c>
      <c r="D2546" t="s">
        <v>389</v>
      </c>
      <c r="E2546" s="134">
        <v>120.75</v>
      </c>
      <c r="F2546" t="s">
        <v>2816</v>
      </c>
    </row>
    <row r="2547" spans="1:6" x14ac:dyDescent="0.2">
      <c r="A2547" t="s">
        <v>2814</v>
      </c>
      <c r="B2547" t="s">
        <v>2963</v>
      </c>
      <c r="C2547">
        <v>14122158</v>
      </c>
      <c r="D2547" t="s">
        <v>390</v>
      </c>
      <c r="E2547" s="134">
        <v>120.75</v>
      </c>
      <c r="F2547" t="s">
        <v>2816</v>
      </c>
    </row>
    <row r="2548" spans="1:6" x14ac:dyDescent="0.2">
      <c r="A2548" t="s">
        <v>2814</v>
      </c>
      <c r="B2548" t="s">
        <v>2963</v>
      </c>
      <c r="C2548">
        <v>14100843</v>
      </c>
      <c r="D2548" t="s">
        <v>221</v>
      </c>
      <c r="E2548" s="134">
        <v>125.16</v>
      </c>
      <c r="F2548" t="s">
        <v>2816</v>
      </c>
    </row>
    <row r="2549" spans="1:6" x14ac:dyDescent="0.2">
      <c r="A2549" t="s">
        <v>2814</v>
      </c>
      <c r="B2549" t="s">
        <v>2963</v>
      </c>
      <c r="C2549">
        <v>14104839</v>
      </c>
      <c r="D2549" t="s">
        <v>224</v>
      </c>
      <c r="E2549" s="134">
        <v>125.16</v>
      </c>
      <c r="F2549" t="s">
        <v>2816</v>
      </c>
    </row>
    <row r="2550" spans="1:6" x14ac:dyDescent="0.2">
      <c r="A2550" t="s">
        <v>2814</v>
      </c>
      <c r="B2550" t="s">
        <v>2963</v>
      </c>
      <c r="C2550">
        <v>14108828</v>
      </c>
      <c r="D2550" t="s">
        <v>225</v>
      </c>
      <c r="E2550" s="134">
        <v>125.16</v>
      </c>
      <c r="F2550" t="s">
        <v>2816</v>
      </c>
    </row>
    <row r="2551" spans="1:6" x14ac:dyDescent="0.2">
      <c r="A2551" t="s">
        <v>2814</v>
      </c>
      <c r="B2551" t="s">
        <v>2963</v>
      </c>
      <c r="C2551">
        <v>14111678</v>
      </c>
      <c r="D2551" t="s">
        <v>283</v>
      </c>
      <c r="E2551" s="134">
        <v>125.16</v>
      </c>
      <c r="F2551" t="s">
        <v>2816</v>
      </c>
    </row>
    <row r="2552" spans="1:6" x14ac:dyDescent="0.2">
      <c r="A2552" t="s">
        <v>2814</v>
      </c>
      <c r="B2552" t="s">
        <v>2963</v>
      </c>
      <c r="C2552">
        <v>14112197</v>
      </c>
      <c r="D2552" t="s">
        <v>242</v>
      </c>
      <c r="E2552" s="134">
        <v>125.16</v>
      </c>
      <c r="F2552" t="s">
        <v>2816</v>
      </c>
    </row>
    <row r="2553" spans="1:6" x14ac:dyDescent="0.2">
      <c r="A2553" t="s">
        <v>2814</v>
      </c>
      <c r="B2553" t="s">
        <v>2963</v>
      </c>
      <c r="C2553">
        <v>14113056</v>
      </c>
      <c r="D2553" t="s">
        <v>234</v>
      </c>
      <c r="E2553" s="134">
        <v>125.16</v>
      </c>
      <c r="F2553" t="s">
        <v>2816</v>
      </c>
    </row>
    <row r="2554" spans="1:6" x14ac:dyDescent="0.2">
      <c r="A2554" t="s">
        <v>2814</v>
      </c>
      <c r="B2554" t="s">
        <v>2963</v>
      </c>
      <c r="C2554">
        <v>14113198</v>
      </c>
      <c r="D2554" t="s">
        <v>212</v>
      </c>
      <c r="E2554" s="134">
        <v>125.16</v>
      </c>
      <c r="F2554" t="s">
        <v>2816</v>
      </c>
    </row>
    <row r="2555" spans="1:6" x14ac:dyDescent="0.2">
      <c r="A2555" t="s">
        <v>2814</v>
      </c>
      <c r="B2555" t="s">
        <v>2963</v>
      </c>
      <c r="C2555">
        <v>14117509</v>
      </c>
      <c r="D2555" t="s">
        <v>235</v>
      </c>
      <c r="E2555" s="134">
        <v>125.16</v>
      </c>
      <c r="F2555" t="s">
        <v>2816</v>
      </c>
    </row>
    <row r="2556" spans="1:6" x14ac:dyDescent="0.2">
      <c r="A2556" t="s">
        <v>2814</v>
      </c>
      <c r="B2556" t="s">
        <v>2963</v>
      </c>
      <c r="C2556">
        <v>14118028</v>
      </c>
      <c r="D2556" t="s">
        <v>185</v>
      </c>
      <c r="E2556" s="134">
        <v>125.16</v>
      </c>
      <c r="F2556" t="s">
        <v>2816</v>
      </c>
    </row>
    <row r="2557" spans="1:6" x14ac:dyDescent="0.2">
      <c r="A2557" t="s">
        <v>2814</v>
      </c>
      <c r="B2557" t="s">
        <v>2963</v>
      </c>
      <c r="C2557">
        <v>14118184</v>
      </c>
      <c r="D2557" t="s">
        <v>237</v>
      </c>
      <c r="E2557" s="134">
        <v>125.16</v>
      </c>
      <c r="F2557" t="s">
        <v>2816</v>
      </c>
    </row>
    <row r="2558" spans="1:6" x14ac:dyDescent="0.2">
      <c r="A2558" t="s">
        <v>2814</v>
      </c>
      <c r="B2558" t="s">
        <v>2963</v>
      </c>
      <c r="C2558">
        <v>14118225</v>
      </c>
      <c r="D2558" t="s">
        <v>271</v>
      </c>
      <c r="E2558" s="134">
        <v>125.16</v>
      </c>
      <c r="F2558" t="s">
        <v>2816</v>
      </c>
    </row>
    <row r="2559" spans="1:6" x14ac:dyDescent="0.2">
      <c r="A2559" t="s">
        <v>2814</v>
      </c>
      <c r="B2559" t="s">
        <v>2963</v>
      </c>
      <c r="C2559">
        <v>14118621</v>
      </c>
      <c r="D2559" t="s">
        <v>202</v>
      </c>
      <c r="E2559" s="134">
        <v>125.16</v>
      </c>
      <c r="F2559" t="s">
        <v>2816</v>
      </c>
    </row>
    <row r="2560" spans="1:6" x14ac:dyDescent="0.2">
      <c r="A2560" t="s">
        <v>2814</v>
      </c>
      <c r="B2560" t="s">
        <v>2963</v>
      </c>
      <c r="C2560">
        <v>14118627</v>
      </c>
      <c r="D2560" t="s">
        <v>204</v>
      </c>
      <c r="E2560" s="134">
        <v>125.16</v>
      </c>
      <c r="F2560" t="s">
        <v>2816</v>
      </c>
    </row>
    <row r="2561" spans="1:6" x14ac:dyDescent="0.2">
      <c r="A2561" t="s">
        <v>2814</v>
      </c>
      <c r="B2561" t="s">
        <v>2963</v>
      </c>
      <c r="C2561">
        <v>14118660</v>
      </c>
      <c r="D2561" t="s">
        <v>206</v>
      </c>
      <c r="E2561" s="134">
        <v>125.16</v>
      </c>
      <c r="F2561" t="s">
        <v>2816</v>
      </c>
    </row>
    <row r="2562" spans="1:6" x14ac:dyDescent="0.2">
      <c r="A2562" t="s">
        <v>2814</v>
      </c>
      <c r="B2562" t="s">
        <v>2963</v>
      </c>
      <c r="C2562">
        <v>14118663</v>
      </c>
      <c r="D2562" t="s">
        <v>207</v>
      </c>
      <c r="E2562" s="134">
        <v>125.16</v>
      </c>
      <c r="F2562" t="s">
        <v>2816</v>
      </c>
    </row>
    <row r="2563" spans="1:6" x14ac:dyDescent="0.2">
      <c r="A2563" t="s">
        <v>2814</v>
      </c>
      <c r="B2563" t="s">
        <v>2963</v>
      </c>
      <c r="C2563">
        <v>14118811</v>
      </c>
      <c r="D2563" t="s">
        <v>214</v>
      </c>
      <c r="E2563" s="134">
        <v>125.16</v>
      </c>
      <c r="F2563" t="s">
        <v>2816</v>
      </c>
    </row>
    <row r="2564" spans="1:6" x14ac:dyDescent="0.2">
      <c r="A2564" t="s">
        <v>2814</v>
      </c>
      <c r="B2564" t="s">
        <v>2963</v>
      </c>
      <c r="C2564">
        <v>14118849</v>
      </c>
      <c r="D2564" t="s">
        <v>216</v>
      </c>
      <c r="E2564" s="134">
        <v>125.16</v>
      </c>
      <c r="F2564" t="s">
        <v>2816</v>
      </c>
    </row>
    <row r="2565" spans="1:6" x14ac:dyDescent="0.2">
      <c r="A2565" t="s">
        <v>2814</v>
      </c>
      <c r="B2565" t="s">
        <v>2963</v>
      </c>
      <c r="C2565">
        <v>14118889</v>
      </c>
      <c r="D2565" t="s">
        <v>218</v>
      </c>
      <c r="E2565" s="134">
        <v>125.16</v>
      </c>
      <c r="F2565" t="s">
        <v>2816</v>
      </c>
    </row>
    <row r="2566" spans="1:6" x14ac:dyDescent="0.2">
      <c r="A2566" t="s">
        <v>2814</v>
      </c>
      <c r="B2566" t="s">
        <v>2963</v>
      </c>
      <c r="C2566">
        <v>14118892</v>
      </c>
      <c r="D2566" t="s">
        <v>219</v>
      </c>
      <c r="E2566" s="134">
        <v>125.16</v>
      </c>
      <c r="F2566" t="s">
        <v>2816</v>
      </c>
    </row>
    <row r="2567" spans="1:6" x14ac:dyDescent="0.2">
      <c r="A2567" t="s">
        <v>2814</v>
      </c>
      <c r="B2567" t="s">
        <v>2963</v>
      </c>
      <c r="C2567">
        <v>14118893</v>
      </c>
      <c r="D2567" t="s">
        <v>220</v>
      </c>
      <c r="E2567" s="134">
        <v>125.16</v>
      </c>
      <c r="F2567" t="s">
        <v>2816</v>
      </c>
    </row>
    <row r="2568" spans="1:6" x14ac:dyDescent="0.2">
      <c r="A2568" t="s">
        <v>2814</v>
      </c>
      <c r="B2568" t="s">
        <v>2963</v>
      </c>
      <c r="C2568">
        <v>14118956</v>
      </c>
      <c r="D2568" t="s">
        <v>222</v>
      </c>
      <c r="E2568" s="134">
        <v>125.16</v>
      </c>
      <c r="F2568" t="s">
        <v>2816</v>
      </c>
    </row>
    <row r="2569" spans="1:6" x14ac:dyDescent="0.2">
      <c r="A2569" t="s">
        <v>2814</v>
      </c>
      <c r="B2569" t="s">
        <v>2963</v>
      </c>
      <c r="C2569">
        <v>14118957</v>
      </c>
      <c r="D2569" t="s">
        <v>223</v>
      </c>
      <c r="E2569" s="134">
        <v>125.16</v>
      </c>
      <c r="F2569" t="s">
        <v>2816</v>
      </c>
    </row>
    <row r="2570" spans="1:6" x14ac:dyDescent="0.2">
      <c r="A2570" t="s">
        <v>2814</v>
      </c>
      <c r="B2570" t="s">
        <v>2963</v>
      </c>
      <c r="C2570">
        <v>14119018</v>
      </c>
      <c r="D2570" t="s">
        <v>228</v>
      </c>
      <c r="E2570" s="134">
        <v>125.16</v>
      </c>
      <c r="F2570" t="s">
        <v>2816</v>
      </c>
    </row>
    <row r="2571" spans="1:6" x14ac:dyDescent="0.2">
      <c r="A2571" t="s">
        <v>2814</v>
      </c>
      <c r="B2571" t="s">
        <v>2963</v>
      </c>
      <c r="C2571">
        <v>14119076</v>
      </c>
      <c r="D2571" t="s">
        <v>230</v>
      </c>
      <c r="E2571" s="134">
        <v>125.16</v>
      </c>
      <c r="F2571" t="s">
        <v>2816</v>
      </c>
    </row>
    <row r="2572" spans="1:6" x14ac:dyDescent="0.2">
      <c r="A2572" t="s">
        <v>2814</v>
      </c>
      <c r="B2572" t="s">
        <v>2963</v>
      </c>
      <c r="C2572">
        <v>14119155</v>
      </c>
      <c r="D2572" t="s">
        <v>233</v>
      </c>
      <c r="E2572" s="134">
        <v>125.16</v>
      </c>
      <c r="F2572" t="s">
        <v>2816</v>
      </c>
    </row>
    <row r="2573" spans="1:6" x14ac:dyDescent="0.2">
      <c r="A2573" t="s">
        <v>2814</v>
      </c>
      <c r="B2573" t="s">
        <v>2963</v>
      </c>
      <c r="C2573">
        <v>14119271</v>
      </c>
      <c r="D2573" t="s">
        <v>238</v>
      </c>
      <c r="E2573" s="134">
        <v>125.16</v>
      </c>
      <c r="F2573" t="s">
        <v>2816</v>
      </c>
    </row>
    <row r="2574" spans="1:6" x14ac:dyDescent="0.2">
      <c r="A2574" t="s">
        <v>2814</v>
      </c>
      <c r="B2574" t="s">
        <v>2963</v>
      </c>
      <c r="C2574">
        <v>14119324</v>
      </c>
      <c r="D2574" t="s">
        <v>241</v>
      </c>
      <c r="E2574" s="134">
        <v>125.16</v>
      </c>
      <c r="F2574" t="s">
        <v>2816</v>
      </c>
    </row>
    <row r="2575" spans="1:6" x14ac:dyDescent="0.2">
      <c r="A2575" t="s">
        <v>2814</v>
      </c>
      <c r="B2575" t="s">
        <v>2963</v>
      </c>
      <c r="C2575">
        <v>14119482</v>
      </c>
      <c r="D2575" t="s">
        <v>247</v>
      </c>
      <c r="E2575" s="134">
        <v>125.16</v>
      </c>
      <c r="F2575" t="s">
        <v>2816</v>
      </c>
    </row>
    <row r="2576" spans="1:6" x14ac:dyDescent="0.2">
      <c r="A2576" t="s">
        <v>2814</v>
      </c>
      <c r="B2576" t="s">
        <v>2963</v>
      </c>
      <c r="C2576">
        <v>14119483</v>
      </c>
      <c r="D2576" t="s">
        <v>248</v>
      </c>
      <c r="E2576" s="134">
        <v>125.16</v>
      </c>
      <c r="F2576" t="s">
        <v>2816</v>
      </c>
    </row>
    <row r="2577" spans="1:6" x14ac:dyDescent="0.2">
      <c r="A2577" t="s">
        <v>2814</v>
      </c>
      <c r="B2577" t="s">
        <v>2963</v>
      </c>
      <c r="C2577">
        <v>14119517</v>
      </c>
      <c r="D2577" t="s">
        <v>251</v>
      </c>
      <c r="E2577" s="134">
        <v>125.16</v>
      </c>
      <c r="F2577" t="s">
        <v>2816</v>
      </c>
    </row>
    <row r="2578" spans="1:6" x14ac:dyDescent="0.2">
      <c r="A2578" t="s">
        <v>2814</v>
      </c>
      <c r="B2578" t="s">
        <v>2963</v>
      </c>
      <c r="C2578">
        <v>14119539</v>
      </c>
      <c r="D2578" t="s">
        <v>252</v>
      </c>
      <c r="E2578" s="134">
        <v>125.16</v>
      </c>
      <c r="F2578" t="s">
        <v>2816</v>
      </c>
    </row>
    <row r="2579" spans="1:6" x14ac:dyDescent="0.2">
      <c r="A2579" t="s">
        <v>2814</v>
      </c>
      <c r="B2579" t="s">
        <v>2963</v>
      </c>
      <c r="C2579">
        <v>14119540</v>
      </c>
      <c r="D2579" t="s">
        <v>253</v>
      </c>
      <c r="E2579" s="134">
        <v>125.16</v>
      </c>
      <c r="F2579" t="s">
        <v>2816</v>
      </c>
    </row>
    <row r="2580" spans="1:6" x14ac:dyDescent="0.2">
      <c r="A2580" t="s">
        <v>2814</v>
      </c>
      <c r="B2580" t="s">
        <v>2963</v>
      </c>
      <c r="C2580">
        <v>14119701</v>
      </c>
      <c r="D2580" t="s">
        <v>256</v>
      </c>
      <c r="E2580" s="134">
        <v>125.16</v>
      </c>
      <c r="F2580" t="s">
        <v>2816</v>
      </c>
    </row>
    <row r="2581" spans="1:6" x14ac:dyDescent="0.2">
      <c r="A2581" t="s">
        <v>2814</v>
      </c>
      <c r="B2581" t="s">
        <v>2963</v>
      </c>
      <c r="C2581">
        <v>14119751</v>
      </c>
      <c r="D2581" t="s">
        <v>257</v>
      </c>
      <c r="E2581" s="134">
        <v>125.16</v>
      </c>
      <c r="F2581" t="s">
        <v>2816</v>
      </c>
    </row>
    <row r="2582" spans="1:6" x14ac:dyDescent="0.2">
      <c r="A2582" t="s">
        <v>2814</v>
      </c>
      <c r="B2582" t="s">
        <v>2963</v>
      </c>
      <c r="C2582">
        <v>14119785</v>
      </c>
      <c r="D2582" t="s">
        <v>258</v>
      </c>
      <c r="E2582" s="134">
        <v>125.16</v>
      </c>
      <c r="F2582" t="s">
        <v>2816</v>
      </c>
    </row>
    <row r="2583" spans="1:6" x14ac:dyDescent="0.2">
      <c r="A2583" t="s">
        <v>2814</v>
      </c>
      <c r="B2583" t="s">
        <v>2963</v>
      </c>
      <c r="C2583">
        <v>14119787</v>
      </c>
      <c r="D2583" t="s">
        <v>260</v>
      </c>
      <c r="E2583" s="134">
        <v>125.16</v>
      </c>
      <c r="F2583" t="s">
        <v>2816</v>
      </c>
    </row>
    <row r="2584" spans="1:6" x14ac:dyDescent="0.2">
      <c r="A2584" t="s">
        <v>2814</v>
      </c>
      <c r="B2584" t="s">
        <v>2963</v>
      </c>
      <c r="C2584">
        <v>14119825</v>
      </c>
      <c r="D2584" t="s">
        <v>262</v>
      </c>
      <c r="E2584" s="134">
        <v>125.16</v>
      </c>
      <c r="F2584" t="s">
        <v>2816</v>
      </c>
    </row>
    <row r="2585" spans="1:6" x14ac:dyDescent="0.2">
      <c r="A2585" t="s">
        <v>2814</v>
      </c>
      <c r="B2585" t="s">
        <v>2963</v>
      </c>
      <c r="C2585">
        <v>14119837</v>
      </c>
      <c r="D2585" t="s">
        <v>264</v>
      </c>
      <c r="E2585" s="134">
        <v>125.16</v>
      </c>
      <c r="F2585" t="s">
        <v>2816</v>
      </c>
    </row>
    <row r="2586" spans="1:6" x14ac:dyDescent="0.2">
      <c r="A2586" t="s">
        <v>2814</v>
      </c>
      <c r="B2586" t="s">
        <v>2963</v>
      </c>
      <c r="C2586">
        <v>14119890</v>
      </c>
      <c r="D2586" t="s">
        <v>266</v>
      </c>
      <c r="E2586" s="134">
        <v>125.16</v>
      </c>
      <c r="F2586" t="s">
        <v>2816</v>
      </c>
    </row>
    <row r="2587" spans="1:6" x14ac:dyDescent="0.2">
      <c r="A2587" t="s">
        <v>2814</v>
      </c>
      <c r="B2587" t="s">
        <v>2963</v>
      </c>
      <c r="C2587">
        <v>14119956</v>
      </c>
      <c r="D2587" t="s">
        <v>269</v>
      </c>
      <c r="E2587" s="134">
        <v>125.16</v>
      </c>
      <c r="F2587" t="s">
        <v>2816</v>
      </c>
    </row>
    <row r="2588" spans="1:6" x14ac:dyDescent="0.2">
      <c r="A2588" t="s">
        <v>2814</v>
      </c>
      <c r="B2588" t="s">
        <v>2963</v>
      </c>
      <c r="C2588">
        <v>14120041</v>
      </c>
      <c r="D2588" t="s">
        <v>272</v>
      </c>
      <c r="E2588" s="134">
        <v>125.16</v>
      </c>
      <c r="F2588" t="s">
        <v>2816</v>
      </c>
    </row>
    <row r="2589" spans="1:6" x14ac:dyDescent="0.2">
      <c r="A2589" t="s">
        <v>2814</v>
      </c>
      <c r="B2589" t="s">
        <v>2963</v>
      </c>
      <c r="C2589">
        <v>14120044</v>
      </c>
      <c r="D2589" t="s">
        <v>273</v>
      </c>
      <c r="E2589" s="134">
        <v>125.16</v>
      </c>
      <c r="F2589" t="s">
        <v>2816</v>
      </c>
    </row>
    <row r="2590" spans="1:6" x14ac:dyDescent="0.2">
      <c r="A2590" t="s">
        <v>2814</v>
      </c>
      <c r="B2590" t="s">
        <v>2963</v>
      </c>
      <c r="C2590">
        <v>14120106</v>
      </c>
      <c r="D2590" t="s">
        <v>277</v>
      </c>
      <c r="E2590" s="134">
        <v>125.16</v>
      </c>
      <c r="F2590" t="s">
        <v>2816</v>
      </c>
    </row>
    <row r="2591" spans="1:6" x14ac:dyDescent="0.2">
      <c r="A2591" t="s">
        <v>2814</v>
      </c>
      <c r="B2591" t="s">
        <v>2963</v>
      </c>
      <c r="C2591">
        <v>14120121</v>
      </c>
      <c r="D2591" t="s">
        <v>278</v>
      </c>
      <c r="E2591" s="134">
        <v>125.16</v>
      </c>
      <c r="F2591" t="s">
        <v>2816</v>
      </c>
    </row>
    <row r="2592" spans="1:6" x14ac:dyDescent="0.2">
      <c r="A2592" t="s">
        <v>2814</v>
      </c>
      <c r="B2592" t="s">
        <v>2963</v>
      </c>
      <c r="C2592">
        <v>14120415</v>
      </c>
      <c r="D2592" t="s">
        <v>286</v>
      </c>
      <c r="E2592" s="134">
        <v>125.16</v>
      </c>
      <c r="F2592" t="s">
        <v>2816</v>
      </c>
    </row>
    <row r="2593" spans="1:6" x14ac:dyDescent="0.2">
      <c r="A2593" t="s">
        <v>2814</v>
      </c>
      <c r="B2593" t="s">
        <v>2963</v>
      </c>
      <c r="C2593">
        <v>14101142</v>
      </c>
      <c r="D2593" t="s">
        <v>906</v>
      </c>
      <c r="E2593" s="134">
        <v>130.33000000000001</v>
      </c>
      <c r="F2593" t="s">
        <v>2816</v>
      </c>
    </row>
    <row r="2594" spans="1:6" x14ac:dyDescent="0.2">
      <c r="A2594" t="s">
        <v>2814</v>
      </c>
      <c r="B2594" t="s">
        <v>2963</v>
      </c>
      <c r="C2594">
        <v>14101145</v>
      </c>
      <c r="D2594" t="s">
        <v>908</v>
      </c>
      <c r="E2594" s="134">
        <v>130.33000000000001</v>
      </c>
      <c r="F2594" t="s">
        <v>2816</v>
      </c>
    </row>
    <row r="2595" spans="1:6" x14ac:dyDescent="0.2">
      <c r="A2595" t="s">
        <v>2814</v>
      </c>
      <c r="B2595" t="s">
        <v>2963</v>
      </c>
      <c r="C2595">
        <v>14103700</v>
      </c>
      <c r="D2595" t="s">
        <v>910</v>
      </c>
      <c r="E2595" s="134">
        <v>130.33000000000001</v>
      </c>
      <c r="F2595" t="s">
        <v>2816</v>
      </c>
    </row>
    <row r="2596" spans="1:6" x14ac:dyDescent="0.2">
      <c r="A2596" t="s">
        <v>2814</v>
      </c>
      <c r="B2596" t="s">
        <v>2963</v>
      </c>
      <c r="C2596">
        <v>14109275</v>
      </c>
      <c r="D2596" t="s">
        <v>912</v>
      </c>
      <c r="E2596" s="134">
        <v>130.33000000000001</v>
      </c>
      <c r="F2596" t="s">
        <v>2816</v>
      </c>
    </row>
    <row r="2597" spans="1:6" x14ac:dyDescent="0.2">
      <c r="A2597" t="s">
        <v>2814</v>
      </c>
      <c r="B2597" t="s">
        <v>2963</v>
      </c>
      <c r="C2597">
        <v>14100714</v>
      </c>
      <c r="D2597" t="s">
        <v>6</v>
      </c>
      <c r="E2597" s="134">
        <v>130.33000000000001</v>
      </c>
      <c r="F2597" t="s">
        <v>2816</v>
      </c>
    </row>
    <row r="2598" spans="1:6" x14ac:dyDescent="0.2">
      <c r="A2598" t="s">
        <v>2814</v>
      </c>
      <c r="B2598" t="s">
        <v>2963</v>
      </c>
      <c r="C2598">
        <v>14100718</v>
      </c>
      <c r="D2598" t="s">
        <v>8</v>
      </c>
      <c r="E2598" s="134">
        <v>130.33000000000001</v>
      </c>
      <c r="F2598" t="s">
        <v>2816</v>
      </c>
    </row>
    <row r="2599" spans="1:6" x14ac:dyDescent="0.2">
      <c r="A2599" t="s">
        <v>2814</v>
      </c>
      <c r="B2599" t="s">
        <v>2963</v>
      </c>
      <c r="C2599">
        <v>14100721</v>
      </c>
      <c r="D2599" t="s">
        <v>9</v>
      </c>
      <c r="E2599" s="134">
        <v>130.33000000000001</v>
      </c>
      <c r="F2599" t="s">
        <v>2816</v>
      </c>
    </row>
    <row r="2600" spans="1:6" x14ac:dyDescent="0.2">
      <c r="A2600" t="s">
        <v>2814</v>
      </c>
      <c r="B2600" t="s">
        <v>2963</v>
      </c>
      <c r="C2600">
        <v>14100731</v>
      </c>
      <c r="D2600" t="s">
        <v>15</v>
      </c>
      <c r="E2600" s="134">
        <v>130.33000000000001</v>
      </c>
      <c r="F2600" t="s">
        <v>2816</v>
      </c>
    </row>
    <row r="2601" spans="1:6" x14ac:dyDescent="0.2">
      <c r="A2601" t="s">
        <v>2814</v>
      </c>
      <c r="B2601" t="s">
        <v>2963</v>
      </c>
      <c r="C2601">
        <v>14100732</v>
      </c>
      <c r="D2601" t="s">
        <v>16</v>
      </c>
      <c r="E2601" s="134">
        <v>130.33000000000001</v>
      </c>
      <c r="F2601" t="s">
        <v>2816</v>
      </c>
    </row>
    <row r="2602" spans="1:6" x14ac:dyDescent="0.2">
      <c r="A2602" t="s">
        <v>2814</v>
      </c>
      <c r="B2602" t="s">
        <v>2963</v>
      </c>
      <c r="C2602">
        <v>14100733</v>
      </c>
      <c r="D2602" t="s">
        <v>17</v>
      </c>
      <c r="E2602" s="134">
        <v>130.33000000000001</v>
      </c>
      <c r="F2602" t="s">
        <v>2816</v>
      </c>
    </row>
    <row r="2603" spans="1:6" x14ac:dyDescent="0.2">
      <c r="A2603" t="s">
        <v>2814</v>
      </c>
      <c r="B2603" t="s">
        <v>2963</v>
      </c>
      <c r="C2603">
        <v>14100740</v>
      </c>
      <c r="D2603" t="s">
        <v>18</v>
      </c>
      <c r="E2603" s="134">
        <v>130.33000000000001</v>
      </c>
      <c r="F2603" t="s">
        <v>2816</v>
      </c>
    </row>
    <row r="2604" spans="1:6" x14ac:dyDescent="0.2">
      <c r="A2604" t="s">
        <v>2814</v>
      </c>
      <c r="B2604" t="s">
        <v>2963</v>
      </c>
      <c r="C2604">
        <v>14100787</v>
      </c>
      <c r="D2604" t="s">
        <v>20</v>
      </c>
      <c r="E2604" s="134">
        <v>130.33000000000001</v>
      </c>
      <c r="F2604" t="s">
        <v>2816</v>
      </c>
    </row>
    <row r="2605" spans="1:6" x14ac:dyDescent="0.2">
      <c r="A2605" t="s">
        <v>2814</v>
      </c>
      <c r="B2605" t="s">
        <v>2963</v>
      </c>
      <c r="C2605">
        <v>14100807</v>
      </c>
      <c r="D2605" t="s">
        <v>23</v>
      </c>
      <c r="E2605" s="134">
        <v>130.33000000000001</v>
      </c>
      <c r="F2605" t="s">
        <v>2816</v>
      </c>
    </row>
    <row r="2606" spans="1:6" x14ac:dyDescent="0.2">
      <c r="A2606" t="s">
        <v>2814</v>
      </c>
      <c r="B2606" t="s">
        <v>2963</v>
      </c>
      <c r="C2606">
        <v>14100863</v>
      </c>
      <c r="D2606" t="s">
        <v>25</v>
      </c>
      <c r="E2606" s="134">
        <v>130.33000000000001</v>
      </c>
      <c r="F2606" t="s">
        <v>2816</v>
      </c>
    </row>
    <row r="2607" spans="1:6" x14ac:dyDescent="0.2">
      <c r="A2607" t="s">
        <v>2814</v>
      </c>
      <c r="B2607" t="s">
        <v>2963</v>
      </c>
      <c r="C2607">
        <v>14101881</v>
      </c>
      <c r="D2607" t="s">
        <v>26</v>
      </c>
      <c r="E2607" s="134">
        <v>130.33000000000001</v>
      </c>
      <c r="F2607" t="s">
        <v>2816</v>
      </c>
    </row>
    <row r="2608" spans="1:6" x14ac:dyDescent="0.2">
      <c r="A2608" t="s">
        <v>2814</v>
      </c>
      <c r="B2608" t="s">
        <v>2963</v>
      </c>
      <c r="C2608">
        <v>14101984</v>
      </c>
      <c r="D2608" t="s">
        <v>27</v>
      </c>
      <c r="E2608" s="134">
        <v>130.33000000000001</v>
      </c>
      <c r="F2608" t="s">
        <v>2816</v>
      </c>
    </row>
    <row r="2609" spans="1:6" x14ac:dyDescent="0.2">
      <c r="A2609" t="s">
        <v>2814</v>
      </c>
      <c r="B2609" t="s">
        <v>2963</v>
      </c>
      <c r="C2609">
        <v>14102288</v>
      </c>
      <c r="D2609" t="s">
        <v>29</v>
      </c>
      <c r="E2609" s="134">
        <v>130.33000000000001</v>
      </c>
      <c r="F2609" t="s">
        <v>2816</v>
      </c>
    </row>
    <row r="2610" spans="1:6" x14ac:dyDescent="0.2">
      <c r="A2610" t="s">
        <v>2814</v>
      </c>
      <c r="B2610" t="s">
        <v>2963</v>
      </c>
      <c r="C2610">
        <v>14102701</v>
      </c>
      <c r="D2610" t="s">
        <v>30</v>
      </c>
      <c r="E2610" s="134">
        <v>130.33000000000001</v>
      </c>
      <c r="F2610" t="s">
        <v>2816</v>
      </c>
    </row>
    <row r="2611" spans="1:6" x14ac:dyDescent="0.2">
      <c r="A2611" t="s">
        <v>2814</v>
      </c>
      <c r="B2611" t="s">
        <v>2963</v>
      </c>
      <c r="C2611">
        <v>14102890</v>
      </c>
      <c r="D2611" t="s">
        <v>33</v>
      </c>
      <c r="E2611" s="134">
        <v>130.33000000000001</v>
      </c>
      <c r="F2611" t="s">
        <v>2816</v>
      </c>
    </row>
    <row r="2612" spans="1:6" x14ac:dyDescent="0.2">
      <c r="A2612" t="s">
        <v>2814</v>
      </c>
      <c r="B2612" t="s">
        <v>2963</v>
      </c>
      <c r="C2612">
        <v>14103061</v>
      </c>
      <c r="D2612" t="s">
        <v>392</v>
      </c>
      <c r="E2612" s="134">
        <v>130.33000000000001</v>
      </c>
      <c r="F2612" t="s">
        <v>2816</v>
      </c>
    </row>
    <row r="2613" spans="1:6" x14ac:dyDescent="0.2">
      <c r="A2613" t="s">
        <v>2814</v>
      </c>
      <c r="B2613" t="s">
        <v>2963</v>
      </c>
      <c r="C2613">
        <v>14103106</v>
      </c>
      <c r="D2613" t="s">
        <v>34</v>
      </c>
      <c r="E2613" s="134">
        <v>130.33000000000001</v>
      </c>
      <c r="F2613" t="s">
        <v>2816</v>
      </c>
    </row>
    <row r="2614" spans="1:6" x14ac:dyDescent="0.2">
      <c r="A2614" t="s">
        <v>2814</v>
      </c>
      <c r="B2614" t="s">
        <v>2963</v>
      </c>
      <c r="C2614">
        <v>14103183</v>
      </c>
      <c r="D2614" t="s">
        <v>35</v>
      </c>
      <c r="E2614" s="134">
        <v>130.33000000000001</v>
      </c>
      <c r="F2614" t="s">
        <v>2816</v>
      </c>
    </row>
    <row r="2615" spans="1:6" x14ac:dyDescent="0.2">
      <c r="A2615" t="s">
        <v>2814</v>
      </c>
      <c r="B2615" t="s">
        <v>2963</v>
      </c>
      <c r="C2615">
        <v>14103335</v>
      </c>
      <c r="D2615" t="s">
        <v>36</v>
      </c>
      <c r="E2615" s="134">
        <v>130.33000000000001</v>
      </c>
      <c r="F2615" t="s">
        <v>2816</v>
      </c>
    </row>
    <row r="2616" spans="1:6" x14ac:dyDescent="0.2">
      <c r="A2616" t="s">
        <v>2814</v>
      </c>
      <c r="B2616" t="s">
        <v>2963</v>
      </c>
      <c r="C2616">
        <v>14103679</v>
      </c>
      <c r="D2616" t="s">
        <v>37</v>
      </c>
      <c r="E2616" s="134">
        <v>130.33000000000001</v>
      </c>
      <c r="F2616" t="s">
        <v>2816</v>
      </c>
    </row>
    <row r="2617" spans="1:6" x14ac:dyDescent="0.2">
      <c r="A2617" t="s">
        <v>2814</v>
      </c>
      <c r="B2617" t="s">
        <v>2963</v>
      </c>
      <c r="C2617">
        <v>14103952</v>
      </c>
      <c r="D2617" t="s">
        <v>38</v>
      </c>
      <c r="E2617" s="134">
        <v>130.33000000000001</v>
      </c>
      <c r="F2617" t="s">
        <v>2816</v>
      </c>
    </row>
    <row r="2618" spans="1:6" x14ac:dyDescent="0.2">
      <c r="A2618" t="s">
        <v>2814</v>
      </c>
      <c r="B2618" t="s">
        <v>2963</v>
      </c>
      <c r="C2618">
        <v>14104315</v>
      </c>
      <c r="D2618" t="s">
        <v>328</v>
      </c>
      <c r="E2618" s="134">
        <v>130.33000000000001</v>
      </c>
      <c r="F2618" t="s">
        <v>2816</v>
      </c>
    </row>
    <row r="2619" spans="1:6" x14ac:dyDescent="0.2">
      <c r="A2619" t="s">
        <v>2814</v>
      </c>
      <c r="B2619" t="s">
        <v>2963</v>
      </c>
      <c r="C2619">
        <v>14104316</v>
      </c>
      <c r="D2619" t="s">
        <v>39</v>
      </c>
      <c r="E2619" s="134">
        <v>130.33000000000001</v>
      </c>
      <c r="F2619" t="s">
        <v>2816</v>
      </c>
    </row>
    <row r="2620" spans="1:6" x14ac:dyDescent="0.2">
      <c r="A2620" t="s">
        <v>2814</v>
      </c>
      <c r="B2620" t="s">
        <v>2963</v>
      </c>
      <c r="C2620">
        <v>14104599</v>
      </c>
      <c r="D2620" t="s">
        <v>40</v>
      </c>
      <c r="E2620" s="134">
        <v>130.33000000000001</v>
      </c>
      <c r="F2620" t="s">
        <v>2816</v>
      </c>
    </row>
    <row r="2621" spans="1:6" x14ac:dyDescent="0.2">
      <c r="A2621" t="s">
        <v>2814</v>
      </c>
      <c r="B2621" t="s">
        <v>2963</v>
      </c>
      <c r="C2621">
        <v>14104971</v>
      </c>
      <c r="D2621" t="s">
        <v>43</v>
      </c>
      <c r="E2621" s="134">
        <v>130.33000000000001</v>
      </c>
      <c r="F2621" t="s">
        <v>2816</v>
      </c>
    </row>
    <row r="2622" spans="1:6" x14ac:dyDescent="0.2">
      <c r="A2622" t="s">
        <v>2814</v>
      </c>
      <c r="B2622" t="s">
        <v>2963</v>
      </c>
      <c r="C2622">
        <v>14105437</v>
      </c>
      <c r="D2622" t="s">
        <v>44</v>
      </c>
      <c r="E2622" s="134">
        <v>130.33000000000001</v>
      </c>
      <c r="F2622" t="s">
        <v>2816</v>
      </c>
    </row>
    <row r="2623" spans="1:6" x14ac:dyDescent="0.2">
      <c r="A2623" t="s">
        <v>2814</v>
      </c>
      <c r="B2623" t="s">
        <v>2963</v>
      </c>
      <c r="C2623">
        <v>14105531</v>
      </c>
      <c r="D2623" t="s">
        <v>45</v>
      </c>
      <c r="E2623" s="134">
        <v>130.33000000000001</v>
      </c>
      <c r="F2623" t="s">
        <v>2816</v>
      </c>
    </row>
    <row r="2624" spans="1:6" x14ac:dyDescent="0.2">
      <c r="A2624" t="s">
        <v>2814</v>
      </c>
      <c r="B2624" t="s">
        <v>2963</v>
      </c>
      <c r="C2624">
        <v>14105586</v>
      </c>
      <c r="D2624" t="s">
        <v>46</v>
      </c>
      <c r="E2624" s="134">
        <v>130.33000000000001</v>
      </c>
      <c r="F2624" t="s">
        <v>2816</v>
      </c>
    </row>
    <row r="2625" spans="1:6" x14ac:dyDescent="0.2">
      <c r="A2625" t="s">
        <v>2814</v>
      </c>
      <c r="B2625" t="s">
        <v>2963</v>
      </c>
      <c r="C2625">
        <v>14106033</v>
      </c>
      <c r="D2625" t="s">
        <v>47</v>
      </c>
      <c r="E2625" s="134">
        <v>130.33000000000001</v>
      </c>
      <c r="F2625" t="s">
        <v>2816</v>
      </c>
    </row>
    <row r="2626" spans="1:6" x14ac:dyDescent="0.2">
      <c r="A2626" t="s">
        <v>2814</v>
      </c>
      <c r="B2626" t="s">
        <v>2963</v>
      </c>
      <c r="C2626">
        <v>14106368</v>
      </c>
      <c r="D2626" t="s">
        <v>50</v>
      </c>
      <c r="E2626" s="134">
        <v>130.33000000000001</v>
      </c>
      <c r="F2626" t="s">
        <v>2816</v>
      </c>
    </row>
    <row r="2627" spans="1:6" x14ac:dyDescent="0.2">
      <c r="A2627" t="s">
        <v>2814</v>
      </c>
      <c r="B2627" t="s">
        <v>2963</v>
      </c>
      <c r="C2627">
        <v>14106949</v>
      </c>
      <c r="D2627" t="s">
        <v>53</v>
      </c>
      <c r="E2627" s="134">
        <v>130.33000000000001</v>
      </c>
      <c r="F2627" t="s">
        <v>2816</v>
      </c>
    </row>
    <row r="2628" spans="1:6" x14ac:dyDescent="0.2">
      <c r="A2628" t="s">
        <v>2814</v>
      </c>
      <c r="B2628" t="s">
        <v>2963</v>
      </c>
      <c r="C2628">
        <v>14106980</v>
      </c>
      <c r="D2628" t="s">
        <v>54</v>
      </c>
      <c r="E2628" s="134">
        <v>130.33000000000001</v>
      </c>
      <c r="F2628" t="s">
        <v>2816</v>
      </c>
    </row>
    <row r="2629" spans="1:6" x14ac:dyDescent="0.2">
      <c r="A2629" t="s">
        <v>2814</v>
      </c>
      <c r="B2629" t="s">
        <v>2963</v>
      </c>
      <c r="C2629">
        <v>14107167</v>
      </c>
      <c r="D2629" t="s">
        <v>56</v>
      </c>
      <c r="E2629" s="134">
        <v>130.33000000000001</v>
      </c>
      <c r="F2629" t="s">
        <v>2816</v>
      </c>
    </row>
    <row r="2630" spans="1:6" x14ac:dyDescent="0.2">
      <c r="A2630" t="s">
        <v>2814</v>
      </c>
      <c r="B2630" t="s">
        <v>2963</v>
      </c>
      <c r="C2630">
        <v>14107293</v>
      </c>
      <c r="D2630" t="s">
        <v>191</v>
      </c>
      <c r="E2630" s="134">
        <v>130.33000000000001</v>
      </c>
      <c r="F2630" t="s">
        <v>2816</v>
      </c>
    </row>
    <row r="2631" spans="1:6" x14ac:dyDescent="0.2">
      <c r="A2631" t="s">
        <v>2814</v>
      </c>
      <c r="B2631" t="s">
        <v>2963</v>
      </c>
      <c r="C2631">
        <v>14107393</v>
      </c>
      <c r="D2631" t="s">
        <v>61</v>
      </c>
      <c r="E2631" s="134">
        <v>130.33000000000001</v>
      </c>
      <c r="F2631" t="s">
        <v>2816</v>
      </c>
    </row>
    <row r="2632" spans="1:6" x14ac:dyDescent="0.2">
      <c r="A2632" t="s">
        <v>2814</v>
      </c>
      <c r="B2632" t="s">
        <v>2963</v>
      </c>
      <c r="C2632">
        <v>14107484</v>
      </c>
      <c r="D2632" t="s">
        <v>62</v>
      </c>
      <c r="E2632" s="134">
        <v>130.33000000000001</v>
      </c>
      <c r="F2632" t="s">
        <v>2816</v>
      </c>
    </row>
    <row r="2633" spans="1:6" x14ac:dyDescent="0.2">
      <c r="A2633" t="s">
        <v>2814</v>
      </c>
      <c r="B2633" t="s">
        <v>2963</v>
      </c>
      <c r="C2633">
        <v>14107552</v>
      </c>
      <c r="D2633" t="s">
        <v>63</v>
      </c>
      <c r="E2633" s="134">
        <v>130.33000000000001</v>
      </c>
      <c r="F2633" t="s">
        <v>2816</v>
      </c>
    </row>
    <row r="2634" spans="1:6" x14ac:dyDescent="0.2">
      <c r="A2634" t="s">
        <v>2814</v>
      </c>
      <c r="B2634" t="s">
        <v>2963</v>
      </c>
      <c r="C2634">
        <v>14107735</v>
      </c>
      <c r="D2634" t="s">
        <v>64</v>
      </c>
      <c r="E2634" s="134">
        <v>130.33000000000001</v>
      </c>
      <c r="F2634" t="s">
        <v>2816</v>
      </c>
    </row>
    <row r="2635" spans="1:6" x14ac:dyDescent="0.2">
      <c r="A2635" t="s">
        <v>2814</v>
      </c>
      <c r="B2635" t="s">
        <v>2963</v>
      </c>
      <c r="C2635">
        <v>14107754</v>
      </c>
      <c r="D2635" t="s">
        <v>65</v>
      </c>
      <c r="E2635" s="134">
        <v>130.33000000000001</v>
      </c>
      <c r="F2635" t="s">
        <v>2816</v>
      </c>
    </row>
    <row r="2636" spans="1:6" x14ac:dyDescent="0.2">
      <c r="A2636" t="s">
        <v>2814</v>
      </c>
      <c r="B2636" t="s">
        <v>2963</v>
      </c>
      <c r="C2636">
        <v>14107967</v>
      </c>
      <c r="D2636" t="s">
        <v>67</v>
      </c>
      <c r="E2636" s="134">
        <v>130.33000000000001</v>
      </c>
      <c r="F2636" t="s">
        <v>2816</v>
      </c>
    </row>
    <row r="2637" spans="1:6" x14ac:dyDescent="0.2">
      <c r="A2637" t="s">
        <v>2814</v>
      </c>
      <c r="B2637" t="s">
        <v>2963</v>
      </c>
      <c r="C2637">
        <v>14107978</v>
      </c>
      <c r="D2637" t="s">
        <v>68</v>
      </c>
      <c r="E2637" s="134">
        <v>130.33000000000001</v>
      </c>
      <c r="F2637" t="s">
        <v>2816</v>
      </c>
    </row>
    <row r="2638" spans="1:6" x14ac:dyDescent="0.2">
      <c r="A2638" t="s">
        <v>2814</v>
      </c>
      <c r="B2638" t="s">
        <v>2963</v>
      </c>
      <c r="C2638">
        <v>14108222</v>
      </c>
      <c r="D2638" t="s">
        <v>71</v>
      </c>
      <c r="E2638" s="134">
        <v>130.33000000000001</v>
      </c>
      <c r="F2638" t="s">
        <v>2816</v>
      </c>
    </row>
    <row r="2639" spans="1:6" x14ac:dyDescent="0.2">
      <c r="A2639" t="s">
        <v>2814</v>
      </c>
      <c r="B2639" t="s">
        <v>2963</v>
      </c>
      <c r="C2639">
        <v>14108267</v>
      </c>
      <c r="D2639" t="s">
        <v>72</v>
      </c>
      <c r="E2639" s="134">
        <v>130.33000000000001</v>
      </c>
      <c r="F2639" t="s">
        <v>2816</v>
      </c>
    </row>
    <row r="2640" spans="1:6" x14ac:dyDescent="0.2">
      <c r="A2640" t="s">
        <v>2814</v>
      </c>
      <c r="B2640" t="s">
        <v>2963</v>
      </c>
      <c r="C2640">
        <v>14108552</v>
      </c>
      <c r="D2640" t="s">
        <v>309</v>
      </c>
      <c r="E2640" s="134">
        <v>130.33000000000001</v>
      </c>
      <c r="F2640" t="s">
        <v>2816</v>
      </c>
    </row>
    <row r="2641" spans="1:6" x14ac:dyDescent="0.2">
      <c r="A2641" t="s">
        <v>2814</v>
      </c>
      <c r="B2641" t="s">
        <v>2963</v>
      </c>
      <c r="C2641">
        <v>14108916</v>
      </c>
      <c r="D2641" t="s">
        <v>79</v>
      </c>
      <c r="E2641" s="134">
        <v>130.33000000000001</v>
      </c>
      <c r="F2641" t="s">
        <v>2816</v>
      </c>
    </row>
    <row r="2642" spans="1:6" x14ac:dyDescent="0.2">
      <c r="A2642" t="s">
        <v>2814</v>
      </c>
      <c r="B2642" t="s">
        <v>2963</v>
      </c>
      <c r="C2642">
        <v>14109032</v>
      </c>
      <c r="D2642" t="s">
        <v>80</v>
      </c>
      <c r="E2642" s="134">
        <v>130.33000000000001</v>
      </c>
      <c r="F2642" t="s">
        <v>2816</v>
      </c>
    </row>
    <row r="2643" spans="1:6" x14ac:dyDescent="0.2">
      <c r="A2643" t="s">
        <v>2814</v>
      </c>
      <c r="B2643" t="s">
        <v>2963</v>
      </c>
      <c r="C2643">
        <v>14109097</v>
      </c>
      <c r="D2643" t="s">
        <v>81</v>
      </c>
      <c r="E2643" s="134">
        <v>130.33000000000001</v>
      </c>
      <c r="F2643" t="s">
        <v>2816</v>
      </c>
    </row>
    <row r="2644" spans="1:6" x14ac:dyDescent="0.2">
      <c r="A2644" t="s">
        <v>2814</v>
      </c>
      <c r="B2644" t="s">
        <v>2963</v>
      </c>
      <c r="C2644">
        <v>14109131</v>
      </c>
      <c r="D2644" t="s">
        <v>82</v>
      </c>
      <c r="E2644" s="134">
        <v>130.33000000000001</v>
      </c>
      <c r="F2644" t="s">
        <v>2816</v>
      </c>
    </row>
    <row r="2645" spans="1:6" x14ac:dyDescent="0.2">
      <c r="A2645" t="s">
        <v>2814</v>
      </c>
      <c r="B2645" t="s">
        <v>2963</v>
      </c>
      <c r="C2645">
        <v>14109133</v>
      </c>
      <c r="D2645" t="s">
        <v>83</v>
      </c>
      <c r="E2645" s="134">
        <v>130.33000000000001</v>
      </c>
      <c r="F2645" t="s">
        <v>2816</v>
      </c>
    </row>
    <row r="2646" spans="1:6" x14ac:dyDescent="0.2">
      <c r="A2646" t="s">
        <v>2814</v>
      </c>
      <c r="B2646" t="s">
        <v>2963</v>
      </c>
      <c r="C2646">
        <v>14109134</v>
      </c>
      <c r="D2646" t="s">
        <v>84</v>
      </c>
      <c r="E2646" s="134">
        <v>130.33000000000001</v>
      </c>
      <c r="F2646" t="s">
        <v>2816</v>
      </c>
    </row>
    <row r="2647" spans="1:6" x14ac:dyDescent="0.2">
      <c r="A2647" t="s">
        <v>2814</v>
      </c>
      <c r="B2647" t="s">
        <v>2963</v>
      </c>
      <c r="C2647">
        <v>14109436</v>
      </c>
      <c r="D2647" t="s">
        <v>364</v>
      </c>
      <c r="E2647" s="134">
        <v>130.33000000000001</v>
      </c>
      <c r="F2647" t="s">
        <v>2816</v>
      </c>
    </row>
    <row r="2648" spans="1:6" x14ac:dyDescent="0.2">
      <c r="A2648" t="s">
        <v>2814</v>
      </c>
      <c r="B2648" t="s">
        <v>2963</v>
      </c>
      <c r="C2648">
        <v>14109664</v>
      </c>
      <c r="D2648" t="s">
        <v>89</v>
      </c>
      <c r="E2648" s="134">
        <v>130.33000000000001</v>
      </c>
      <c r="F2648" t="s">
        <v>2816</v>
      </c>
    </row>
    <row r="2649" spans="1:6" x14ac:dyDescent="0.2">
      <c r="A2649" t="s">
        <v>2814</v>
      </c>
      <c r="B2649" t="s">
        <v>2963</v>
      </c>
      <c r="C2649">
        <v>14109674</v>
      </c>
      <c r="D2649" t="s">
        <v>90</v>
      </c>
      <c r="E2649" s="134">
        <v>130.33000000000001</v>
      </c>
      <c r="F2649" t="s">
        <v>2816</v>
      </c>
    </row>
    <row r="2650" spans="1:6" x14ac:dyDescent="0.2">
      <c r="A2650" t="s">
        <v>2814</v>
      </c>
      <c r="B2650" t="s">
        <v>2963</v>
      </c>
      <c r="C2650">
        <v>14109707</v>
      </c>
      <c r="D2650" t="s">
        <v>92</v>
      </c>
      <c r="E2650" s="134">
        <v>130.33000000000001</v>
      </c>
      <c r="F2650" t="s">
        <v>2816</v>
      </c>
    </row>
    <row r="2651" spans="1:6" x14ac:dyDescent="0.2">
      <c r="A2651" t="s">
        <v>2814</v>
      </c>
      <c r="B2651" t="s">
        <v>2963</v>
      </c>
      <c r="C2651">
        <v>14110039</v>
      </c>
      <c r="D2651" t="s">
        <v>98</v>
      </c>
      <c r="E2651" s="134">
        <v>130.33000000000001</v>
      </c>
      <c r="F2651" t="s">
        <v>2816</v>
      </c>
    </row>
    <row r="2652" spans="1:6" x14ac:dyDescent="0.2">
      <c r="A2652" t="s">
        <v>2814</v>
      </c>
      <c r="B2652" t="s">
        <v>2963</v>
      </c>
      <c r="C2652">
        <v>14110040</v>
      </c>
      <c r="D2652" t="s">
        <v>99</v>
      </c>
      <c r="E2652" s="134">
        <v>130.33000000000001</v>
      </c>
      <c r="F2652" t="s">
        <v>2816</v>
      </c>
    </row>
    <row r="2653" spans="1:6" x14ac:dyDescent="0.2">
      <c r="A2653" t="s">
        <v>2814</v>
      </c>
      <c r="B2653" t="s">
        <v>2963</v>
      </c>
      <c r="C2653">
        <v>14110042</v>
      </c>
      <c r="D2653" t="s">
        <v>329</v>
      </c>
      <c r="E2653" s="134">
        <v>130.33000000000001</v>
      </c>
      <c r="F2653" t="s">
        <v>2816</v>
      </c>
    </row>
    <row r="2654" spans="1:6" x14ac:dyDescent="0.2">
      <c r="A2654" t="s">
        <v>2814</v>
      </c>
      <c r="B2654" t="s">
        <v>2963</v>
      </c>
      <c r="C2654">
        <v>14110044</v>
      </c>
      <c r="D2654" t="s">
        <v>145</v>
      </c>
      <c r="E2654" s="134">
        <v>130.33000000000001</v>
      </c>
      <c r="F2654" t="s">
        <v>2816</v>
      </c>
    </row>
    <row r="2655" spans="1:6" x14ac:dyDescent="0.2">
      <c r="A2655" t="s">
        <v>2814</v>
      </c>
      <c r="B2655" t="s">
        <v>2963</v>
      </c>
      <c r="C2655">
        <v>14110339</v>
      </c>
      <c r="D2655" t="s">
        <v>101</v>
      </c>
      <c r="E2655" s="134">
        <v>130.33000000000001</v>
      </c>
      <c r="F2655" t="s">
        <v>2816</v>
      </c>
    </row>
    <row r="2656" spans="1:6" x14ac:dyDescent="0.2">
      <c r="A2656" t="s">
        <v>2814</v>
      </c>
      <c r="B2656" t="s">
        <v>2963</v>
      </c>
      <c r="C2656">
        <v>14110465</v>
      </c>
      <c r="D2656" t="s">
        <v>102</v>
      </c>
      <c r="E2656" s="134">
        <v>130.33000000000001</v>
      </c>
      <c r="F2656" t="s">
        <v>2816</v>
      </c>
    </row>
    <row r="2657" spans="1:6" x14ac:dyDescent="0.2">
      <c r="A2657" t="s">
        <v>2814</v>
      </c>
      <c r="B2657" t="s">
        <v>2963</v>
      </c>
      <c r="C2657">
        <v>14110512</v>
      </c>
      <c r="D2657" t="s">
        <v>183</v>
      </c>
      <c r="E2657" s="134">
        <v>130.33000000000001</v>
      </c>
      <c r="F2657" t="s">
        <v>2816</v>
      </c>
    </row>
    <row r="2658" spans="1:6" x14ac:dyDescent="0.2">
      <c r="A2658" t="s">
        <v>2814</v>
      </c>
      <c r="B2658" t="s">
        <v>2963</v>
      </c>
      <c r="C2658">
        <v>14110929</v>
      </c>
      <c r="D2658" t="s">
        <v>179</v>
      </c>
      <c r="E2658" s="134">
        <v>130.33000000000001</v>
      </c>
      <c r="F2658" t="s">
        <v>2816</v>
      </c>
    </row>
    <row r="2659" spans="1:6" x14ac:dyDescent="0.2">
      <c r="A2659" t="s">
        <v>2814</v>
      </c>
      <c r="B2659" t="s">
        <v>2963</v>
      </c>
      <c r="C2659">
        <v>14110973</v>
      </c>
      <c r="D2659" t="s">
        <v>106</v>
      </c>
      <c r="E2659" s="134">
        <v>130.33000000000001</v>
      </c>
      <c r="F2659" t="s">
        <v>2816</v>
      </c>
    </row>
    <row r="2660" spans="1:6" x14ac:dyDescent="0.2">
      <c r="A2660" t="s">
        <v>2814</v>
      </c>
      <c r="B2660" t="s">
        <v>2963</v>
      </c>
      <c r="C2660">
        <v>14111143</v>
      </c>
      <c r="D2660" t="s">
        <v>109</v>
      </c>
      <c r="E2660" s="134">
        <v>130.33000000000001</v>
      </c>
      <c r="F2660" t="s">
        <v>2816</v>
      </c>
    </row>
    <row r="2661" spans="1:6" x14ac:dyDescent="0.2">
      <c r="A2661" t="s">
        <v>2814</v>
      </c>
      <c r="B2661" t="s">
        <v>2963</v>
      </c>
      <c r="C2661">
        <v>14111266</v>
      </c>
      <c r="D2661" t="s">
        <v>110</v>
      </c>
      <c r="E2661" s="134">
        <v>130.33000000000001</v>
      </c>
      <c r="F2661" t="s">
        <v>2816</v>
      </c>
    </row>
    <row r="2662" spans="1:6" x14ac:dyDescent="0.2">
      <c r="A2662" t="s">
        <v>2814</v>
      </c>
      <c r="B2662" t="s">
        <v>2963</v>
      </c>
      <c r="C2662">
        <v>14112174</v>
      </c>
      <c r="D2662" t="s">
        <v>114</v>
      </c>
      <c r="E2662" s="134">
        <v>130.33000000000001</v>
      </c>
      <c r="F2662" t="s">
        <v>2816</v>
      </c>
    </row>
    <row r="2663" spans="1:6" x14ac:dyDescent="0.2">
      <c r="A2663" t="s">
        <v>2814</v>
      </c>
      <c r="B2663" t="s">
        <v>2963</v>
      </c>
      <c r="C2663">
        <v>14112292</v>
      </c>
      <c r="D2663" t="s">
        <v>190</v>
      </c>
      <c r="E2663" s="134">
        <v>130.33000000000001</v>
      </c>
      <c r="F2663" t="s">
        <v>2816</v>
      </c>
    </row>
    <row r="2664" spans="1:6" x14ac:dyDescent="0.2">
      <c r="A2664" t="s">
        <v>2814</v>
      </c>
      <c r="B2664" t="s">
        <v>2963</v>
      </c>
      <c r="C2664">
        <v>14112449</v>
      </c>
      <c r="D2664" t="s">
        <v>192</v>
      </c>
      <c r="E2664" s="134">
        <v>130.33000000000001</v>
      </c>
      <c r="F2664" t="s">
        <v>2816</v>
      </c>
    </row>
    <row r="2665" spans="1:6" x14ac:dyDescent="0.2">
      <c r="A2665" t="s">
        <v>2814</v>
      </c>
      <c r="B2665" t="s">
        <v>2963</v>
      </c>
      <c r="C2665">
        <v>14112591</v>
      </c>
      <c r="D2665" t="s">
        <v>115</v>
      </c>
      <c r="E2665" s="134">
        <v>130.33000000000001</v>
      </c>
      <c r="F2665" t="s">
        <v>2816</v>
      </c>
    </row>
    <row r="2666" spans="1:6" x14ac:dyDescent="0.2">
      <c r="A2666" t="s">
        <v>2814</v>
      </c>
      <c r="B2666" t="s">
        <v>2963</v>
      </c>
      <c r="C2666">
        <v>14112595</v>
      </c>
      <c r="D2666" t="s">
        <v>365</v>
      </c>
      <c r="E2666" s="134">
        <v>130.33000000000001</v>
      </c>
      <c r="F2666" t="s">
        <v>2816</v>
      </c>
    </row>
    <row r="2667" spans="1:6" x14ac:dyDescent="0.2">
      <c r="A2667" t="s">
        <v>2814</v>
      </c>
      <c r="B2667" t="s">
        <v>2963</v>
      </c>
      <c r="C2667">
        <v>14112602</v>
      </c>
      <c r="D2667" t="s">
        <v>118</v>
      </c>
      <c r="E2667" s="134">
        <v>130.33000000000001</v>
      </c>
      <c r="F2667" t="s">
        <v>2816</v>
      </c>
    </row>
    <row r="2668" spans="1:6" x14ac:dyDescent="0.2">
      <c r="A2668" t="s">
        <v>2814</v>
      </c>
      <c r="B2668" t="s">
        <v>2963</v>
      </c>
      <c r="C2668">
        <v>14112603</v>
      </c>
      <c r="D2668" t="s">
        <v>119</v>
      </c>
      <c r="E2668" s="134">
        <v>130.33000000000001</v>
      </c>
      <c r="F2668" t="s">
        <v>2816</v>
      </c>
    </row>
    <row r="2669" spans="1:6" x14ac:dyDescent="0.2">
      <c r="A2669" t="s">
        <v>2814</v>
      </c>
      <c r="B2669" t="s">
        <v>2963</v>
      </c>
      <c r="C2669">
        <v>14112605</v>
      </c>
      <c r="D2669" t="s">
        <v>120</v>
      </c>
      <c r="E2669" s="134">
        <v>130.33000000000001</v>
      </c>
      <c r="F2669" t="s">
        <v>2816</v>
      </c>
    </row>
    <row r="2670" spans="1:6" x14ac:dyDescent="0.2">
      <c r="A2670" t="s">
        <v>2814</v>
      </c>
      <c r="B2670" t="s">
        <v>2963</v>
      </c>
      <c r="C2670">
        <v>14112630</v>
      </c>
      <c r="D2670" t="s">
        <v>121</v>
      </c>
      <c r="E2670" s="134">
        <v>130.33000000000001</v>
      </c>
      <c r="F2670" t="s">
        <v>2816</v>
      </c>
    </row>
    <row r="2671" spans="1:6" x14ac:dyDescent="0.2">
      <c r="A2671" t="s">
        <v>2814</v>
      </c>
      <c r="B2671" t="s">
        <v>2963</v>
      </c>
      <c r="C2671">
        <v>14112757</v>
      </c>
      <c r="D2671" t="s">
        <v>348</v>
      </c>
      <c r="E2671" s="134">
        <v>130.33000000000001</v>
      </c>
      <c r="F2671" t="s">
        <v>2816</v>
      </c>
    </row>
    <row r="2672" spans="1:6" x14ac:dyDescent="0.2">
      <c r="A2672" t="s">
        <v>2814</v>
      </c>
      <c r="B2672" t="s">
        <v>2963</v>
      </c>
      <c r="C2672">
        <v>14113054</v>
      </c>
      <c r="D2672" t="s">
        <v>122</v>
      </c>
      <c r="E2672" s="134">
        <v>130.33000000000001</v>
      </c>
      <c r="F2672" t="s">
        <v>2816</v>
      </c>
    </row>
    <row r="2673" spans="1:6" x14ac:dyDescent="0.2">
      <c r="A2673" t="s">
        <v>2814</v>
      </c>
      <c r="B2673" t="s">
        <v>2963</v>
      </c>
      <c r="C2673">
        <v>14113140</v>
      </c>
      <c r="D2673" t="s">
        <v>123</v>
      </c>
      <c r="E2673" s="134">
        <v>130.33000000000001</v>
      </c>
      <c r="F2673" t="s">
        <v>2816</v>
      </c>
    </row>
    <row r="2674" spans="1:6" x14ac:dyDescent="0.2">
      <c r="A2674" t="s">
        <v>2814</v>
      </c>
      <c r="B2674" t="s">
        <v>2963</v>
      </c>
      <c r="C2674">
        <v>14113200</v>
      </c>
      <c r="D2674" t="s">
        <v>125</v>
      </c>
      <c r="E2674" s="134">
        <v>130.33000000000001</v>
      </c>
      <c r="F2674" t="s">
        <v>2816</v>
      </c>
    </row>
    <row r="2675" spans="1:6" x14ac:dyDescent="0.2">
      <c r="A2675" t="s">
        <v>2814</v>
      </c>
      <c r="B2675" t="s">
        <v>2963</v>
      </c>
      <c r="C2675">
        <v>14113320</v>
      </c>
      <c r="D2675" t="s">
        <v>127</v>
      </c>
      <c r="E2675" s="134">
        <v>130.33000000000001</v>
      </c>
      <c r="F2675" t="s">
        <v>2816</v>
      </c>
    </row>
    <row r="2676" spans="1:6" x14ac:dyDescent="0.2">
      <c r="A2676" t="s">
        <v>2814</v>
      </c>
      <c r="B2676" t="s">
        <v>2963</v>
      </c>
      <c r="C2676">
        <v>14113562</v>
      </c>
      <c r="D2676" t="s">
        <v>393</v>
      </c>
      <c r="E2676" s="134">
        <v>130.33000000000001</v>
      </c>
      <c r="F2676" t="s">
        <v>2816</v>
      </c>
    </row>
    <row r="2677" spans="1:6" x14ac:dyDescent="0.2">
      <c r="A2677" t="s">
        <v>2814</v>
      </c>
      <c r="B2677" t="s">
        <v>2963</v>
      </c>
      <c r="C2677">
        <v>14113619</v>
      </c>
      <c r="D2677" t="s">
        <v>130</v>
      </c>
      <c r="E2677" s="134">
        <v>130.33000000000001</v>
      </c>
      <c r="F2677" t="s">
        <v>2816</v>
      </c>
    </row>
    <row r="2678" spans="1:6" x14ac:dyDescent="0.2">
      <c r="A2678" t="s">
        <v>2814</v>
      </c>
      <c r="B2678" t="s">
        <v>2963</v>
      </c>
      <c r="C2678">
        <v>14113837</v>
      </c>
      <c r="D2678" t="s">
        <v>131</v>
      </c>
      <c r="E2678" s="134">
        <v>130.33000000000001</v>
      </c>
      <c r="F2678" t="s">
        <v>2816</v>
      </c>
    </row>
    <row r="2679" spans="1:6" x14ac:dyDescent="0.2">
      <c r="A2679" t="s">
        <v>2814</v>
      </c>
      <c r="B2679" t="s">
        <v>2963</v>
      </c>
      <c r="C2679">
        <v>14114030</v>
      </c>
      <c r="D2679" t="s">
        <v>132</v>
      </c>
      <c r="E2679" s="134">
        <v>130.33000000000001</v>
      </c>
      <c r="F2679" t="s">
        <v>2816</v>
      </c>
    </row>
    <row r="2680" spans="1:6" x14ac:dyDescent="0.2">
      <c r="A2680" t="s">
        <v>2814</v>
      </c>
      <c r="B2680" t="s">
        <v>2963</v>
      </c>
      <c r="C2680">
        <v>14114037</v>
      </c>
      <c r="D2680" t="s">
        <v>180</v>
      </c>
      <c r="E2680" s="134">
        <v>130.33000000000001</v>
      </c>
      <c r="F2680" t="s">
        <v>2816</v>
      </c>
    </row>
    <row r="2681" spans="1:6" x14ac:dyDescent="0.2">
      <c r="A2681" t="s">
        <v>2814</v>
      </c>
      <c r="B2681" t="s">
        <v>2963</v>
      </c>
      <c r="C2681">
        <v>14114062</v>
      </c>
      <c r="D2681" t="s">
        <v>133</v>
      </c>
      <c r="E2681" s="134">
        <v>130.33000000000001</v>
      </c>
      <c r="F2681" t="s">
        <v>2816</v>
      </c>
    </row>
    <row r="2682" spans="1:6" x14ac:dyDescent="0.2">
      <c r="A2682" t="s">
        <v>2814</v>
      </c>
      <c r="B2682" t="s">
        <v>2963</v>
      </c>
      <c r="C2682">
        <v>14114324</v>
      </c>
      <c r="D2682" t="s">
        <v>341</v>
      </c>
      <c r="E2682" s="134">
        <v>130.33000000000001</v>
      </c>
      <c r="F2682" t="s">
        <v>2816</v>
      </c>
    </row>
    <row r="2683" spans="1:6" x14ac:dyDescent="0.2">
      <c r="A2683" t="s">
        <v>2814</v>
      </c>
      <c r="B2683" t="s">
        <v>2963</v>
      </c>
      <c r="C2683">
        <v>14114431</v>
      </c>
      <c r="D2683" t="s">
        <v>135</v>
      </c>
      <c r="E2683" s="134">
        <v>130.33000000000001</v>
      </c>
      <c r="F2683" t="s">
        <v>2816</v>
      </c>
    </row>
    <row r="2684" spans="1:6" x14ac:dyDescent="0.2">
      <c r="A2684" t="s">
        <v>2814</v>
      </c>
      <c r="B2684" t="s">
        <v>2963</v>
      </c>
      <c r="C2684">
        <v>14114665</v>
      </c>
      <c r="D2684" t="s">
        <v>136</v>
      </c>
      <c r="E2684" s="134">
        <v>130.33000000000001</v>
      </c>
      <c r="F2684" t="s">
        <v>2816</v>
      </c>
    </row>
    <row r="2685" spans="1:6" x14ac:dyDescent="0.2">
      <c r="A2685" t="s">
        <v>2814</v>
      </c>
      <c r="B2685" t="s">
        <v>2963</v>
      </c>
      <c r="C2685">
        <v>14115136</v>
      </c>
      <c r="D2685" t="s">
        <v>140</v>
      </c>
      <c r="E2685" s="134">
        <v>130.33000000000001</v>
      </c>
      <c r="F2685" t="s">
        <v>2816</v>
      </c>
    </row>
    <row r="2686" spans="1:6" x14ac:dyDescent="0.2">
      <c r="A2686" t="s">
        <v>2814</v>
      </c>
      <c r="B2686" t="s">
        <v>2963</v>
      </c>
      <c r="C2686">
        <v>14115536</v>
      </c>
      <c r="D2686" t="s">
        <v>144</v>
      </c>
      <c r="E2686" s="134">
        <v>130.33000000000001</v>
      </c>
      <c r="F2686" t="s">
        <v>2816</v>
      </c>
    </row>
    <row r="2687" spans="1:6" x14ac:dyDescent="0.2">
      <c r="A2687" t="s">
        <v>2814</v>
      </c>
      <c r="B2687" t="s">
        <v>2963</v>
      </c>
      <c r="C2687">
        <v>14115630</v>
      </c>
      <c r="D2687" t="s">
        <v>146</v>
      </c>
      <c r="E2687" s="134">
        <v>130.33000000000001</v>
      </c>
      <c r="F2687" t="s">
        <v>2816</v>
      </c>
    </row>
    <row r="2688" spans="1:6" x14ac:dyDescent="0.2">
      <c r="A2688" t="s">
        <v>2814</v>
      </c>
      <c r="B2688" t="s">
        <v>2963</v>
      </c>
      <c r="C2688">
        <v>14115908</v>
      </c>
      <c r="D2688" t="s">
        <v>150</v>
      </c>
      <c r="E2688" s="134">
        <v>130.33000000000001</v>
      </c>
      <c r="F2688" t="s">
        <v>2816</v>
      </c>
    </row>
    <row r="2689" spans="1:6" x14ac:dyDescent="0.2">
      <c r="A2689" t="s">
        <v>2814</v>
      </c>
      <c r="B2689" t="s">
        <v>2963</v>
      </c>
      <c r="C2689">
        <v>14115909</v>
      </c>
      <c r="D2689" t="s">
        <v>335</v>
      </c>
      <c r="E2689" s="134">
        <v>130.33000000000001</v>
      </c>
      <c r="F2689" t="s">
        <v>2816</v>
      </c>
    </row>
    <row r="2690" spans="1:6" x14ac:dyDescent="0.2">
      <c r="A2690" t="s">
        <v>2814</v>
      </c>
      <c r="B2690" t="s">
        <v>2963</v>
      </c>
      <c r="C2690">
        <v>14115917</v>
      </c>
      <c r="D2690" t="s">
        <v>151</v>
      </c>
      <c r="E2690" s="134">
        <v>130.33000000000001</v>
      </c>
      <c r="F2690" t="s">
        <v>2816</v>
      </c>
    </row>
    <row r="2691" spans="1:6" x14ac:dyDescent="0.2">
      <c r="A2691" t="s">
        <v>2814</v>
      </c>
      <c r="B2691" t="s">
        <v>2963</v>
      </c>
      <c r="C2691">
        <v>14116000</v>
      </c>
      <c r="D2691" t="s">
        <v>152</v>
      </c>
      <c r="E2691" s="134">
        <v>130.33000000000001</v>
      </c>
      <c r="F2691" t="s">
        <v>2816</v>
      </c>
    </row>
    <row r="2692" spans="1:6" x14ac:dyDescent="0.2">
      <c r="A2692" t="s">
        <v>2814</v>
      </c>
      <c r="B2692" t="s">
        <v>2963</v>
      </c>
      <c r="C2692">
        <v>14116373</v>
      </c>
      <c r="D2692" t="s">
        <v>161</v>
      </c>
      <c r="E2692" s="134">
        <v>130.33000000000001</v>
      </c>
      <c r="F2692" t="s">
        <v>2816</v>
      </c>
    </row>
    <row r="2693" spans="1:6" x14ac:dyDescent="0.2">
      <c r="A2693" t="s">
        <v>2814</v>
      </c>
      <c r="B2693" t="s">
        <v>2963</v>
      </c>
      <c r="C2693">
        <v>14116431</v>
      </c>
      <c r="D2693" t="s">
        <v>162</v>
      </c>
      <c r="E2693" s="134">
        <v>130.33000000000001</v>
      </c>
      <c r="F2693" t="s">
        <v>2816</v>
      </c>
    </row>
    <row r="2694" spans="1:6" x14ac:dyDescent="0.2">
      <c r="A2694" t="s">
        <v>2814</v>
      </c>
      <c r="B2694" t="s">
        <v>2963</v>
      </c>
      <c r="C2694">
        <v>14116433</v>
      </c>
      <c r="D2694" t="s">
        <v>163</v>
      </c>
      <c r="E2694" s="134">
        <v>130.33000000000001</v>
      </c>
      <c r="F2694" t="s">
        <v>2816</v>
      </c>
    </row>
    <row r="2695" spans="1:6" x14ac:dyDescent="0.2">
      <c r="A2695" t="s">
        <v>2814</v>
      </c>
      <c r="B2695" t="s">
        <v>2963</v>
      </c>
      <c r="C2695">
        <v>14116564</v>
      </c>
      <c r="D2695" t="s">
        <v>166</v>
      </c>
      <c r="E2695" s="134">
        <v>130.33000000000001</v>
      </c>
      <c r="F2695" t="s">
        <v>2816</v>
      </c>
    </row>
    <row r="2696" spans="1:6" x14ac:dyDescent="0.2">
      <c r="A2696" t="s">
        <v>2814</v>
      </c>
      <c r="B2696" t="s">
        <v>2963</v>
      </c>
      <c r="C2696">
        <v>14116600</v>
      </c>
      <c r="D2696" t="s">
        <v>167</v>
      </c>
      <c r="E2696" s="134">
        <v>130.33000000000001</v>
      </c>
      <c r="F2696" t="s">
        <v>2816</v>
      </c>
    </row>
    <row r="2697" spans="1:6" x14ac:dyDescent="0.2">
      <c r="A2697" t="s">
        <v>2814</v>
      </c>
      <c r="B2697" t="s">
        <v>2963</v>
      </c>
      <c r="C2697">
        <v>14116917</v>
      </c>
      <c r="D2697" t="s">
        <v>171</v>
      </c>
      <c r="E2697" s="134">
        <v>130.33000000000001</v>
      </c>
      <c r="F2697" t="s">
        <v>2816</v>
      </c>
    </row>
    <row r="2698" spans="1:6" x14ac:dyDescent="0.2">
      <c r="A2698" t="s">
        <v>2814</v>
      </c>
      <c r="B2698" t="s">
        <v>2963</v>
      </c>
      <c r="C2698">
        <v>14116929</v>
      </c>
      <c r="D2698" t="s">
        <v>366</v>
      </c>
      <c r="E2698" s="134">
        <v>130.33000000000001</v>
      </c>
      <c r="F2698" t="s">
        <v>2816</v>
      </c>
    </row>
    <row r="2699" spans="1:6" x14ac:dyDescent="0.2">
      <c r="A2699" t="s">
        <v>2814</v>
      </c>
      <c r="B2699" t="s">
        <v>2963</v>
      </c>
      <c r="C2699">
        <v>14117160</v>
      </c>
      <c r="D2699" t="s">
        <v>173</v>
      </c>
      <c r="E2699" s="134">
        <v>130.33000000000001</v>
      </c>
      <c r="F2699" t="s">
        <v>2816</v>
      </c>
    </row>
    <row r="2700" spans="1:6" x14ac:dyDescent="0.2">
      <c r="A2700" t="s">
        <v>2814</v>
      </c>
      <c r="B2700" t="s">
        <v>2963</v>
      </c>
      <c r="C2700">
        <v>14117400</v>
      </c>
      <c r="D2700" t="s">
        <v>175</v>
      </c>
      <c r="E2700" s="134">
        <v>130.33000000000001</v>
      </c>
      <c r="F2700" t="s">
        <v>2816</v>
      </c>
    </row>
    <row r="2701" spans="1:6" x14ac:dyDescent="0.2">
      <c r="A2701" t="s">
        <v>2814</v>
      </c>
      <c r="B2701" t="s">
        <v>2963</v>
      </c>
      <c r="C2701">
        <v>14117542</v>
      </c>
      <c r="D2701" t="s">
        <v>176</v>
      </c>
      <c r="E2701" s="134">
        <v>130.33000000000001</v>
      </c>
      <c r="F2701" t="s">
        <v>2816</v>
      </c>
    </row>
    <row r="2702" spans="1:6" x14ac:dyDescent="0.2">
      <c r="A2702" t="s">
        <v>2814</v>
      </c>
      <c r="B2702" t="s">
        <v>2963</v>
      </c>
      <c r="C2702">
        <v>14117967</v>
      </c>
      <c r="D2702" t="s">
        <v>182</v>
      </c>
      <c r="E2702" s="134">
        <v>130.33000000000001</v>
      </c>
      <c r="F2702" t="s">
        <v>2816</v>
      </c>
    </row>
    <row r="2703" spans="1:6" x14ac:dyDescent="0.2">
      <c r="A2703" t="s">
        <v>2814</v>
      </c>
      <c r="B2703" t="s">
        <v>2963</v>
      </c>
      <c r="C2703">
        <v>14117986</v>
      </c>
      <c r="D2703" t="s">
        <v>184</v>
      </c>
      <c r="E2703" s="134">
        <v>130.33000000000001</v>
      </c>
      <c r="F2703" t="s">
        <v>2816</v>
      </c>
    </row>
    <row r="2704" spans="1:6" x14ac:dyDescent="0.2">
      <c r="A2704" t="s">
        <v>2814</v>
      </c>
      <c r="B2704" t="s">
        <v>2963</v>
      </c>
      <c r="C2704">
        <v>14118210</v>
      </c>
      <c r="D2704" t="s">
        <v>189</v>
      </c>
      <c r="E2704" s="134">
        <v>130.33000000000001</v>
      </c>
      <c r="F2704" t="s">
        <v>2816</v>
      </c>
    </row>
    <row r="2705" spans="1:6" x14ac:dyDescent="0.2">
      <c r="A2705" t="s">
        <v>2814</v>
      </c>
      <c r="B2705" t="s">
        <v>2963</v>
      </c>
      <c r="C2705">
        <v>14118440</v>
      </c>
      <c r="D2705" t="s">
        <v>197</v>
      </c>
      <c r="E2705" s="134">
        <v>130.33000000000001</v>
      </c>
      <c r="F2705" t="s">
        <v>2816</v>
      </c>
    </row>
    <row r="2706" spans="1:6" x14ac:dyDescent="0.2">
      <c r="A2706" t="s">
        <v>2814</v>
      </c>
      <c r="B2706" t="s">
        <v>2963</v>
      </c>
      <c r="C2706">
        <v>14118499</v>
      </c>
      <c r="D2706" t="s">
        <v>198</v>
      </c>
      <c r="E2706" s="134">
        <v>130.33000000000001</v>
      </c>
      <c r="F2706" t="s">
        <v>2816</v>
      </c>
    </row>
    <row r="2707" spans="1:6" x14ac:dyDescent="0.2">
      <c r="A2707" t="s">
        <v>2814</v>
      </c>
      <c r="B2707" t="s">
        <v>2963</v>
      </c>
      <c r="C2707">
        <v>14118640</v>
      </c>
      <c r="D2707" t="s">
        <v>205</v>
      </c>
      <c r="E2707" s="134">
        <v>130.33000000000001</v>
      </c>
      <c r="F2707" t="s">
        <v>2816</v>
      </c>
    </row>
    <row r="2708" spans="1:6" x14ac:dyDescent="0.2">
      <c r="A2708" t="s">
        <v>2814</v>
      </c>
      <c r="B2708" t="s">
        <v>2963</v>
      </c>
      <c r="C2708">
        <v>14121582</v>
      </c>
      <c r="D2708" t="s">
        <v>337</v>
      </c>
      <c r="E2708" s="134">
        <v>130.33000000000001</v>
      </c>
      <c r="F2708" t="s">
        <v>2816</v>
      </c>
    </row>
    <row r="2709" spans="1:6" x14ac:dyDescent="0.2">
      <c r="A2709" t="s">
        <v>2814</v>
      </c>
      <c r="B2709" t="s">
        <v>2963</v>
      </c>
      <c r="C2709">
        <v>14121672</v>
      </c>
      <c r="D2709" t="s">
        <v>342</v>
      </c>
      <c r="E2709" s="134">
        <v>130.33000000000001</v>
      </c>
      <c r="F2709" t="s">
        <v>2816</v>
      </c>
    </row>
    <row r="2710" spans="1:6" x14ac:dyDescent="0.2">
      <c r="A2710" t="s">
        <v>2814</v>
      </c>
      <c r="B2710" t="s">
        <v>2963</v>
      </c>
      <c r="C2710">
        <v>14121766</v>
      </c>
      <c r="D2710" t="s">
        <v>351</v>
      </c>
      <c r="E2710" s="134">
        <v>130.33000000000001</v>
      </c>
      <c r="F2710" t="s">
        <v>2816</v>
      </c>
    </row>
    <row r="2711" spans="1:6" x14ac:dyDescent="0.2">
      <c r="A2711" t="s">
        <v>2814</v>
      </c>
      <c r="B2711" t="s">
        <v>2963</v>
      </c>
      <c r="C2711">
        <v>14121917</v>
      </c>
      <c r="D2711" t="s">
        <v>363</v>
      </c>
      <c r="E2711" s="134">
        <v>130.33000000000001</v>
      </c>
      <c r="F2711" t="s">
        <v>2816</v>
      </c>
    </row>
    <row r="2712" spans="1:6" x14ac:dyDescent="0.2">
      <c r="A2712" t="s">
        <v>2814</v>
      </c>
      <c r="B2712" t="s">
        <v>2963</v>
      </c>
      <c r="C2712">
        <v>14122034</v>
      </c>
      <c r="D2712" t="s">
        <v>372</v>
      </c>
      <c r="E2712" s="134">
        <v>130.33000000000001</v>
      </c>
      <c r="F2712" t="s">
        <v>2816</v>
      </c>
    </row>
    <row r="2713" spans="1:6" x14ac:dyDescent="0.2">
      <c r="A2713" t="s">
        <v>2814</v>
      </c>
      <c r="B2713" t="s">
        <v>2963</v>
      </c>
      <c r="C2713">
        <v>14122083</v>
      </c>
      <c r="D2713" t="s">
        <v>378</v>
      </c>
      <c r="E2713" s="134">
        <v>130.33000000000001</v>
      </c>
      <c r="F2713" t="s">
        <v>2816</v>
      </c>
    </row>
    <row r="2714" spans="1:6" x14ac:dyDescent="0.2">
      <c r="A2714" t="s">
        <v>2814</v>
      </c>
      <c r="B2714" t="s">
        <v>2963</v>
      </c>
      <c r="C2714">
        <v>14122094</v>
      </c>
      <c r="D2714" t="s">
        <v>379</v>
      </c>
      <c r="E2714" s="134">
        <v>130.33000000000001</v>
      </c>
      <c r="F2714" t="s">
        <v>2816</v>
      </c>
    </row>
    <row r="2715" spans="1:6" x14ac:dyDescent="0.2">
      <c r="A2715" t="s">
        <v>2814</v>
      </c>
      <c r="B2715" t="s">
        <v>2964</v>
      </c>
      <c r="C2715">
        <v>14122681</v>
      </c>
      <c r="D2715" t="s">
        <v>433</v>
      </c>
      <c r="E2715" s="134">
        <v>1293.52</v>
      </c>
      <c r="F2715" t="s">
        <v>2816</v>
      </c>
    </row>
    <row r="2716" spans="1:6" x14ac:dyDescent="0.2">
      <c r="A2716" t="s">
        <v>2814</v>
      </c>
      <c r="B2716" t="s">
        <v>2964</v>
      </c>
      <c r="C2716">
        <v>14122191</v>
      </c>
      <c r="D2716" t="s">
        <v>394</v>
      </c>
      <c r="E2716" s="134">
        <v>307.2</v>
      </c>
      <c r="F2716" t="s">
        <v>2816</v>
      </c>
    </row>
    <row r="2717" spans="1:6" x14ac:dyDescent="0.2">
      <c r="A2717" t="s">
        <v>2814</v>
      </c>
      <c r="B2717" t="s">
        <v>2964</v>
      </c>
      <c r="C2717">
        <v>14122354</v>
      </c>
      <c r="D2717" t="s">
        <v>410</v>
      </c>
      <c r="E2717" s="134">
        <v>414</v>
      </c>
      <c r="F2717" t="s">
        <v>2816</v>
      </c>
    </row>
    <row r="2718" spans="1:6" x14ac:dyDescent="0.2">
      <c r="A2718" t="s">
        <v>2814</v>
      </c>
      <c r="B2718" t="s">
        <v>2964</v>
      </c>
      <c r="C2718">
        <v>14123083</v>
      </c>
      <c r="D2718" t="s">
        <v>478</v>
      </c>
      <c r="E2718" s="134">
        <v>289.68</v>
      </c>
      <c r="F2718" t="s">
        <v>2816</v>
      </c>
    </row>
    <row r="2719" spans="1:6" x14ac:dyDescent="0.2">
      <c r="A2719" t="s">
        <v>2814</v>
      </c>
      <c r="B2719" t="s">
        <v>2964</v>
      </c>
      <c r="C2719">
        <v>16117764</v>
      </c>
      <c r="D2719" t="s">
        <v>2864</v>
      </c>
      <c r="E2719" s="134">
        <v>1800</v>
      </c>
      <c r="F2719" t="s">
        <v>2816</v>
      </c>
    </row>
    <row r="2720" spans="1:6" x14ac:dyDescent="0.2">
      <c r="A2720" t="s">
        <v>2814</v>
      </c>
      <c r="B2720" t="s">
        <v>2964</v>
      </c>
      <c r="C2720">
        <v>14115820</v>
      </c>
      <c r="D2720" t="s">
        <v>148</v>
      </c>
      <c r="E2720" s="134">
        <v>985.2</v>
      </c>
      <c r="F2720" t="s">
        <v>2816</v>
      </c>
    </row>
    <row r="2721" spans="1:6" x14ac:dyDescent="0.2">
      <c r="A2721" t="s">
        <v>2814</v>
      </c>
      <c r="B2721" t="s">
        <v>2964</v>
      </c>
      <c r="C2721">
        <v>14120655</v>
      </c>
      <c r="D2721" t="s">
        <v>293</v>
      </c>
      <c r="E2721" s="134">
        <v>307.2</v>
      </c>
      <c r="F2721" t="s">
        <v>2816</v>
      </c>
    </row>
    <row r="2722" spans="1:6" x14ac:dyDescent="0.2">
      <c r="A2722" t="s">
        <v>2814</v>
      </c>
      <c r="B2722" t="s">
        <v>2964</v>
      </c>
      <c r="C2722">
        <v>14121856</v>
      </c>
      <c r="D2722" t="s">
        <v>358</v>
      </c>
      <c r="E2722" s="134">
        <v>496.56</v>
      </c>
      <c r="F2722" t="s">
        <v>2816</v>
      </c>
    </row>
    <row r="2723" spans="1:6" x14ac:dyDescent="0.2">
      <c r="A2723" t="s">
        <v>2814</v>
      </c>
      <c r="B2723" t="s">
        <v>2964</v>
      </c>
      <c r="C2723">
        <v>14118028</v>
      </c>
      <c r="D2723" t="s">
        <v>185</v>
      </c>
      <c r="E2723" s="134">
        <v>985.2</v>
      </c>
      <c r="F2723" t="s">
        <v>2816</v>
      </c>
    </row>
    <row r="2724" spans="1:6" x14ac:dyDescent="0.2">
      <c r="A2724" t="s">
        <v>2814</v>
      </c>
      <c r="B2724" t="s">
        <v>2964</v>
      </c>
      <c r="C2724">
        <v>14118887</v>
      </c>
      <c r="D2724" t="s">
        <v>217</v>
      </c>
      <c r="E2724" s="134">
        <v>307.2</v>
      </c>
      <c r="F2724" t="s">
        <v>2816</v>
      </c>
    </row>
    <row r="2725" spans="1:6" x14ac:dyDescent="0.2">
      <c r="A2725" t="s">
        <v>2814</v>
      </c>
      <c r="B2725" t="s">
        <v>2964</v>
      </c>
      <c r="C2725">
        <v>14108552</v>
      </c>
      <c r="D2725" t="s">
        <v>309</v>
      </c>
      <c r="E2725" s="134">
        <v>678</v>
      </c>
      <c r="F2725" t="s">
        <v>2816</v>
      </c>
    </row>
    <row r="2726" spans="1:6" x14ac:dyDescent="0.2">
      <c r="A2726" t="s">
        <v>2814</v>
      </c>
      <c r="B2726" t="s">
        <v>2965</v>
      </c>
      <c r="C2726">
        <v>14106270</v>
      </c>
      <c r="D2726" t="s">
        <v>2923</v>
      </c>
      <c r="E2726" s="134">
        <v>750</v>
      </c>
      <c r="F2726" t="s">
        <v>2816</v>
      </c>
    </row>
    <row r="2727" spans="1:6" x14ac:dyDescent="0.2">
      <c r="A2727" t="s">
        <v>2814</v>
      </c>
      <c r="B2727" t="s">
        <v>2965</v>
      </c>
      <c r="C2727">
        <v>14122706</v>
      </c>
      <c r="D2727" t="s">
        <v>438</v>
      </c>
      <c r="E2727" s="134">
        <v>150</v>
      </c>
      <c r="F2727" t="s">
        <v>2816</v>
      </c>
    </row>
    <row r="2728" spans="1:6" x14ac:dyDescent="0.2">
      <c r="A2728" t="s">
        <v>2814</v>
      </c>
      <c r="B2728" t="s">
        <v>2965</v>
      </c>
      <c r="C2728">
        <v>14122708</v>
      </c>
      <c r="D2728" t="s">
        <v>440</v>
      </c>
      <c r="E2728" s="134">
        <v>150</v>
      </c>
      <c r="F2728" t="s">
        <v>2816</v>
      </c>
    </row>
    <row r="2729" spans="1:6" x14ac:dyDescent="0.2">
      <c r="A2729" t="s">
        <v>2814</v>
      </c>
      <c r="B2729" t="s">
        <v>2965</v>
      </c>
      <c r="C2729">
        <v>14122481</v>
      </c>
      <c r="D2729" t="s">
        <v>420</v>
      </c>
      <c r="E2729" s="134">
        <v>600</v>
      </c>
      <c r="F2729" t="s">
        <v>2816</v>
      </c>
    </row>
    <row r="2730" spans="1:6" x14ac:dyDescent="0.2">
      <c r="A2730" t="s">
        <v>2814</v>
      </c>
      <c r="B2730" t="s">
        <v>2965</v>
      </c>
      <c r="C2730">
        <v>14122809</v>
      </c>
      <c r="D2730" t="s">
        <v>446</v>
      </c>
      <c r="E2730" s="134">
        <v>600</v>
      </c>
      <c r="F2730" t="s">
        <v>2816</v>
      </c>
    </row>
    <row r="2731" spans="1:6" x14ac:dyDescent="0.2">
      <c r="A2731" t="s">
        <v>2814</v>
      </c>
      <c r="B2731" t="s">
        <v>2965</v>
      </c>
      <c r="C2731">
        <v>14123770</v>
      </c>
      <c r="D2731" t="s">
        <v>959</v>
      </c>
      <c r="E2731" s="134">
        <v>201</v>
      </c>
      <c r="F2731" t="s">
        <v>2816</v>
      </c>
    </row>
    <row r="2732" spans="1:6" x14ac:dyDescent="0.2">
      <c r="A2732" t="s">
        <v>2814</v>
      </c>
      <c r="B2732" t="s">
        <v>2965</v>
      </c>
      <c r="C2732">
        <v>14123884</v>
      </c>
      <c r="D2732" t="s">
        <v>976</v>
      </c>
      <c r="E2732" s="134">
        <v>600</v>
      </c>
      <c r="F2732" t="s">
        <v>2816</v>
      </c>
    </row>
    <row r="2733" spans="1:6" x14ac:dyDescent="0.2">
      <c r="A2733" t="s">
        <v>2814</v>
      </c>
      <c r="B2733" t="s">
        <v>2965</v>
      </c>
      <c r="C2733">
        <v>14123927</v>
      </c>
      <c r="D2733" t="s">
        <v>996</v>
      </c>
      <c r="E2733" s="134">
        <v>432.9</v>
      </c>
      <c r="F2733" t="s">
        <v>2816</v>
      </c>
    </row>
    <row r="2734" spans="1:6" x14ac:dyDescent="0.2">
      <c r="A2734" t="s">
        <v>2814</v>
      </c>
      <c r="B2734" t="s">
        <v>2965</v>
      </c>
      <c r="C2734">
        <v>14100913</v>
      </c>
      <c r="D2734" t="s">
        <v>2931</v>
      </c>
      <c r="E2734" s="134">
        <v>250</v>
      </c>
      <c r="F2734" t="s">
        <v>2816</v>
      </c>
    </row>
    <row r="2735" spans="1:6" x14ac:dyDescent="0.2">
      <c r="A2735" t="s">
        <v>2814</v>
      </c>
      <c r="B2735" t="s">
        <v>2965</v>
      </c>
      <c r="C2735">
        <v>14102637</v>
      </c>
      <c r="D2735" t="s">
        <v>2911</v>
      </c>
      <c r="E2735" s="134">
        <v>1000</v>
      </c>
      <c r="F2735" t="s">
        <v>2816</v>
      </c>
    </row>
    <row r="2736" spans="1:6" x14ac:dyDescent="0.2">
      <c r="A2736" t="s">
        <v>2814</v>
      </c>
      <c r="B2736" t="s">
        <v>2965</v>
      </c>
      <c r="C2736">
        <v>14103046</v>
      </c>
      <c r="D2736" t="s">
        <v>2913</v>
      </c>
      <c r="E2736" s="134">
        <v>1250</v>
      </c>
      <c r="F2736" t="s">
        <v>2816</v>
      </c>
    </row>
    <row r="2737" spans="1:6" x14ac:dyDescent="0.2">
      <c r="A2737" t="s">
        <v>2814</v>
      </c>
      <c r="B2737" t="s">
        <v>2965</v>
      </c>
      <c r="C2737">
        <v>14104889</v>
      </c>
      <c r="D2737" t="s">
        <v>2932</v>
      </c>
      <c r="E2737" s="134">
        <v>250</v>
      </c>
      <c r="F2737" t="s">
        <v>2816</v>
      </c>
    </row>
    <row r="2738" spans="1:6" x14ac:dyDescent="0.2">
      <c r="A2738" t="s">
        <v>2814</v>
      </c>
      <c r="B2738" t="s">
        <v>2965</v>
      </c>
      <c r="C2738">
        <v>14108427</v>
      </c>
      <c r="D2738" t="s">
        <v>2933</v>
      </c>
      <c r="E2738" s="134">
        <v>250</v>
      </c>
      <c r="F2738" t="s">
        <v>2816</v>
      </c>
    </row>
    <row r="2739" spans="1:6" x14ac:dyDescent="0.2">
      <c r="A2739" t="s">
        <v>2814</v>
      </c>
      <c r="B2739" t="s">
        <v>2965</v>
      </c>
      <c r="C2739">
        <v>14111261</v>
      </c>
      <c r="D2739" t="s">
        <v>2934</v>
      </c>
      <c r="E2739" s="134">
        <v>1000</v>
      </c>
      <c r="F2739" t="s">
        <v>2816</v>
      </c>
    </row>
    <row r="2740" spans="1:6" x14ac:dyDescent="0.2">
      <c r="A2740" t="s">
        <v>2814</v>
      </c>
      <c r="B2740" t="s">
        <v>2965</v>
      </c>
      <c r="C2740">
        <v>14111336</v>
      </c>
      <c r="D2740" t="s">
        <v>2935</v>
      </c>
      <c r="E2740" s="134">
        <v>1000</v>
      </c>
      <c r="F2740" t="s">
        <v>2816</v>
      </c>
    </row>
    <row r="2741" spans="1:6" x14ac:dyDescent="0.2">
      <c r="A2741" t="s">
        <v>2814</v>
      </c>
      <c r="B2741" t="s">
        <v>2965</v>
      </c>
      <c r="C2741">
        <v>14111447</v>
      </c>
      <c r="D2741" t="s">
        <v>2936</v>
      </c>
      <c r="E2741" s="134">
        <v>500</v>
      </c>
      <c r="F2741" t="s">
        <v>2816</v>
      </c>
    </row>
    <row r="2742" spans="1:6" x14ac:dyDescent="0.2">
      <c r="A2742" t="s">
        <v>2814</v>
      </c>
      <c r="B2742" t="s">
        <v>2965</v>
      </c>
      <c r="C2742">
        <v>14111633</v>
      </c>
      <c r="D2742" t="s">
        <v>2937</v>
      </c>
      <c r="E2742" s="134">
        <v>500</v>
      </c>
      <c r="F2742" t="s">
        <v>2816</v>
      </c>
    </row>
    <row r="2743" spans="1:6" x14ac:dyDescent="0.2">
      <c r="A2743" t="s">
        <v>2814</v>
      </c>
      <c r="B2743" t="s">
        <v>2965</v>
      </c>
      <c r="C2743">
        <v>14111652</v>
      </c>
      <c r="D2743" t="s">
        <v>2914</v>
      </c>
      <c r="E2743" s="134">
        <v>2000</v>
      </c>
      <c r="F2743" t="s">
        <v>2816</v>
      </c>
    </row>
    <row r="2744" spans="1:6" x14ac:dyDescent="0.2">
      <c r="A2744" t="s">
        <v>2814</v>
      </c>
      <c r="B2744" t="s">
        <v>2965</v>
      </c>
      <c r="C2744">
        <v>14111997</v>
      </c>
      <c r="D2744" t="s">
        <v>2938</v>
      </c>
      <c r="E2744" s="134">
        <v>1000</v>
      </c>
      <c r="F2744" t="s">
        <v>2816</v>
      </c>
    </row>
    <row r="2745" spans="1:6" x14ac:dyDescent="0.2">
      <c r="A2745" t="s">
        <v>2814</v>
      </c>
      <c r="B2745" t="s">
        <v>2965</v>
      </c>
      <c r="C2745">
        <v>14111999</v>
      </c>
      <c r="D2745" t="s">
        <v>2939</v>
      </c>
      <c r="E2745" s="134">
        <v>1000</v>
      </c>
      <c r="F2745" t="s">
        <v>2816</v>
      </c>
    </row>
    <row r="2746" spans="1:6" x14ac:dyDescent="0.2">
      <c r="A2746" t="s">
        <v>2814</v>
      </c>
      <c r="B2746" t="s">
        <v>2965</v>
      </c>
      <c r="C2746">
        <v>14216184</v>
      </c>
      <c r="D2746" t="s">
        <v>2940</v>
      </c>
      <c r="E2746" s="134">
        <v>325</v>
      </c>
      <c r="F2746" t="s">
        <v>2816</v>
      </c>
    </row>
    <row r="2747" spans="1:6" x14ac:dyDescent="0.2">
      <c r="A2747" t="s">
        <v>2814</v>
      </c>
      <c r="B2747" t="s">
        <v>2965</v>
      </c>
      <c r="C2747">
        <v>14217446</v>
      </c>
      <c r="D2747" t="s">
        <v>2943</v>
      </c>
      <c r="E2747" s="134">
        <v>1000</v>
      </c>
      <c r="F2747" t="s">
        <v>2816</v>
      </c>
    </row>
    <row r="2748" spans="1:6" x14ac:dyDescent="0.2">
      <c r="A2748" t="s">
        <v>2814</v>
      </c>
      <c r="B2748" t="s">
        <v>2965</v>
      </c>
      <c r="C2748">
        <v>14219234</v>
      </c>
      <c r="D2748" t="s">
        <v>2944</v>
      </c>
      <c r="E2748" s="134">
        <v>3019.36</v>
      </c>
      <c r="F2748" t="s">
        <v>2816</v>
      </c>
    </row>
    <row r="2749" spans="1:6" x14ac:dyDescent="0.2">
      <c r="A2749" t="s">
        <v>2814</v>
      </c>
      <c r="B2749" t="s">
        <v>2965</v>
      </c>
      <c r="C2749">
        <v>14220597</v>
      </c>
      <c r="D2749" t="s">
        <v>2945</v>
      </c>
      <c r="E2749" s="134">
        <v>1000</v>
      </c>
      <c r="F2749" t="s">
        <v>2816</v>
      </c>
    </row>
    <row r="2750" spans="1:6" x14ac:dyDescent="0.2">
      <c r="A2750" t="s">
        <v>2814</v>
      </c>
      <c r="B2750" t="s">
        <v>2965</v>
      </c>
      <c r="C2750">
        <v>14221054</v>
      </c>
      <c r="D2750" t="s">
        <v>2946</v>
      </c>
      <c r="E2750" s="134">
        <v>1000</v>
      </c>
      <c r="F2750" t="s">
        <v>2816</v>
      </c>
    </row>
    <row r="2751" spans="1:6" x14ac:dyDescent="0.2">
      <c r="A2751" t="s">
        <v>2814</v>
      </c>
      <c r="B2751" t="s">
        <v>2965</v>
      </c>
      <c r="C2751">
        <v>14221253</v>
      </c>
      <c r="D2751" t="s">
        <v>2947</v>
      </c>
      <c r="E2751" s="134">
        <v>850</v>
      </c>
      <c r="F2751" t="s">
        <v>2816</v>
      </c>
    </row>
    <row r="2752" spans="1:6" x14ac:dyDescent="0.2">
      <c r="A2752" t="s">
        <v>2814</v>
      </c>
      <c r="B2752" t="s">
        <v>2965</v>
      </c>
      <c r="C2752">
        <v>14221921</v>
      </c>
      <c r="D2752" t="s">
        <v>2916</v>
      </c>
      <c r="E2752" s="134">
        <v>250</v>
      </c>
      <c r="F2752" t="s">
        <v>2816</v>
      </c>
    </row>
    <row r="2753" spans="1:6" x14ac:dyDescent="0.2">
      <c r="A2753" t="s">
        <v>2814</v>
      </c>
      <c r="B2753" t="s">
        <v>2965</v>
      </c>
      <c r="C2753">
        <v>14222082</v>
      </c>
      <c r="D2753" t="s">
        <v>2948</v>
      </c>
      <c r="E2753" s="134">
        <v>1000</v>
      </c>
      <c r="F2753" t="s">
        <v>2816</v>
      </c>
    </row>
    <row r="2754" spans="1:6" x14ac:dyDescent="0.2">
      <c r="A2754" t="s">
        <v>2814</v>
      </c>
      <c r="B2754" t="s">
        <v>2965</v>
      </c>
      <c r="C2754">
        <v>14222163</v>
      </c>
      <c r="D2754" t="s">
        <v>2949</v>
      </c>
      <c r="E2754" s="134">
        <v>1000</v>
      </c>
      <c r="F2754" t="s">
        <v>2816</v>
      </c>
    </row>
    <row r="2755" spans="1:6" x14ac:dyDescent="0.2">
      <c r="A2755" t="s">
        <v>2814</v>
      </c>
      <c r="B2755" t="s">
        <v>2965</v>
      </c>
      <c r="C2755">
        <v>14222576</v>
      </c>
      <c r="D2755" t="s">
        <v>2950</v>
      </c>
      <c r="E2755" s="134">
        <v>1100</v>
      </c>
      <c r="F2755" t="s">
        <v>2816</v>
      </c>
    </row>
    <row r="2756" spans="1:6" x14ac:dyDescent="0.2">
      <c r="A2756" t="s">
        <v>2814</v>
      </c>
      <c r="B2756" t="s">
        <v>2965</v>
      </c>
      <c r="C2756">
        <v>14222997</v>
      </c>
      <c r="D2756" t="s">
        <v>2917</v>
      </c>
      <c r="E2756" s="134">
        <v>500</v>
      </c>
      <c r="F2756" t="s">
        <v>2816</v>
      </c>
    </row>
    <row r="2757" spans="1:6" x14ac:dyDescent="0.2">
      <c r="A2757" t="s">
        <v>2814</v>
      </c>
      <c r="B2757" t="s">
        <v>2965</v>
      </c>
      <c r="C2757">
        <v>14223279</v>
      </c>
      <c r="D2757" t="s">
        <v>2951</v>
      </c>
      <c r="E2757" s="134">
        <v>250</v>
      </c>
      <c r="F2757" t="s">
        <v>2816</v>
      </c>
    </row>
    <row r="2758" spans="1:6" x14ac:dyDescent="0.2">
      <c r="A2758" t="s">
        <v>2814</v>
      </c>
      <c r="B2758" t="s">
        <v>2965</v>
      </c>
      <c r="C2758">
        <v>14223290</v>
      </c>
      <c r="D2758" t="s">
        <v>2952</v>
      </c>
      <c r="E2758" s="134">
        <v>1000</v>
      </c>
      <c r="F2758" t="s">
        <v>2816</v>
      </c>
    </row>
    <row r="2759" spans="1:6" x14ac:dyDescent="0.2">
      <c r="A2759" t="s">
        <v>2814</v>
      </c>
      <c r="B2759" t="s">
        <v>2965</v>
      </c>
      <c r="C2759">
        <v>14223379</v>
      </c>
      <c r="D2759" t="s">
        <v>2953</v>
      </c>
      <c r="E2759" s="134">
        <v>1100</v>
      </c>
      <c r="F2759" t="s">
        <v>2816</v>
      </c>
    </row>
    <row r="2760" spans="1:6" x14ac:dyDescent="0.2">
      <c r="A2760" t="s">
        <v>2814</v>
      </c>
      <c r="B2760" t="s">
        <v>2965</v>
      </c>
      <c r="C2760">
        <v>14223590</v>
      </c>
      <c r="D2760" t="s">
        <v>2954</v>
      </c>
      <c r="E2760" s="134">
        <v>1000</v>
      </c>
      <c r="F2760" t="s">
        <v>2816</v>
      </c>
    </row>
    <row r="2761" spans="1:6" x14ac:dyDescent="0.2">
      <c r="A2761" t="s">
        <v>2814</v>
      </c>
      <c r="B2761" t="s">
        <v>2965</v>
      </c>
      <c r="C2761">
        <v>14223827</v>
      </c>
      <c r="D2761" t="s">
        <v>2957</v>
      </c>
      <c r="E2761" s="134">
        <v>250</v>
      </c>
      <c r="F2761" t="s">
        <v>2816</v>
      </c>
    </row>
    <row r="2762" spans="1:6" x14ac:dyDescent="0.2">
      <c r="A2762" t="s">
        <v>2814</v>
      </c>
      <c r="B2762" t="s">
        <v>2965</v>
      </c>
      <c r="C2762">
        <v>14107271</v>
      </c>
      <c r="D2762" t="s">
        <v>60</v>
      </c>
      <c r="E2762" s="134">
        <v>150</v>
      </c>
      <c r="F2762" t="s">
        <v>2816</v>
      </c>
    </row>
    <row r="2763" spans="1:6" x14ac:dyDescent="0.2">
      <c r="A2763" t="s">
        <v>2814</v>
      </c>
      <c r="B2763" t="s">
        <v>2965</v>
      </c>
      <c r="C2763">
        <v>14109874</v>
      </c>
      <c r="D2763" t="s">
        <v>97</v>
      </c>
      <c r="E2763" s="134">
        <v>150</v>
      </c>
      <c r="F2763" t="s">
        <v>2816</v>
      </c>
    </row>
    <row r="2764" spans="1:6" x14ac:dyDescent="0.2">
      <c r="A2764" t="s">
        <v>2814</v>
      </c>
      <c r="B2764" t="s">
        <v>2965</v>
      </c>
      <c r="C2764">
        <v>14121152</v>
      </c>
      <c r="D2764" t="s">
        <v>315</v>
      </c>
      <c r="E2764" s="134">
        <v>432.9</v>
      </c>
      <c r="F2764" t="s">
        <v>2816</v>
      </c>
    </row>
    <row r="2765" spans="1:6" x14ac:dyDescent="0.2">
      <c r="A2765" t="s">
        <v>2814</v>
      </c>
      <c r="B2765" t="s">
        <v>2965</v>
      </c>
      <c r="C2765">
        <v>14122035</v>
      </c>
      <c r="D2765" t="s">
        <v>373</v>
      </c>
      <c r="E2765" s="134">
        <v>201</v>
      </c>
      <c r="F2765" t="s">
        <v>2816</v>
      </c>
    </row>
    <row r="2766" spans="1:6" x14ac:dyDescent="0.2">
      <c r="A2766" t="s">
        <v>2814</v>
      </c>
      <c r="B2766" t="s">
        <v>2965</v>
      </c>
      <c r="C2766">
        <v>14122137</v>
      </c>
      <c r="D2766" t="s">
        <v>387</v>
      </c>
      <c r="E2766" s="134">
        <v>432.9</v>
      </c>
      <c r="F2766" t="s">
        <v>2816</v>
      </c>
    </row>
    <row r="2767" spans="1:6" x14ac:dyDescent="0.2">
      <c r="A2767" t="s">
        <v>2814</v>
      </c>
      <c r="B2767" t="s">
        <v>2965</v>
      </c>
      <c r="C2767">
        <v>14108775</v>
      </c>
      <c r="D2767" t="s">
        <v>178</v>
      </c>
      <c r="E2767" s="134">
        <v>150</v>
      </c>
      <c r="F2767" t="s">
        <v>2816</v>
      </c>
    </row>
    <row r="2768" spans="1:6" x14ac:dyDescent="0.2">
      <c r="A2768" t="s">
        <v>2814</v>
      </c>
      <c r="B2768" t="s">
        <v>2965</v>
      </c>
      <c r="C2768">
        <v>14109648</v>
      </c>
      <c r="D2768" t="s">
        <v>211</v>
      </c>
      <c r="E2768" s="134">
        <v>432.9</v>
      </c>
      <c r="F2768" t="s">
        <v>2816</v>
      </c>
    </row>
    <row r="2769" spans="1:6" x14ac:dyDescent="0.2">
      <c r="A2769" t="s">
        <v>2814</v>
      </c>
      <c r="B2769" t="s">
        <v>2965</v>
      </c>
      <c r="C2769">
        <v>14112197</v>
      </c>
      <c r="D2769" t="s">
        <v>242</v>
      </c>
      <c r="E2769" s="134">
        <v>201</v>
      </c>
      <c r="F2769" t="s">
        <v>2816</v>
      </c>
    </row>
    <row r="2770" spans="1:6" x14ac:dyDescent="0.2">
      <c r="A2770" t="s">
        <v>2814</v>
      </c>
      <c r="B2770" t="s">
        <v>2965</v>
      </c>
      <c r="C2770">
        <v>14118620</v>
      </c>
      <c r="D2770" t="s">
        <v>201</v>
      </c>
      <c r="E2770" s="134">
        <v>201</v>
      </c>
      <c r="F2770" t="s">
        <v>2816</v>
      </c>
    </row>
    <row r="2771" spans="1:6" x14ac:dyDescent="0.2">
      <c r="A2771" t="s">
        <v>2814</v>
      </c>
      <c r="B2771" t="s">
        <v>2965</v>
      </c>
      <c r="C2771">
        <v>14118849</v>
      </c>
      <c r="D2771" t="s">
        <v>216</v>
      </c>
      <c r="E2771" s="134">
        <v>1425</v>
      </c>
      <c r="F2771" t="s">
        <v>2816</v>
      </c>
    </row>
    <row r="2772" spans="1:6" x14ac:dyDescent="0.2">
      <c r="A2772" t="s">
        <v>2814</v>
      </c>
      <c r="B2772" t="s">
        <v>2965</v>
      </c>
      <c r="C2772">
        <v>14102890</v>
      </c>
      <c r="D2772" t="s">
        <v>33</v>
      </c>
      <c r="E2772" s="134">
        <v>201</v>
      </c>
      <c r="F2772" t="s">
        <v>2816</v>
      </c>
    </row>
    <row r="2773" spans="1:6" x14ac:dyDescent="0.2">
      <c r="A2773" t="s">
        <v>2814</v>
      </c>
      <c r="B2773" t="s">
        <v>2965</v>
      </c>
      <c r="C2773">
        <v>14104932</v>
      </c>
      <c r="D2773" t="s">
        <v>42</v>
      </c>
      <c r="E2773" s="134">
        <v>201</v>
      </c>
      <c r="F2773" t="s">
        <v>2816</v>
      </c>
    </row>
    <row r="2774" spans="1:6" x14ac:dyDescent="0.2">
      <c r="A2774" t="s">
        <v>2814</v>
      </c>
      <c r="B2774" t="s">
        <v>2965</v>
      </c>
      <c r="C2774">
        <v>14106438</v>
      </c>
      <c r="D2774" t="s">
        <v>51</v>
      </c>
      <c r="E2774" s="134">
        <v>432.9</v>
      </c>
      <c r="F2774" t="s">
        <v>2816</v>
      </c>
    </row>
    <row r="2775" spans="1:6" x14ac:dyDescent="0.2">
      <c r="A2775" t="s">
        <v>2814</v>
      </c>
      <c r="B2775" t="s">
        <v>2965</v>
      </c>
      <c r="C2775">
        <v>14108111</v>
      </c>
      <c r="D2775" t="s">
        <v>69</v>
      </c>
      <c r="E2775" s="134">
        <v>201</v>
      </c>
      <c r="F2775" t="s">
        <v>2816</v>
      </c>
    </row>
    <row r="2776" spans="1:6" x14ac:dyDescent="0.2">
      <c r="A2776" t="s">
        <v>2814</v>
      </c>
      <c r="B2776" t="s">
        <v>2965</v>
      </c>
      <c r="C2776">
        <v>14108361</v>
      </c>
      <c r="D2776" t="s">
        <v>74</v>
      </c>
      <c r="E2776" s="134">
        <v>150</v>
      </c>
      <c r="F2776" t="s">
        <v>2816</v>
      </c>
    </row>
    <row r="2777" spans="1:6" x14ac:dyDescent="0.2">
      <c r="A2777" t="s">
        <v>2814</v>
      </c>
      <c r="B2777" t="s">
        <v>2965</v>
      </c>
      <c r="C2777">
        <v>14108382</v>
      </c>
      <c r="D2777" t="s">
        <v>75</v>
      </c>
      <c r="E2777" s="134">
        <v>150</v>
      </c>
      <c r="F2777" t="s">
        <v>2816</v>
      </c>
    </row>
    <row r="2778" spans="1:6" x14ac:dyDescent="0.2">
      <c r="A2778" t="s">
        <v>2814</v>
      </c>
      <c r="B2778" t="s">
        <v>2965</v>
      </c>
      <c r="C2778">
        <v>14110465</v>
      </c>
      <c r="D2778" t="s">
        <v>102</v>
      </c>
      <c r="E2778" s="134">
        <v>600</v>
      </c>
      <c r="F2778" t="s">
        <v>2816</v>
      </c>
    </row>
    <row r="2779" spans="1:6" x14ac:dyDescent="0.2">
      <c r="A2779" t="s">
        <v>2814</v>
      </c>
      <c r="B2779" t="s">
        <v>2965</v>
      </c>
      <c r="C2779">
        <v>14111143</v>
      </c>
      <c r="D2779" t="s">
        <v>109</v>
      </c>
      <c r="E2779" s="134">
        <v>432.9</v>
      </c>
      <c r="F2779" t="s">
        <v>2816</v>
      </c>
    </row>
    <row r="2780" spans="1:6" x14ac:dyDescent="0.2">
      <c r="A2780" t="s">
        <v>2814</v>
      </c>
      <c r="B2780" t="s">
        <v>2965</v>
      </c>
      <c r="C2780">
        <v>14111266</v>
      </c>
      <c r="D2780" t="s">
        <v>110</v>
      </c>
      <c r="E2780" s="134">
        <v>600</v>
      </c>
      <c r="F2780" t="s">
        <v>2816</v>
      </c>
    </row>
    <row r="2781" spans="1:6" x14ac:dyDescent="0.2">
      <c r="A2781" t="s">
        <v>2814</v>
      </c>
      <c r="B2781" t="s">
        <v>2965</v>
      </c>
      <c r="C2781">
        <v>14113054</v>
      </c>
      <c r="D2781" t="s">
        <v>122</v>
      </c>
      <c r="E2781" s="134">
        <v>201</v>
      </c>
      <c r="F2781" t="s">
        <v>2816</v>
      </c>
    </row>
    <row r="2782" spans="1:6" x14ac:dyDescent="0.2">
      <c r="A2782" t="s">
        <v>2966</v>
      </c>
      <c r="B2782" t="s">
        <v>2967</v>
      </c>
      <c r="C2782">
        <v>14100716</v>
      </c>
      <c r="D2782" t="s">
        <v>7</v>
      </c>
      <c r="E2782" s="134">
        <v>4166.3999999999996</v>
      </c>
      <c r="F2782" t="s">
        <v>2816</v>
      </c>
    </row>
    <row r="2783" spans="1:6" x14ac:dyDescent="0.2">
      <c r="A2783" t="s">
        <v>2966</v>
      </c>
      <c r="B2783" t="s">
        <v>2967</v>
      </c>
      <c r="C2783">
        <v>14106035</v>
      </c>
      <c r="D2783" t="s">
        <v>48</v>
      </c>
      <c r="E2783" s="134">
        <v>4166.3999999999996</v>
      </c>
      <c r="F2783" t="s">
        <v>2816</v>
      </c>
    </row>
    <row r="2784" spans="1:6" x14ac:dyDescent="0.2">
      <c r="A2784" t="s">
        <v>2966</v>
      </c>
      <c r="B2784" t="s">
        <v>2967</v>
      </c>
      <c r="C2784">
        <v>14106270</v>
      </c>
      <c r="D2784" t="s">
        <v>2923</v>
      </c>
      <c r="E2784" s="134">
        <v>3044.16</v>
      </c>
      <c r="F2784" t="s">
        <v>2816</v>
      </c>
    </row>
    <row r="2785" spans="1:6" x14ac:dyDescent="0.2">
      <c r="A2785" t="s">
        <v>2966</v>
      </c>
      <c r="B2785" t="s">
        <v>2967</v>
      </c>
      <c r="C2785">
        <v>16101311</v>
      </c>
      <c r="D2785" t="s">
        <v>2924</v>
      </c>
      <c r="E2785" s="134">
        <v>3696.28</v>
      </c>
      <c r="F2785" t="s">
        <v>2816</v>
      </c>
    </row>
    <row r="2786" spans="1:6" x14ac:dyDescent="0.2">
      <c r="A2786" t="s">
        <v>2966</v>
      </c>
      <c r="B2786" t="s">
        <v>2967</v>
      </c>
      <c r="C2786">
        <v>14118625</v>
      </c>
      <c r="D2786" t="s">
        <v>422</v>
      </c>
      <c r="E2786" s="134">
        <v>3103.52</v>
      </c>
      <c r="F2786" t="s">
        <v>2816</v>
      </c>
    </row>
    <row r="2787" spans="1:6" x14ac:dyDescent="0.2">
      <c r="A2787" t="s">
        <v>2966</v>
      </c>
      <c r="B2787" t="s">
        <v>2967</v>
      </c>
      <c r="C2787">
        <v>14122681</v>
      </c>
      <c r="D2787" t="s">
        <v>433</v>
      </c>
      <c r="E2787" s="134">
        <v>3103.52</v>
      </c>
      <c r="F2787" t="s">
        <v>2816</v>
      </c>
    </row>
    <row r="2788" spans="1:6" x14ac:dyDescent="0.2">
      <c r="A2788" t="s">
        <v>2966</v>
      </c>
      <c r="B2788" t="s">
        <v>2967</v>
      </c>
      <c r="C2788">
        <v>14122682</v>
      </c>
      <c r="D2788" t="s">
        <v>434</v>
      </c>
      <c r="E2788" s="134">
        <v>3103.52</v>
      </c>
      <c r="F2788" t="s">
        <v>2816</v>
      </c>
    </row>
    <row r="2789" spans="1:6" x14ac:dyDescent="0.2">
      <c r="A2789" t="s">
        <v>2966</v>
      </c>
      <c r="B2789" t="s">
        <v>2967</v>
      </c>
      <c r="C2789">
        <v>14122706</v>
      </c>
      <c r="D2789" t="s">
        <v>438</v>
      </c>
      <c r="E2789" s="134">
        <v>3103.52</v>
      </c>
      <c r="F2789" t="s">
        <v>2816</v>
      </c>
    </row>
    <row r="2790" spans="1:6" x14ac:dyDescent="0.2">
      <c r="A2790" t="s">
        <v>2966</v>
      </c>
      <c r="B2790" t="s">
        <v>2967</v>
      </c>
      <c r="C2790">
        <v>14122708</v>
      </c>
      <c r="D2790" t="s">
        <v>440</v>
      </c>
      <c r="E2790" s="134">
        <v>3103.52</v>
      </c>
      <c r="F2790" t="s">
        <v>2816</v>
      </c>
    </row>
    <row r="2791" spans="1:6" x14ac:dyDescent="0.2">
      <c r="A2791" t="s">
        <v>2966</v>
      </c>
      <c r="B2791" t="s">
        <v>2967</v>
      </c>
      <c r="C2791">
        <v>14122994</v>
      </c>
      <c r="D2791" t="s">
        <v>467</v>
      </c>
      <c r="E2791" s="134">
        <v>3103.52</v>
      </c>
      <c r="F2791" t="s">
        <v>2816</v>
      </c>
    </row>
    <row r="2792" spans="1:6" x14ac:dyDescent="0.2">
      <c r="A2792" t="s">
        <v>2966</v>
      </c>
      <c r="B2792" t="s">
        <v>2967</v>
      </c>
      <c r="C2792">
        <v>14123082</v>
      </c>
      <c r="D2792" t="s">
        <v>477</v>
      </c>
      <c r="E2792" s="134">
        <v>3103.52</v>
      </c>
      <c r="F2792" t="s">
        <v>2816</v>
      </c>
    </row>
    <row r="2793" spans="1:6" x14ac:dyDescent="0.2">
      <c r="A2793" t="s">
        <v>2966</v>
      </c>
      <c r="B2793" t="s">
        <v>2967</v>
      </c>
      <c r="C2793">
        <v>14123145</v>
      </c>
      <c r="D2793" t="s">
        <v>482</v>
      </c>
      <c r="E2793" s="134">
        <v>3103.52</v>
      </c>
      <c r="F2793" t="s">
        <v>2816</v>
      </c>
    </row>
    <row r="2794" spans="1:6" x14ac:dyDescent="0.2">
      <c r="A2794" t="s">
        <v>2966</v>
      </c>
      <c r="B2794" t="s">
        <v>2967</v>
      </c>
      <c r="C2794">
        <v>14123332</v>
      </c>
      <c r="D2794" t="s">
        <v>501</v>
      </c>
      <c r="E2794" s="134">
        <v>3103.52</v>
      </c>
      <c r="F2794" t="s">
        <v>2816</v>
      </c>
    </row>
    <row r="2795" spans="1:6" x14ac:dyDescent="0.2">
      <c r="A2795" t="s">
        <v>2966</v>
      </c>
      <c r="B2795" t="s">
        <v>2967</v>
      </c>
      <c r="C2795">
        <v>14103470</v>
      </c>
      <c r="D2795" t="s">
        <v>518</v>
      </c>
      <c r="E2795" s="134">
        <v>3288.46</v>
      </c>
      <c r="F2795" t="s">
        <v>2816</v>
      </c>
    </row>
    <row r="2796" spans="1:6" x14ac:dyDescent="0.2">
      <c r="A2796" t="s">
        <v>2966</v>
      </c>
      <c r="B2796" t="s">
        <v>2967</v>
      </c>
      <c r="C2796">
        <v>14110336</v>
      </c>
      <c r="D2796" t="s">
        <v>983</v>
      </c>
      <c r="E2796" s="134">
        <v>3288.46</v>
      </c>
      <c r="F2796" t="s">
        <v>2816</v>
      </c>
    </row>
    <row r="2797" spans="1:6" x14ac:dyDescent="0.2">
      <c r="A2797" t="s">
        <v>2966</v>
      </c>
      <c r="B2797" t="s">
        <v>2967</v>
      </c>
      <c r="C2797">
        <v>14110506</v>
      </c>
      <c r="D2797" t="s">
        <v>421</v>
      </c>
      <c r="E2797" s="134">
        <v>3288.46</v>
      </c>
      <c r="F2797" t="s">
        <v>2816</v>
      </c>
    </row>
    <row r="2798" spans="1:6" x14ac:dyDescent="0.2">
      <c r="A2798" t="s">
        <v>2966</v>
      </c>
      <c r="B2798" t="s">
        <v>2967</v>
      </c>
      <c r="C2798">
        <v>14110604</v>
      </c>
      <c r="D2798" t="s">
        <v>330</v>
      </c>
      <c r="E2798" s="134">
        <v>3288.46</v>
      </c>
      <c r="F2798" t="s">
        <v>2816</v>
      </c>
    </row>
    <row r="2799" spans="1:6" x14ac:dyDescent="0.2">
      <c r="A2799" t="s">
        <v>2966</v>
      </c>
      <c r="B2799" t="s">
        <v>2967</v>
      </c>
      <c r="C2799">
        <v>14110799</v>
      </c>
      <c r="D2799" t="s">
        <v>455</v>
      </c>
      <c r="E2799" s="134">
        <v>3288.46</v>
      </c>
      <c r="F2799" t="s">
        <v>2816</v>
      </c>
    </row>
    <row r="2800" spans="1:6" x14ac:dyDescent="0.2">
      <c r="A2800" t="s">
        <v>2966</v>
      </c>
      <c r="B2800" t="s">
        <v>2967</v>
      </c>
      <c r="C2800">
        <v>14112588</v>
      </c>
      <c r="D2800" t="s">
        <v>931</v>
      </c>
      <c r="E2800" s="134">
        <v>3288.46</v>
      </c>
      <c r="F2800" t="s">
        <v>2816</v>
      </c>
    </row>
    <row r="2801" spans="1:6" x14ac:dyDescent="0.2">
      <c r="A2801" t="s">
        <v>2966</v>
      </c>
      <c r="B2801" t="s">
        <v>2967</v>
      </c>
      <c r="C2801">
        <v>14112635</v>
      </c>
      <c r="D2801" t="s">
        <v>985</v>
      </c>
      <c r="E2801" s="134">
        <v>3288.46</v>
      </c>
      <c r="F2801" t="s">
        <v>2816</v>
      </c>
    </row>
    <row r="2802" spans="1:6" x14ac:dyDescent="0.2">
      <c r="A2802" t="s">
        <v>2966</v>
      </c>
      <c r="B2802" t="s">
        <v>2967</v>
      </c>
      <c r="C2802">
        <v>14112962</v>
      </c>
      <c r="D2802" t="s">
        <v>483</v>
      </c>
      <c r="E2802" s="134">
        <v>2348.9</v>
      </c>
      <c r="F2802" t="s">
        <v>2816</v>
      </c>
    </row>
    <row r="2803" spans="1:6" x14ac:dyDescent="0.2">
      <c r="A2803" t="s">
        <v>2966</v>
      </c>
      <c r="B2803" t="s">
        <v>2967</v>
      </c>
      <c r="C2803">
        <v>14116250</v>
      </c>
      <c r="D2803" t="s">
        <v>425</v>
      </c>
      <c r="E2803" s="134">
        <v>3288.46</v>
      </c>
      <c r="F2803" t="s">
        <v>2816</v>
      </c>
    </row>
    <row r="2804" spans="1:6" x14ac:dyDescent="0.2">
      <c r="A2804" t="s">
        <v>2966</v>
      </c>
      <c r="B2804" t="s">
        <v>2967</v>
      </c>
      <c r="C2804">
        <v>14116565</v>
      </c>
      <c r="D2804" t="s">
        <v>456</v>
      </c>
      <c r="E2804" s="134">
        <v>3288.46</v>
      </c>
      <c r="F2804" t="s">
        <v>2816</v>
      </c>
    </row>
    <row r="2805" spans="1:6" x14ac:dyDescent="0.2">
      <c r="A2805" t="s">
        <v>2966</v>
      </c>
      <c r="B2805" t="s">
        <v>2967</v>
      </c>
      <c r="C2805">
        <v>14117969</v>
      </c>
      <c r="D2805" t="s">
        <v>399</v>
      </c>
      <c r="E2805" s="134">
        <v>3288.46</v>
      </c>
      <c r="F2805" t="s">
        <v>2816</v>
      </c>
    </row>
    <row r="2806" spans="1:6" x14ac:dyDescent="0.2">
      <c r="A2806" t="s">
        <v>2966</v>
      </c>
      <c r="B2806" t="s">
        <v>2967</v>
      </c>
      <c r="C2806">
        <v>14118212</v>
      </c>
      <c r="D2806" t="s">
        <v>426</v>
      </c>
      <c r="E2806" s="134">
        <v>3288.46</v>
      </c>
      <c r="F2806" t="s">
        <v>2816</v>
      </c>
    </row>
    <row r="2807" spans="1:6" x14ac:dyDescent="0.2">
      <c r="A2807" t="s">
        <v>2966</v>
      </c>
      <c r="B2807" t="s">
        <v>2967</v>
      </c>
      <c r="C2807">
        <v>14118579</v>
      </c>
      <c r="D2807" t="s">
        <v>464</v>
      </c>
      <c r="E2807" s="134">
        <v>3288.46</v>
      </c>
      <c r="F2807" t="s">
        <v>2816</v>
      </c>
    </row>
    <row r="2808" spans="1:6" x14ac:dyDescent="0.2">
      <c r="A2808" t="s">
        <v>2966</v>
      </c>
      <c r="B2808" t="s">
        <v>2967</v>
      </c>
      <c r="C2808">
        <v>14119838</v>
      </c>
      <c r="D2808" t="s">
        <v>498</v>
      </c>
      <c r="E2808" s="134">
        <v>3288.46</v>
      </c>
      <c r="F2808" t="s">
        <v>2816</v>
      </c>
    </row>
    <row r="2809" spans="1:6" x14ac:dyDescent="0.2">
      <c r="A2809" t="s">
        <v>2966</v>
      </c>
      <c r="B2809" t="s">
        <v>2967</v>
      </c>
      <c r="C2809">
        <v>14120199</v>
      </c>
      <c r="D2809" t="s">
        <v>400</v>
      </c>
      <c r="E2809" s="134">
        <v>3288.46</v>
      </c>
      <c r="F2809" t="s">
        <v>2816</v>
      </c>
    </row>
    <row r="2810" spans="1:6" x14ac:dyDescent="0.2">
      <c r="A2810" t="s">
        <v>2966</v>
      </c>
      <c r="B2810" t="s">
        <v>2967</v>
      </c>
      <c r="C2810">
        <v>14120455</v>
      </c>
      <c r="D2810" t="s">
        <v>287</v>
      </c>
      <c r="E2810" s="134">
        <v>3288.46</v>
      </c>
      <c r="F2810" t="s">
        <v>2816</v>
      </c>
    </row>
    <row r="2811" spans="1:6" x14ac:dyDescent="0.2">
      <c r="A2811" t="s">
        <v>2966</v>
      </c>
      <c r="B2811" t="s">
        <v>2967</v>
      </c>
      <c r="C2811">
        <v>14120715</v>
      </c>
      <c r="D2811" t="s">
        <v>295</v>
      </c>
      <c r="E2811" s="134">
        <v>3288.46</v>
      </c>
      <c r="F2811" t="s">
        <v>2816</v>
      </c>
    </row>
    <row r="2812" spans="1:6" x14ac:dyDescent="0.2">
      <c r="A2812" t="s">
        <v>2966</v>
      </c>
      <c r="B2812" t="s">
        <v>2967</v>
      </c>
      <c r="C2812">
        <v>14122191</v>
      </c>
      <c r="D2812" t="s">
        <v>394</v>
      </c>
      <c r="E2812" s="134">
        <v>3288.46</v>
      </c>
      <c r="F2812" t="s">
        <v>2816</v>
      </c>
    </row>
    <row r="2813" spans="1:6" x14ac:dyDescent="0.2">
      <c r="A2813" t="s">
        <v>2966</v>
      </c>
      <c r="B2813" t="s">
        <v>2967</v>
      </c>
      <c r="C2813">
        <v>14122194</v>
      </c>
      <c r="D2813" t="s">
        <v>395</v>
      </c>
      <c r="E2813" s="134">
        <v>3288.46</v>
      </c>
      <c r="F2813" t="s">
        <v>2816</v>
      </c>
    </row>
    <row r="2814" spans="1:6" x14ac:dyDescent="0.2">
      <c r="A2814" t="s">
        <v>2966</v>
      </c>
      <c r="B2814" t="s">
        <v>2967</v>
      </c>
      <c r="C2814">
        <v>14122221</v>
      </c>
      <c r="D2814" t="s">
        <v>396</v>
      </c>
      <c r="E2814" s="134">
        <v>3288.46</v>
      </c>
      <c r="F2814" t="s">
        <v>2816</v>
      </c>
    </row>
    <row r="2815" spans="1:6" x14ac:dyDescent="0.2">
      <c r="A2815" t="s">
        <v>2966</v>
      </c>
      <c r="B2815" t="s">
        <v>2967</v>
      </c>
      <c r="C2815">
        <v>14122230</v>
      </c>
      <c r="D2815" t="s">
        <v>397</v>
      </c>
      <c r="E2815" s="134">
        <v>3288.46</v>
      </c>
      <c r="F2815" t="s">
        <v>2816</v>
      </c>
    </row>
    <row r="2816" spans="1:6" x14ac:dyDescent="0.2">
      <c r="A2816" t="s">
        <v>2966</v>
      </c>
      <c r="B2816" t="s">
        <v>2967</v>
      </c>
      <c r="C2816">
        <v>14122263</v>
      </c>
      <c r="D2816" t="s">
        <v>401</v>
      </c>
      <c r="E2816" s="134">
        <v>3288.46</v>
      </c>
      <c r="F2816" t="s">
        <v>2816</v>
      </c>
    </row>
    <row r="2817" spans="1:6" x14ac:dyDescent="0.2">
      <c r="A2817" t="s">
        <v>2966</v>
      </c>
      <c r="B2817" t="s">
        <v>2967</v>
      </c>
      <c r="C2817">
        <v>14122291</v>
      </c>
      <c r="D2817" t="s">
        <v>402</v>
      </c>
      <c r="E2817" s="134">
        <v>3288.46</v>
      </c>
      <c r="F2817" t="s">
        <v>2816</v>
      </c>
    </row>
    <row r="2818" spans="1:6" x14ac:dyDescent="0.2">
      <c r="A2818" t="s">
        <v>2966</v>
      </c>
      <c r="B2818" t="s">
        <v>2967</v>
      </c>
      <c r="C2818">
        <v>14122293</v>
      </c>
      <c r="D2818" t="s">
        <v>403</v>
      </c>
      <c r="E2818" s="134">
        <v>3288.46</v>
      </c>
      <c r="F2818" t="s">
        <v>2816</v>
      </c>
    </row>
    <row r="2819" spans="1:6" x14ac:dyDescent="0.2">
      <c r="A2819" t="s">
        <v>2966</v>
      </c>
      <c r="B2819" t="s">
        <v>2967</v>
      </c>
      <c r="C2819">
        <v>14122294</v>
      </c>
      <c r="D2819" t="s">
        <v>404</v>
      </c>
      <c r="E2819" s="134">
        <v>3288.46</v>
      </c>
      <c r="F2819" t="s">
        <v>2816</v>
      </c>
    </row>
    <row r="2820" spans="1:6" x14ac:dyDescent="0.2">
      <c r="A2820" t="s">
        <v>2966</v>
      </c>
      <c r="B2820" t="s">
        <v>2967</v>
      </c>
      <c r="C2820">
        <v>14122320</v>
      </c>
      <c r="D2820" t="s">
        <v>405</v>
      </c>
      <c r="E2820" s="134">
        <v>3288.46</v>
      </c>
      <c r="F2820" t="s">
        <v>2816</v>
      </c>
    </row>
    <row r="2821" spans="1:6" x14ac:dyDescent="0.2">
      <c r="A2821" t="s">
        <v>2966</v>
      </c>
      <c r="B2821" t="s">
        <v>2967</v>
      </c>
      <c r="C2821">
        <v>14122329</v>
      </c>
      <c r="D2821" t="s">
        <v>406</v>
      </c>
      <c r="E2821" s="134">
        <v>3288.46</v>
      </c>
      <c r="F2821" t="s">
        <v>2816</v>
      </c>
    </row>
    <row r="2822" spans="1:6" x14ac:dyDescent="0.2">
      <c r="A2822" t="s">
        <v>2966</v>
      </c>
      <c r="B2822" t="s">
        <v>2967</v>
      </c>
      <c r="C2822">
        <v>14122330</v>
      </c>
      <c r="D2822" t="s">
        <v>407</v>
      </c>
      <c r="E2822" s="134">
        <v>3288.46</v>
      </c>
      <c r="F2822" t="s">
        <v>2816</v>
      </c>
    </row>
    <row r="2823" spans="1:6" x14ac:dyDescent="0.2">
      <c r="A2823" t="s">
        <v>2966</v>
      </c>
      <c r="B2823" t="s">
        <v>2967</v>
      </c>
      <c r="C2823">
        <v>14122331</v>
      </c>
      <c r="D2823" t="s">
        <v>408</v>
      </c>
      <c r="E2823" s="134">
        <v>3288.46</v>
      </c>
      <c r="F2823" t="s">
        <v>2816</v>
      </c>
    </row>
    <row r="2824" spans="1:6" x14ac:dyDescent="0.2">
      <c r="A2824" t="s">
        <v>2966</v>
      </c>
      <c r="B2824" t="s">
        <v>2967</v>
      </c>
      <c r="C2824">
        <v>14122353</v>
      </c>
      <c r="D2824" t="s">
        <v>409</v>
      </c>
      <c r="E2824" s="134">
        <v>3288.46</v>
      </c>
      <c r="F2824" t="s">
        <v>2816</v>
      </c>
    </row>
    <row r="2825" spans="1:6" x14ac:dyDescent="0.2">
      <c r="A2825" t="s">
        <v>2966</v>
      </c>
      <c r="B2825" t="s">
        <v>2967</v>
      </c>
      <c r="C2825">
        <v>14122354</v>
      </c>
      <c r="D2825" t="s">
        <v>410</v>
      </c>
      <c r="E2825" s="134">
        <v>3288.46</v>
      </c>
      <c r="F2825" t="s">
        <v>2816</v>
      </c>
    </row>
    <row r="2826" spans="1:6" x14ac:dyDescent="0.2">
      <c r="A2826" t="s">
        <v>2966</v>
      </c>
      <c r="B2826" t="s">
        <v>2967</v>
      </c>
      <c r="C2826">
        <v>14122355</v>
      </c>
      <c r="D2826" t="s">
        <v>411</v>
      </c>
      <c r="E2826" s="134">
        <v>3288.46</v>
      </c>
      <c r="F2826" t="s">
        <v>2816</v>
      </c>
    </row>
    <row r="2827" spans="1:6" x14ac:dyDescent="0.2">
      <c r="A2827" t="s">
        <v>2966</v>
      </c>
      <c r="B2827" t="s">
        <v>2967</v>
      </c>
      <c r="C2827">
        <v>14122377</v>
      </c>
      <c r="D2827" t="s">
        <v>412</v>
      </c>
      <c r="E2827" s="134">
        <v>3288.46</v>
      </c>
      <c r="F2827" t="s">
        <v>2816</v>
      </c>
    </row>
    <row r="2828" spans="1:6" x14ac:dyDescent="0.2">
      <c r="A2828" t="s">
        <v>2966</v>
      </c>
      <c r="B2828" t="s">
        <v>2967</v>
      </c>
      <c r="C2828">
        <v>14122394</v>
      </c>
      <c r="D2828" t="s">
        <v>413</v>
      </c>
      <c r="E2828" s="134">
        <v>3288.46</v>
      </c>
      <c r="F2828" t="s">
        <v>2816</v>
      </c>
    </row>
    <row r="2829" spans="1:6" x14ac:dyDescent="0.2">
      <c r="A2829" t="s">
        <v>2966</v>
      </c>
      <c r="B2829" t="s">
        <v>2967</v>
      </c>
      <c r="C2829">
        <v>14122416</v>
      </c>
      <c r="D2829" t="s">
        <v>414</v>
      </c>
      <c r="E2829" s="134">
        <v>3288.46</v>
      </c>
      <c r="F2829" t="s">
        <v>2816</v>
      </c>
    </row>
    <row r="2830" spans="1:6" x14ac:dyDescent="0.2">
      <c r="A2830" t="s">
        <v>2966</v>
      </c>
      <c r="B2830" t="s">
        <v>2967</v>
      </c>
      <c r="C2830">
        <v>14122417</v>
      </c>
      <c r="D2830" t="s">
        <v>415</v>
      </c>
      <c r="E2830" s="134">
        <v>3288.46</v>
      </c>
      <c r="F2830" t="s">
        <v>2816</v>
      </c>
    </row>
    <row r="2831" spans="1:6" x14ac:dyDescent="0.2">
      <c r="A2831" t="s">
        <v>2966</v>
      </c>
      <c r="B2831" t="s">
        <v>2967</v>
      </c>
      <c r="C2831">
        <v>14122419</v>
      </c>
      <c r="D2831" t="s">
        <v>416</v>
      </c>
      <c r="E2831" s="134">
        <v>3288.46</v>
      </c>
      <c r="F2831" t="s">
        <v>2816</v>
      </c>
    </row>
    <row r="2832" spans="1:6" x14ac:dyDescent="0.2">
      <c r="A2832" t="s">
        <v>2966</v>
      </c>
      <c r="B2832" t="s">
        <v>2967</v>
      </c>
      <c r="C2832">
        <v>14122428</v>
      </c>
      <c r="D2832" t="s">
        <v>417</v>
      </c>
      <c r="E2832" s="134">
        <v>3288.46</v>
      </c>
      <c r="F2832" t="s">
        <v>2816</v>
      </c>
    </row>
    <row r="2833" spans="1:6" x14ac:dyDescent="0.2">
      <c r="A2833" t="s">
        <v>2966</v>
      </c>
      <c r="B2833" t="s">
        <v>2967</v>
      </c>
      <c r="C2833">
        <v>14122429</v>
      </c>
      <c r="D2833" t="s">
        <v>418</v>
      </c>
      <c r="E2833" s="134">
        <v>3288.46</v>
      </c>
      <c r="F2833" t="s">
        <v>2816</v>
      </c>
    </row>
    <row r="2834" spans="1:6" x14ac:dyDescent="0.2">
      <c r="A2834" t="s">
        <v>2966</v>
      </c>
      <c r="B2834" t="s">
        <v>2967</v>
      </c>
      <c r="C2834">
        <v>14122431</v>
      </c>
      <c r="D2834" t="s">
        <v>419</v>
      </c>
      <c r="E2834" s="134">
        <v>3288.46</v>
      </c>
      <c r="F2834" t="s">
        <v>2816</v>
      </c>
    </row>
    <row r="2835" spans="1:6" x14ac:dyDescent="0.2">
      <c r="A2835" t="s">
        <v>2966</v>
      </c>
      <c r="B2835" t="s">
        <v>2967</v>
      </c>
      <c r="C2835">
        <v>14122481</v>
      </c>
      <c r="D2835" t="s">
        <v>420</v>
      </c>
      <c r="E2835" s="134">
        <v>3288.46</v>
      </c>
      <c r="F2835" t="s">
        <v>2816</v>
      </c>
    </row>
    <row r="2836" spans="1:6" x14ac:dyDescent="0.2">
      <c r="A2836" t="s">
        <v>2966</v>
      </c>
      <c r="B2836" t="s">
        <v>2967</v>
      </c>
      <c r="C2836">
        <v>14122495</v>
      </c>
      <c r="D2836" t="s">
        <v>423</v>
      </c>
      <c r="E2836" s="134">
        <v>3288.46</v>
      </c>
      <c r="F2836" t="s">
        <v>2816</v>
      </c>
    </row>
    <row r="2837" spans="1:6" x14ac:dyDescent="0.2">
      <c r="A2837" t="s">
        <v>2966</v>
      </c>
      <c r="B2837" t="s">
        <v>2967</v>
      </c>
      <c r="C2837">
        <v>14122510</v>
      </c>
      <c r="D2837" t="s">
        <v>424</v>
      </c>
      <c r="E2837" s="134">
        <v>3288.46</v>
      </c>
      <c r="F2837" t="s">
        <v>2816</v>
      </c>
    </row>
    <row r="2838" spans="1:6" x14ac:dyDescent="0.2">
      <c r="A2838" t="s">
        <v>2966</v>
      </c>
      <c r="B2838" t="s">
        <v>2967</v>
      </c>
      <c r="C2838">
        <v>14122543</v>
      </c>
      <c r="D2838" t="s">
        <v>427</v>
      </c>
      <c r="E2838" s="134">
        <v>3288.46</v>
      </c>
      <c r="F2838" t="s">
        <v>2816</v>
      </c>
    </row>
    <row r="2839" spans="1:6" x14ac:dyDescent="0.2">
      <c r="A2839" t="s">
        <v>2966</v>
      </c>
      <c r="B2839" t="s">
        <v>2967</v>
      </c>
      <c r="C2839">
        <v>14122546</v>
      </c>
      <c r="D2839" t="s">
        <v>428</v>
      </c>
      <c r="E2839" s="134">
        <v>3288.46</v>
      </c>
      <c r="F2839" t="s">
        <v>2816</v>
      </c>
    </row>
    <row r="2840" spans="1:6" x14ac:dyDescent="0.2">
      <c r="A2840" t="s">
        <v>2966</v>
      </c>
      <c r="B2840" t="s">
        <v>2967</v>
      </c>
      <c r="C2840">
        <v>14122617</v>
      </c>
      <c r="D2840" t="s">
        <v>429</v>
      </c>
      <c r="E2840" s="134">
        <v>3288.46</v>
      </c>
      <c r="F2840" t="s">
        <v>2816</v>
      </c>
    </row>
    <row r="2841" spans="1:6" x14ac:dyDescent="0.2">
      <c r="A2841" t="s">
        <v>2966</v>
      </c>
      <c r="B2841" t="s">
        <v>2967</v>
      </c>
      <c r="C2841">
        <v>14122618</v>
      </c>
      <c r="D2841" t="s">
        <v>430</v>
      </c>
      <c r="E2841" s="134">
        <v>3288.46</v>
      </c>
      <c r="F2841" t="s">
        <v>2816</v>
      </c>
    </row>
    <row r="2842" spans="1:6" x14ac:dyDescent="0.2">
      <c r="A2842" t="s">
        <v>2966</v>
      </c>
      <c r="B2842" t="s">
        <v>2967</v>
      </c>
      <c r="C2842">
        <v>14122621</v>
      </c>
      <c r="D2842" t="s">
        <v>431</v>
      </c>
      <c r="E2842" s="134">
        <v>3288.46</v>
      </c>
      <c r="F2842" t="s">
        <v>2816</v>
      </c>
    </row>
    <row r="2843" spans="1:6" x14ac:dyDescent="0.2">
      <c r="A2843" t="s">
        <v>2966</v>
      </c>
      <c r="B2843" t="s">
        <v>2967</v>
      </c>
      <c r="C2843">
        <v>14122673</v>
      </c>
      <c r="D2843" t="s">
        <v>432</v>
      </c>
      <c r="E2843" s="134">
        <v>3288.46</v>
      </c>
      <c r="F2843" t="s">
        <v>2816</v>
      </c>
    </row>
    <row r="2844" spans="1:6" x14ac:dyDescent="0.2">
      <c r="A2844" t="s">
        <v>2966</v>
      </c>
      <c r="B2844" t="s">
        <v>2967</v>
      </c>
      <c r="C2844">
        <v>14122683</v>
      </c>
      <c r="D2844" t="s">
        <v>435</v>
      </c>
      <c r="E2844" s="134">
        <v>3288.46</v>
      </c>
      <c r="F2844" t="s">
        <v>2816</v>
      </c>
    </row>
    <row r="2845" spans="1:6" x14ac:dyDescent="0.2">
      <c r="A2845" t="s">
        <v>2966</v>
      </c>
      <c r="B2845" t="s">
        <v>2967</v>
      </c>
      <c r="C2845">
        <v>14122685</v>
      </c>
      <c r="D2845" t="s">
        <v>436</v>
      </c>
      <c r="E2845" s="134">
        <v>3288.46</v>
      </c>
      <c r="F2845" t="s">
        <v>2816</v>
      </c>
    </row>
    <row r="2846" spans="1:6" x14ac:dyDescent="0.2">
      <c r="A2846" t="s">
        <v>2966</v>
      </c>
      <c r="B2846" t="s">
        <v>2967</v>
      </c>
      <c r="C2846">
        <v>14122687</v>
      </c>
      <c r="D2846" t="s">
        <v>437</v>
      </c>
      <c r="E2846" s="134">
        <v>3288.46</v>
      </c>
      <c r="F2846" t="s">
        <v>2816</v>
      </c>
    </row>
    <row r="2847" spans="1:6" x14ac:dyDescent="0.2">
      <c r="A2847" t="s">
        <v>2966</v>
      </c>
      <c r="B2847" t="s">
        <v>2967</v>
      </c>
      <c r="C2847">
        <v>14122707</v>
      </c>
      <c r="D2847" t="s">
        <v>439</v>
      </c>
      <c r="E2847" s="134">
        <v>3288.46</v>
      </c>
      <c r="F2847" t="s">
        <v>2816</v>
      </c>
    </row>
    <row r="2848" spans="1:6" x14ac:dyDescent="0.2">
      <c r="A2848" t="s">
        <v>2966</v>
      </c>
      <c r="B2848" t="s">
        <v>2967</v>
      </c>
      <c r="C2848">
        <v>14122709</v>
      </c>
      <c r="D2848" t="s">
        <v>441</v>
      </c>
      <c r="E2848" s="134">
        <v>3288.46</v>
      </c>
      <c r="F2848" t="s">
        <v>2816</v>
      </c>
    </row>
    <row r="2849" spans="1:6" x14ac:dyDescent="0.2">
      <c r="A2849" t="s">
        <v>2966</v>
      </c>
      <c r="B2849" t="s">
        <v>2967</v>
      </c>
      <c r="C2849">
        <v>14122758</v>
      </c>
      <c r="D2849" t="s">
        <v>442</v>
      </c>
      <c r="E2849" s="134">
        <v>3288.46</v>
      </c>
      <c r="F2849" t="s">
        <v>2816</v>
      </c>
    </row>
    <row r="2850" spans="1:6" x14ac:dyDescent="0.2">
      <c r="A2850" t="s">
        <v>2966</v>
      </c>
      <c r="B2850" t="s">
        <v>2967</v>
      </c>
      <c r="C2850">
        <v>14122772</v>
      </c>
      <c r="D2850" t="s">
        <v>443</v>
      </c>
      <c r="E2850" s="134">
        <v>3288.46</v>
      </c>
      <c r="F2850" t="s">
        <v>2816</v>
      </c>
    </row>
    <row r="2851" spans="1:6" x14ac:dyDescent="0.2">
      <c r="A2851" t="s">
        <v>2966</v>
      </c>
      <c r="B2851" t="s">
        <v>2967</v>
      </c>
      <c r="C2851">
        <v>14122773</v>
      </c>
      <c r="D2851" t="s">
        <v>444</v>
      </c>
      <c r="E2851" s="134">
        <v>3288.46</v>
      </c>
      <c r="F2851" t="s">
        <v>2816</v>
      </c>
    </row>
    <row r="2852" spans="1:6" x14ac:dyDescent="0.2">
      <c r="A2852" t="s">
        <v>2966</v>
      </c>
      <c r="B2852" t="s">
        <v>2967</v>
      </c>
      <c r="C2852">
        <v>14122775</v>
      </c>
      <c r="D2852" t="s">
        <v>445</v>
      </c>
      <c r="E2852" s="134">
        <v>3288.46</v>
      </c>
      <c r="F2852" t="s">
        <v>2816</v>
      </c>
    </row>
    <row r="2853" spans="1:6" x14ac:dyDescent="0.2">
      <c r="A2853" t="s">
        <v>2966</v>
      </c>
      <c r="B2853" t="s">
        <v>2967</v>
      </c>
      <c r="C2853">
        <v>14122809</v>
      </c>
      <c r="D2853" t="s">
        <v>446</v>
      </c>
      <c r="E2853" s="134">
        <v>3288.46</v>
      </c>
      <c r="F2853" t="s">
        <v>2816</v>
      </c>
    </row>
    <row r="2854" spans="1:6" x14ac:dyDescent="0.2">
      <c r="A2854" t="s">
        <v>2966</v>
      </c>
      <c r="B2854" t="s">
        <v>2967</v>
      </c>
      <c r="C2854">
        <v>14122831</v>
      </c>
      <c r="D2854" t="s">
        <v>447</v>
      </c>
      <c r="E2854" s="134">
        <v>3288.46</v>
      </c>
      <c r="F2854" t="s">
        <v>2816</v>
      </c>
    </row>
    <row r="2855" spans="1:6" x14ac:dyDescent="0.2">
      <c r="A2855" t="s">
        <v>2966</v>
      </c>
      <c r="B2855" t="s">
        <v>2967</v>
      </c>
      <c r="C2855">
        <v>14122832</v>
      </c>
      <c r="D2855" t="s">
        <v>448</v>
      </c>
      <c r="E2855" s="134">
        <v>3288.46</v>
      </c>
      <c r="F2855" t="s">
        <v>2816</v>
      </c>
    </row>
    <row r="2856" spans="1:6" x14ac:dyDescent="0.2">
      <c r="A2856" t="s">
        <v>2966</v>
      </c>
      <c r="B2856" t="s">
        <v>2967</v>
      </c>
      <c r="C2856">
        <v>14122852</v>
      </c>
      <c r="D2856" t="s">
        <v>449</v>
      </c>
      <c r="E2856" s="134">
        <v>3288.46</v>
      </c>
      <c r="F2856" t="s">
        <v>2816</v>
      </c>
    </row>
    <row r="2857" spans="1:6" x14ac:dyDescent="0.2">
      <c r="A2857" t="s">
        <v>2966</v>
      </c>
      <c r="B2857" t="s">
        <v>2967</v>
      </c>
      <c r="C2857">
        <v>14122854</v>
      </c>
      <c r="D2857" t="s">
        <v>450</v>
      </c>
      <c r="E2857" s="134">
        <v>3288.46</v>
      </c>
      <c r="F2857" t="s">
        <v>2816</v>
      </c>
    </row>
    <row r="2858" spans="1:6" x14ac:dyDescent="0.2">
      <c r="A2858" t="s">
        <v>2966</v>
      </c>
      <c r="B2858" t="s">
        <v>2967</v>
      </c>
      <c r="C2858">
        <v>14122855</v>
      </c>
      <c r="D2858" t="s">
        <v>451</v>
      </c>
      <c r="E2858" s="134">
        <v>3288.46</v>
      </c>
      <c r="F2858" t="s">
        <v>2816</v>
      </c>
    </row>
    <row r="2859" spans="1:6" x14ac:dyDescent="0.2">
      <c r="A2859" t="s">
        <v>2966</v>
      </c>
      <c r="B2859" t="s">
        <v>2967</v>
      </c>
      <c r="C2859">
        <v>14122856</v>
      </c>
      <c r="D2859" t="s">
        <v>452</v>
      </c>
      <c r="E2859" s="134">
        <v>3288.46</v>
      </c>
      <c r="F2859" t="s">
        <v>2816</v>
      </c>
    </row>
    <row r="2860" spans="1:6" x14ac:dyDescent="0.2">
      <c r="A2860" t="s">
        <v>2966</v>
      </c>
      <c r="B2860" t="s">
        <v>2967</v>
      </c>
      <c r="C2860">
        <v>14122871</v>
      </c>
      <c r="D2860" t="s">
        <v>453</v>
      </c>
      <c r="E2860" s="134">
        <v>3288.46</v>
      </c>
      <c r="F2860" t="s">
        <v>2816</v>
      </c>
    </row>
    <row r="2861" spans="1:6" x14ac:dyDescent="0.2">
      <c r="A2861" t="s">
        <v>2966</v>
      </c>
      <c r="B2861" t="s">
        <v>2967</v>
      </c>
      <c r="C2861">
        <v>14122873</v>
      </c>
      <c r="D2861" t="s">
        <v>454</v>
      </c>
      <c r="E2861" s="134">
        <v>548.08000000000004</v>
      </c>
      <c r="F2861" t="s">
        <v>2816</v>
      </c>
    </row>
    <row r="2862" spans="1:6" x14ac:dyDescent="0.2">
      <c r="A2862" t="s">
        <v>2966</v>
      </c>
      <c r="B2862" t="s">
        <v>2967</v>
      </c>
      <c r="C2862">
        <v>14122904</v>
      </c>
      <c r="D2862" t="s">
        <v>457</v>
      </c>
      <c r="E2862" s="134">
        <v>3288.46</v>
      </c>
      <c r="F2862" t="s">
        <v>2816</v>
      </c>
    </row>
    <row r="2863" spans="1:6" x14ac:dyDescent="0.2">
      <c r="A2863" t="s">
        <v>2966</v>
      </c>
      <c r="B2863" t="s">
        <v>2967</v>
      </c>
      <c r="C2863">
        <v>14122922</v>
      </c>
      <c r="D2863" t="s">
        <v>458</v>
      </c>
      <c r="E2863" s="134">
        <v>3288.46</v>
      </c>
      <c r="F2863" t="s">
        <v>2816</v>
      </c>
    </row>
    <row r="2864" spans="1:6" x14ac:dyDescent="0.2">
      <c r="A2864" t="s">
        <v>2966</v>
      </c>
      <c r="B2864" t="s">
        <v>2967</v>
      </c>
      <c r="C2864">
        <v>14122923</v>
      </c>
      <c r="D2864" t="s">
        <v>459</v>
      </c>
      <c r="E2864" s="134">
        <v>3288.46</v>
      </c>
      <c r="F2864" t="s">
        <v>2816</v>
      </c>
    </row>
    <row r="2865" spans="1:6" x14ac:dyDescent="0.2">
      <c r="A2865" t="s">
        <v>2966</v>
      </c>
      <c r="B2865" t="s">
        <v>2967</v>
      </c>
      <c r="C2865">
        <v>14122925</v>
      </c>
      <c r="D2865" t="s">
        <v>460</v>
      </c>
      <c r="E2865" s="134">
        <v>3288.46</v>
      </c>
      <c r="F2865" t="s">
        <v>2816</v>
      </c>
    </row>
    <row r="2866" spans="1:6" x14ac:dyDescent="0.2">
      <c r="A2866" t="s">
        <v>2966</v>
      </c>
      <c r="B2866" t="s">
        <v>2967</v>
      </c>
      <c r="C2866">
        <v>14122927</v>
      </c>
      <c r="D2866" t="s">
        <v>461</v>
      </c>
      <c r="E2866" s="134">
        <v>3288.46</v>
      </c>
      <c r="F2866" t="s">
        <v>2816</v>
      </c>
    </row>
    <row r="2867" spans="1:6" x14ac:dyDescent="0.2">
      <c r="A2867" t="s">
        <v>2966</v>
      </c>
      <c r="B2867" t="s">
        <v>2967</v>
      </c>
      <c r="C2867">
        <v>14122928</v>
      </c>
      <c r="D2867" t="s">
        <v>462</v>
      </c>
      <c r="E2867" s="134">
        <v>3288.46</v>
      </c>
      <c r="F2867" t="s">
        <v>2816</v>
      </c>
    </row>
    <row r="2868" spans="1:6" x14ac:dyDescent="0.2">
      <c r="A2868" t="s">
        <v>2966</v>
      </c>
      <c r="B2868" t="s">
        <v>2967</v>
      </c>
      <c r="C2868">
        <v>14122929</v>
      </c>
      <c r="D2868" t="s">
        <v>463</v>
      </c>
      <c r="E2868" s="134">
        <v>3288.46</v>
      </c>
      <c r="F2868" t="s">
        <v>2816</v>
      </c>
    </row>
    <row r="2869" spans="1:6" x14ac:dyDescent="0.2">
      <c r="A2869" t="s">
        <v>2966</v>
      </c>
      <c r="B2869" t="s">
        <v>2967</v>
      </c>
      <c r="C2869">
        <v>14122992</v>
      </c>
      <c r="D2869" t="s">
        <v>465</v>
      </c>
      <c r="E2869" s="134">
        <v>3288.46</v>
      </c>
      <c r="F2869" t="s">
        <v>2816</v>
      </c>
    </row>
    <row r="2870" spans="1:6" x14ac:dyDescent="0.2">
      <c r="A2870" t="s">
        <v>2966</v>
      </c>
      <c r="B2870" t="s">
        <v>2967</v>
      </c>
      <c r="C2870">
        <v>14122993</v>
      </c>
      <c r="D2870" t="s">
        <v>466</v>
      </c>
      <c r="E2870" s="134">
        <v>3288.46</v>
      </c>
      <c r="F2870" t="s">
        <v>2816</v>
      </c>
    </row>
    <row r="2871" spans="1:6" x14ac:dyDescent="0.2">
      <c r="A2871" t="s">
        <v>2966</v>
      </c>
      <c r="B2871" t="s">
        <v>2967</v>
      </c>
      <c r="C2871">
        <v>14123004</v>
      </c>
      <c r="D2871" t="s">
        <v>468</v>
      </c>
      <c r="E2871" s="134">
        <v>3288.46</v>
      </c>
      <c r="F2871" t="s">
        <v>2816</v>
      </c>
    </row>
    <row r="2872" spans="1:6" x14ac:dyDescent="0.2">
      <c r="A2872" t="s">
        <v>2966</v>
      </c>
      <c r="B2872" t="s">
        <v>2967</v>
      </c>
      <c r="C2872">
        <v>14123008</v>
      </c>
      <c r="D2872" t="s">
        <v>469</v>
      </c>
      <c r="E2872" s="134">
        <v>3288.46</v>
      </c>
      <c r="F2872" t="s">
        <v>2816</v>
      </c>
    </row>
    <row r="2873" spans="1:6" x14ac:dyDescent="0.2">
      <c r="A2873" t="s">
        <v>2966</v>
      </c>
      <c r="B2873" t="s">
        <v>2967</v>
      </c>
      <c r="C2873">
        <v>14123010</v>
      </c>
      <c r="D2873" t="s">
        <v>470</v>
      </c>
      <c r="E2873" s="134">
        <v>3288.46</v>
      </c>
      <c r="F2873" t="s">
        <v>2816</v>
      </c>
    </row>
    <row r="2874" spans="1:6" x14ac:dyDescent="0.2">
      <c r="A2874" t="s">
        <v>2966</v>
      </c>
      <c r="B2874" t="s">
        <v>2967</v>
      </c>
      <c r="C2874">
        <v>14123049</v>
      </c>
      <c r="D2874" t="s">
        <v>472</v>
      </c>
      <c r="E2874" s="134">
        <v>3288.46</v>
      </c>
      <c r="F2874" t="s">
        <v>2816</v>
      </c>
    </row>
    <row r="2875" spans="1:6" x14ac:dyDescent="0.2">
      <c r="A2875" t="s">
        <v>2966</v>
      </c>
      <c r="B2875" t="s">
        <v>2967</v>
      </c>
      <c r="C2875">
        <v>14123063</v>
      </c>
      <c r="D2875" t="s">
        <v>473</v>
      </c>
      <c r="E2875" s="134">
        <v>3288.46</v>
      </c>
      <c r="F2875" t="s">
        <v>2816</v>
      </c>
    </row>
    <row r="2876" spans="1:6" x14ac:dyDescent="0.2">
      <c r="A2876" t="s">
        <v>2966</v>
      </c>
      <c r="B2876" t="s">
        <v>2967</v>
      </c>
      <c r="C2876">
        <v>14123066</v>
      </c>
      <c r="D2876" t="s">
        <v>474</v>
      </c>
      <c r="E2876" s="134">
        <v>1644.23</v>
      </c>
      <c r="F2876" t="s">
        <v>2816</v>
      </c>
    </row>
    <row r="2877" spans="1:6" x14ac:dyDescent="0.2">
      <c r="A2877" t="s">
        <v>2966</v>
      </c>
      <c r="B2877" t="s">
        <v>2967</v>
      </c>
      <c r="C2877">
        <v>14123080</v>
      </c>
      <c r="D2877" t="s">
        <v>475</v>
      </c>
      <c r="E2877" s="134">
        <v>3288.46</v>
      </c>
      <c r="F2877" t="s">
        <v>2816</v>
      </c>
    </row>
    <row r="2878" spans="1:6" x14ac:dyDescent="0.2">
      <c r="A2878" t="s">
        <v>2966</v>
      </c>
      <c r="B2878" t="s">
        <v>2967</v>
      </c>
      <c r="C2878">
        <v>14123081</v>
      </c>
      <c r="D2878" t="s">
        <v>476</v>
      </c>
      <c r="E2878" s="134">
        <v>3288.46</v>
      </c>
      <c r="F2878" t="s">
        <v>2816</v>
      </c>
    </row>
    <row r="2879" spans="1:6" x14ac:dyDescent="0.2">
      <c r="A2879" t="s">
        <v>2966</v>
      </c>
      <c r="B2879" t="s">
        <v>2967</v>
      </c>
      <c r="C2879">
        <v>14123083</v>
      </c>
      <c r="D2879" t="s">
        <v>478</v>
      </c>
      <c r="E2879" s="134">
        <v>3288.46</v>
      </c>
      <c r="F2879" t="s">
        <v>2816</v>
      </c>
    </row>
    <row r="2880" spans="1:6" x14ac:dyDescent="0.2">
      <c r="A2880" t="s">
        <v>2966</v>
      </c>
      <c r="B2880" t="s">
        <v>2967</v>
      </c>
      <c r="C2880">
        <v>14123084</v>
      </c>
      <c r="D2880" t="s">
        <v>479</v>
      </c>
      <c r="E2880" s="134">
        <v>3288.46</v>
      </c>
      <c r="F2880" t="s">
        <v>2816</v>
      </c>
    </row>
    <row r="2881" spans="1:6" x14ac:dyDescent="0.2">
      <c r="A2881" t="s">
        <v>2966</v>
      </c>
      <c r="B2881" t="s">
        <v>2967</v>
      </c>
      <c r="C2881">
        <v>14123107</v>
      </c>
      <c r="D2881" t="s">
        <v>480</v>
      </c>
      <c r="E2881" s="134">
        <v>3288.46</v>
      </c>
      <c r="F2881" t="s">
        <v>2816</v>
      </c>
    </row>
    <row r="2882" spans="1:6" x14ac:dyDescent="0.2">
      <c r="A2882" t="s">
        <v>2966</v>
      </c>
      <c r="B2882" t="s">
        <v>2967</v>
      </c>
      <c r="C2882">
        <v>14123133</v>
      </c>
      <c r="D2882" t="s">
        <v>481</v>
      </c>
      <c r="E2882" s="134">
        <v>894.82</v>
      </c>
      <c r="F2882" t="s">
        <v>2816</v>
      </c>
    </row>
    <row r="2883" spans="1:6" x14ac:dyDescent="0.2">
      <c r="A2883" t="s">
        <v>2966</v>
      </c>
      <c r="B2883" t="s">
        <v>2967</v>
      </c>
      <c r="C2883">
        <v>14123193</v>
      </c>
      <c r="D2883" t="s">
        <v>484</v>
      </c>
      <c r="E2883" s="134">
        <v>2740.38</v>
      </c>
      <c r="F2883" t="s">
        <v>2816</v>
      </c>
    </row>
    <row r="2884" spans="1:6" x14ac:dyDescent="0.2">
      <c r="A2884" t="s">
        <v>2966</v>
      </c>
      <c r="B2884" t="s">
        <v>2967</v>
      </c>
      <c r="C2884">
        <v>14123228</v>
      </c>
      <c r="D2884" t="s">
        <v>486</v>
      </c>
      <c r="E2884" s="134">
        <v>3288.46</v>
      </c>
      <c r="F2884" t="s">
        <v>2816</v>
      </c>
    </row>
    <row r="2885" spans="1:6" x14ac:dyDescent="0.2">
      <c r="A2885" t="s">
        <v>2966</v>
      </c>
      <c r="B2885" t="s">
        <v>2967</v>
      </c>
      <c r="C2885">
        <v>14123238</v>
      </c>
      <c r="D2885" t="s">
        <v>487</v>
      </c>
      <c r="E2885" s="134">
        <v>3288.46</v>
      </c>
      <c r="F2885" t="s">
        <v>2816</v>
      </c>
    </row>
    <row r="2886" spans="1:6" x14ac:dyDescent="0.2">
      <c r="A2886" t="s">
        <v>2966</v>
      </c>
      <c r="B2886" t="s">
        <v>2967</v>
      </c>
      <c r="C2886">
        <v>14123240</v>
      </c>
      <c r="D2886" t="s">
        <v>488</v>
      </c>
      <c r="E2886" s="134">
        <v>3288.46</v>
      </c>
      <c r="F2886" t="s">
        <v>2816</v>
      </c>
    </row>
    <row r="2887" spans="1:6" x14ac:dyDescent="0.2">
      <c r="A2887" t="s">
        <v>2966</v>
      </c>
      <c r="B2887" t="s">
        <v>2967</v>
      </c>
      <c r="C2887">
        <v>14123246</v>
      </c>
      <c r="D2887" t="s">
        <v>489</v>
      </c>
      <c r="E2887" s="134">
        <v>3288.46</v>
      </c>
      <c r="F2887" t="s">
        <v>2816</v>
      </c>
    </row>
    <row r="2888" spans="1:6" x14ac:dyDescent="0.2">
      <c r="A2888" t="s">
        <v>2966</v>
      </c>
      <c r="B2888" t="s">
        <v>2967</v>
      </c>
      <c r="C2888">
        <v>14123254</v>
      </c>
      <c r="D2888" t="s">
        <v>490</v>
      </c>
      <c r="E2888" s="134">
        <v>3288.46</v>
      </c>
      <c r="F2888" t="s">
        <v>2816</v>
      </c>
    </row>
    <row r="2889" spans="1:6" x14ac:dyDescent="0.2">
      <c r="A2889" t="s">
        <v>2966</v>
      </c>
      <c r="B2889" t="s">
        <v>2967</v>
      </c>
      <c r="C2889">
        <v>14123272</v>
      </c>
      <c r="D2889" t="s">
        <v>499</v>
      </c>
      <c r="E2889" s="134">
        <v>3288.46</v>
      </c>
      <c r="F2889" t="s">
        <v>2816</v>
      </c>
    </row>
    <row r="2890" spans="1:6" x14ac:dyDescent="0.2">
      <c r="A2890" t="s">
        <v>2966</v>
      </c>
      <c r="B2890" t="s">
        <v>2967</v>
      </c>
      <c r="C2890">
        <v>14123273</v>
      </c>
      <c r="D2890" t="s">
        <v>491</v>
      </c>
      <c r="E2890" s="134">
        <v>3288.46</v>
      </c>
      <c r="F2890" t="s">
        <v>2816</v>
      </c>
    </row>
    <row r="2891" spans="1:6" x14ac:dyDescent="0.2">
      <c r="A2891" t="s">
        <v>2966</v>
      </c>
      <c r="B2891" t="s">
        <v>2967</v>
      </c>
      <c r="C2891">
        <v>14123274</v>
      </c>
      <c r="D2891" t="s">
        <v>492</v>
      </c>
      <c r="E2891" s="134">
        <v>3288.46</v>
      </c>
      <c r="F2891" t="s">
        <v>2816</v>
      </c>
    </row>
    <row r="2892" spans="1:6" x14ac:dyDescent="0.2">
      <c r="A2892" t="s">
        <v>2966</v>
      </c>
      <c r="B2892" t="s">
        <v>2967</v>
      </c>
      <c r="C2892">
        <v>14123275</v>
      </c>
      <c r="D2892" t="s">
        <v>493</v>
      </c>
      <c r="E2892" s="134">
        <v>3288.46</v>
      </c>
      <c r="F2892" t="s">
        <v>2816</v>
      </c>
    </row>
    <row r="2893" spans="1:6" x14ac:dyDescent="0.2">
      <c r="A2893" t="s">
        <v>2966</v>
      </c>
      <c r="B2893" t="s">
        <v>2967</v>
      </c>
      <c r="C2893">
        <v>14123276</v>
      </c>
      <c r="D2893" t="s">
        <v>494</v>
      </c>
      <c r="E2893" s="134">
        <v>3288.46</v>
      </c>
      <c r="F2893" t="s">
        <v>2816</v>
      </c>
    </row>
    <row r="2894" spans="1:6" x14ac:dyDescent="0.2">
      <c r="A2894" t="s">
        <v>2966</v>
      </c>
      <c r="B2894" t="s">
        <v>2967</v>
      </c>
      <c r="C2894">
        <v>14123277</v>
      </c>
      <c r="D2894" t="s">
        <v>495</v>
      </c>
      <c r="E2894" s="134">
        <v>3288.46</v>
      </c>
      <c r="F2894" t="s">
        <v>2816</v>
      </c>
    </row>
    <row r="2895" spans="1:6" x14ac:dyDescent="0.2">
      <c r="A2895" t="s">
        <v>2966</v>
      </c>
      <c r="B2895" t="s">
        <v>2967</v>
      </c>
      <c r="C2895">
        <v>14123312</v>
      </c>
      <c r="D2895" t="s">
        <v>496</v>
      </c>
      <c r="E2895" s="134">
        <v>3288.46</v>
      </c>
      <c r="F2895" t="s">
        <v>2816</v>
      </c>
    </row>
    <row r="2896" spans="1:6" x14ac:dyDescent="0.2">
      <c r="A2896" t="s">
        <v>2966</v>
      </c>
      <c r="B2896" t="s">
        <v>2967</v>
      </c>
      <c r="C2896">
        <v>14123313</v>
      </c>
      <c r="D2896" t="s">
        <v>497</v>
      </c>
      <c r="E2896" s="134">
        <v>3288.46</v>
      </c>
      <c r="F2896" t="s">
        <v>2816</v>
      </c>
    </row>
    <row r="2897" spans="1:6" x14ac:dyDescent="0.2">
      <c r="A2897" t="s">
        <v>2966</v>
      </c>
      <c r="B2897" t="s">
        <v>2967</v>
      </c>
      <c r="C2897">
        <v>14123331</v>
      </c>
      <c r="D2897" t="s">
        <v>500</v>
      </c>
      <c r="E2897" s="134">
        <v>3288.46</v>
      </c>
      <c r="F2897" t="s">
        <v>2816</v>
      </c>
    </row>
    <row r="2898" spans="1:6" x14ac:dyDescent="0.2">
      <c r="A2898" t="s">
        <v>2966</v>
      </c>
      <c r="B2898" t="s">
        <v>2967</v>
      </c>
      <c r="C2898">
        <v>14123334</v>
      </c>
      <c r="D2898" t="s">
        <v>502</v>
      </c>
      <c r="E2898" s="134">
        <v>3288.46</v>
      </c>
      <c r="F2898" t="s">
        <v>2816</v>
      </c>
    </row>
    <row r="2899" spans="1:6" x14ac:dyDescent="0.2">
      <c r="A2899" t="s">
        <v>2966</v>
      </c>
      <c r="B2899" t="s">
        <v>2967</v>
      </c>
      <c r="C2899">
        <v>14123336</v>
      </c>
      <c r="D2899" t="s">
        <v>503</v>
      </c>
      <c r="E2899" s="134">
        <v>3288.46</v>
      </c>
      <c r="F2899" t="s">
        <v>2816</v>
      </c>
    </row>
    <row r="2900" spans="1:6" x14ac:dyDescent="0.2">
      <c r="A2900" t="s">
        <v>2966</v>
      </c>
      <c r="B2900" t="s">
        <v>2967</v>
      </c>
      <c r="C2900">
        <v>14123375</v>
      </c>
      <c r="D2900" t="s">
        <v>504</v>
      </c>
      <c r="E2900" s="134">
        <v>3288.46</v>
      </c>
      <c r="F2900" t="s">
        <v>2816</v>
      </c>
    </row>
    <row r="2901" spans="1:6" x14ac:dyDescent="0.2">
      <c r="A2901" t="s">
        <v>2966</v>
      </c>
      <c r="B2901" t="s">
        <v>2967</v>
      </c>
      <c r="C2901">
        <v>14123377</v>
      </c>
      <c r="D2901" t="s">
        <v>505</v>
      </c>
      <c r="E2901" s="134">
        <v>3288.46</v>
      </c>
      <c r="F2901" t="s">
        <v>2816</v>
      </c>
    </row>
    <row r="2902" spans="1:6" x14ac:dyDescent="0.2">
      <c r="A2902" t="s">
        <v>2966</v>
      </c>
      <c r="B2902" t="s">
        <v>2967</v>
      </c>
      <c r="C2902">
        <v>14123445</v>
      </c>
      <c r="D2902" t="s">
        <v>506</v>
      </c>
      <c r="E2902" s="134">
        <v>3288.46</v>
      </c>
      <c r="F2902" t="s">
        <v>2816</v>
      </c>
    </row>
    <row r="2903" spans="1:6" x14ac:dyDescent="0.2">
      <c r="A2903" t="s">
        <v>2966</v>
      </c>
      <c r="B2903" t="s">
        <v>2967</v>
      </c>
      <c r="C2903">
        <v>14123446</v>
      </c>
      <c r="D2903" t="s">
        <v>507</v>
      </c>
      <c r="E2903" s="134">
        <v>3288.46</v>
      </c>
      <c r="F2903" t="s">
        <v>2816</v>
      </c>
    </row>
    <row r="2904" spans="1:6" x14ac:dyDescent="0.2">
      <c r="A2904" t="s">
        <v>2966</v>
      </c>
      <c r="B2904" t="s">
        <v>2967</v>
      </c>
      <c r="C2904">
        <v>14123447</v>
      </c>
      <c r="D2904" t="s">
        <v>508</v>
      </c>
      <c r="E2904" s="134">
        <v>3288.46</v>
      </c>
      <c r="F2904" t="s">
        <v>2816</v>
      </c>
    </row>
    <row r="2905" spans="1:6" x14ac:dyDescent="0.2">
      <c r="A2905" t="s">
        <v>2966</v>
      </c>
      <c r="B2905" t="s">
        <v>2967</v>
      </c>
      <c r="C2905">
        <v>14123459</v>
      </c>
      <c r="D2905" t="s">
        <v>509</v>
      </c>
      <c r="E2905" s="134">
        <v>3288.46</v>
      </c>
      <c r="F2905" t="s">
        <v>2816</v>
      </c>
    </row>
    <row r="2906" spans="1:6" x14ac:dyDescent="0.2">
      <c r="A2906" t="s">
        <v>2966</v>
      </c>
      <c r="B2906" t="s">
        <v>2967</v>
      </c>
      <c r="C2906">
        <v>14123460</v>
      </c>
      <c r="D2906" t="s">
        <v>510</v>
      </c>
      <c r="E2906" s="134">
        <v>3288.46</v>
      </c>
      <c r="F2906" t="s">
        <v>2816</v>
      </c>
    </row>
    <row r="2907" spans="1:6" x14ac:dyDescent="0.2">
      <c r="A2907" t="s">
        <v>2966</v>
      </c>
      <c r="B2907" t="s">
        <v>2967</v>
      </c>
      <c r="C2907">
        <v>14123461</v>
      </c>
      <c r="D2907" t="s">
        <v>511</v>
      </c>
      <c r="E2907" s="134">
        <v>3288.46</v>
      </c>
      <c r="F2907" t="s">
        <v>2816</v>
      </c>
    </row>
    <row r="2908" spans="1:6" x14ac:dyDescent="0.2">
      <c r="A2908" t="s">
        <v>2966</v>
      </c>
      <c r="B2908" t="s">
        <v>2967</v>
      </c>
      <c r="C2908">
        <v>14123462</v>
      </c>
      <c r="D2908" t="s">
        <v>517</v>
      </c>
      <c r="E2908" s="134">
        <v>3288.46</v>
      </c>
      <c r="F2908" t="s">
        <v>2816</v>
      </c>
    </row>
    <row r="2909" spans="1:6" x14ac:dyDescent="0.2">
      <c r="A2909" t="s">
        <v>2966</v>
      </c>
      <c r="B2909" t="s">
        <v>2967</v>
      </c>
      <c r="C2909">
        <v>14123463</v>
      </c>
      <c r="D2909" t="s">
        <v>512</v>
      </c>
      <c r="E2909" s="134">
        <v>3288.46</v>
      </c>
      <c r="F2909" t="s">
        <v>2816</v>
      </c>
    </row>
    <row r="2910" spans="1:6" x14ac:dyDescent="0.2">
      <c r="A2910" t="s">
        <v>2966</v>
      </c>
      <c r="B2910" t="s">
        <v>2967</v>
      </c>
      <c r="C2910">
        <v>14123471</v>
      </c>
      <c r="D2910" t="s">
        <v>513</v>
      </c>
      <c r="E2910" s="134">
        <v>3288.46</v>
      </c>
      <c r="F2910" t="s">
        <v>2816</v>
      </c>
    </row>
    <row r="2911" spans="1:6" x14ac:dyDescent="0.2">
      <c r="A2911" t="s">
        <v>2966</v>
      </c>
      <c r="B2911" t="s">
        <v>2967</v>
      </c>
      <c r="C2911">
        <v>14123473</v>
      </c>
      <c r="D2911" t="s">
        <v>514</v>
      </c>
      <c r="E2911" s="134">
        <v>3288.46</v>
      </c>
      <c r="F2911" t="s">
        <v>2816</v>
      </c>
    </row>
    <row r="2912" spans="1:6" x14ac:dyDescent="0.2">
      <c r="A2912" t="s">
        <v>2966</v>
      </c>
      <c r="B2912" t="s">
        <v>2967</v>
      </c>
      <c r="C2912">
        <v>14123488</v>
      </c>
      <c r="D2912" t="s">
        <v>515</v>
      </c>
      <c r="E2912" s="134">
        <v>3288.46</v>
      </c>
      <c r="F2912" t="s">
        <v>2816</v>
      </c>
    </row>
    <row r="2913" spans="1:6" x14ac:dyDescent="0.2">
      <c r="A2913" t="s">
        <v>2966</v>
      </c>
      <c r="B2913" t="s">
        <v>2967</v>
      </c>
      <c r="C2913">
        <v>14123489</v>
      </c>
      <c r="D2913" t="s">
        <v>516</v>
      </c>
      <c r="E2913" s="134">
        <v>3288.46</v>
      </c>
      <c r="F2913" t="s">
        <v>2816</v>
      </c>
    </row>
    <row r="2914" spans="1:6" x14ac:dyDescent="0.2">
      <c r="A2914" t="s">
        <v>2966</v>
      </c>
      <c r="B2914" t="s">
        <v>2967</v>
      </c>
      <c r="C2914">
        <v>14123514</v>
      </c>
      <c r="D2914" t="s">
        <v>519</v>
      </c>
      <c r="E2914" s="134">
        <v>3288.46</v>
      </c>
      <c r="F2914" t="s">
        <v>2816</v>
      </c>
    </row>
    <row r="2915" spans="1:6" x14ac:dyDescent="0.2">
      <c r="A2915" t="s">
        <v>2966</v>
      </c>
      <c r="B2915" t="s">
        <v>2967</v>
      </c>
      <c r="C2915">
        <v>14123516</v>
      </c>
      <c r="D2915" t="s">
        <v>520</v>
      </c>
      <c r="E2915" s="134">
        <v>3288.46</v>
      </c>
      <c r="F2915" t="s">
        <v>2816</v>
      </c>
    </row>
    <row r="2916" spans="1:6" x14ac:dyDescent="0.2">
      <c r="A2916" t="s">
        <v>2966</v>
      </c>
      <c r="B2916" t="s">
        <v>2967</v>
      </c>
      <c r="C2916">
        <v>14123519</v>
      </c>
      <c r="D2916" t="s">
        <v>521</v>
      </c>
      <c r="E2916" s="134">
        <v>3288.46</v>
      </c>
      <c r="F2916" t="s">
        <v>2816</v>
      </c>
    </row>
    <row r="2917" spans="1:6" x14ac:dyDescent="0.2">
      <c r="A2917" t="s">
        <v>2966</v>
      </c>
      <c r="B2917" t="s">
        <v>2967</v>
      </c>
      <c r="C2917">
        <v>14123522</v>
      </c>
      <c r="D2917" t="s">
        <v>522</v>
      </c>
      <c r="E2917" s="134">
        <v>3288.46</v>
      </c>
      <c r="F2917" t="s">
        <v>2816</v>
      </c>
    </row>
    <row r="2918" spans="1:6" x14ac:dyDescent="0.2">
      <c r="A2918" t="s">
        <v>2966</v>
      </c>
      <c r="B2918" t="s">
        <v>2967</v>
      </c>
      <c r="C2918">
        <v>14123523</v>
      </c>
      <c r="D2918" t="s">
        <v>523</v>
      </c>
      <c r="E2918" s="134">
        <v>3288.46</v>
      </c>
      <c r="F2918" t="s">
        <v>2816</v>
      </c>
    </row>
    <row r="2919" spans="1:6" x14ac:dyDescent="0.2">
      <c r="A2919" t="s">
        <v>2966</v>
      </c>
      <c r="B2919" t="s">
        <v>2967</v>
      </c>
      <c r="C2919">
        <v>14123526</v>
      </c>
      <c r="D2919" t="s">
        <v>524</v>
      </c>
      <c r="E2919" s="134">
        <v>3288.46</v>
      </c>
      <c r="F2919" t="s">
        <v>2816</v>
      </c>
    </row>
    <row r="2920" spans="1:6" x14ac:dyDescent="0.2">
      <c r="A2920" t="s">
        <v>2966</v>
      </c>
      <c r="B2920" t="s">
        <v>2967</v>
      </c>
      <c r="C2920">
        <v>14123527</v>
      </c>
      <c r="D2920" t="s">
        <v>525</v>
      </c>
      <c r="E2920" s="134">
        <v>3288.46</v>
      </c>
      <c r="F2920" t="s">
        <v>2816</v>
      </c>
    </row>
    <row r="2921" spans="1:6" x14ac:dyDescent="0.2">
      <c r="A2921" t="s">
        <v>2966</v>
      </c>
      <c r="B2921" t="s">
        <v>2967</v>
      </c>
      <c r="C2921">
        <v>14123528</v>
      </c>
      <c r="D2921" t="s">
        <v>526</v>
      </c>
      <c r="E2921" s="134">
        <v>3288.46</v>
      </c>
      <c r="F2921" t="s">
        <v>2816</v>
      </c>
    </row>
    <row r="2922" spans="1:6" x14ac:dyDescent="0.2">
      <c r="A2922" t="s">
        <v>2966</v>
      </c>
      <c r="B2922" t="s">
        <v>2967</v>
      </c>
      <c r="C2922">
        <v>14123530</v>
      </c>
      <c r="D2922" t="s">
        <v>527</v>
      </c>
      <c r="E2922" s="134">
        <v>3288.46</v>
      </c>
      <c r="F2922" t="s">
        <v>2816</v>
      </c>
    </row>
    <row r="2923" spans="1:6" x14ac:dyDescent="0.2">
      <c r="A2923" t="s">
        <v>2966</v>
      </c>
      <c r="B2923" t="s">
        <v>2967</v>
      </c>
      <c r="C2923">
        <v>14123536</v>
      </c>
      <c r="D2923" t="s">
        <v>528</v>
      </c>
      <c r="E2923" s="134">
        <v>3288.46</v>
      </c>
      <c r="F2923" t="s">
        <v>2816</v>
      </c>
    </row>
    <row r="2924" spans="1:6" x14ac:dyDescent="0.2">
      <c r="A2924" t="s">
        <v>2966</v>
      </c>
      <c r="B2924" t="s">
        <v>2967</v>
      </c>
      <c r="C2924">
        <v>14123541</v>
      </c>
      <c r="D2924" t="s">
        <v>529</v>
      </c>
      <c r="E2924" s="134">
        <v>3288.46</v>
      </c>
      <c r="F2924" t="s">
        <v>2816</v>
      </c>
    </row>
    <row r="2925" spans="1:6" x14ac:dyDescent="0.2">
      <c r="A2925" t="s">
        <v>2966</v>
      </c>
      <c r="B2925" t="s">
        <v>2967</v>
      </c>
      <c r="C2925">
        <v>14123557</v>
      </c>
      <c r="D2925" t="s">
        <v>530</v>
      </c>
      <c r="E2925" s="134">
        <v>3288.46</v>
      </c>
      <c r="F2925" t="s">
        <v>2816</v>
      </c>
    </row>
    <row r="2926" spans="1:6" x14ac:dyDescent="0.2">
      <c r="A2926" t="s">
        <v>2966</v>
      </c>
      <c r="B2926" t="s">
        <v>2967</v>
      </c>
      <c r="C2926">
        <v>14123559</v>
      </c>
      <c r="D2926" t="s">
        <v>531</v>
      </c>
      <c r="E2926" s="134">
        <v>3288.46</v>
      </c>
      <c r="F2926" t="s">
        <v>2816</v>
      </c>
    </row>
    <row r="2927" spans="1:6" x14ac:dyDescent="0.2">
      <c r="A2927" t="s">
        <v>2966</v>
      </c>
      <c r="B2927" t="s">
        <v>2967</v>
      </c>
      <c r="C2927">
        <v>14123562</v>
      </c>
      <c r="D2927" t="s">
        <v>532</v>
      </c>
      <c r="E2927" s="134">
        <v>3288.46</v>
      </c>
      <c r="F2927" t="s">
        <v>2816</v>
      </c>
    </row>
    <row r="2928" spans="1:6" x14ac:dyDescent="0.2">
      <c r="A2928" t="s">
        <v>2966</v>
      </c>
      <c r="B2928" t="s">
        <v>2967</v>
      </c>
      <c r="C2928">
        <v>14123568</v>
      </c>
      <c r="D2928" t="s">
        <v>533</v>
      </c>
      <c r="E2928" s="134">
        <v>3288.46</v>
      </c>
      <c r="F2928" t="s">
        <v>2816</v>
      </c>
    </row>
    <row r="2929" spans="1:6" x14ac:dyDescent="0.2">
      <c r="A2929" t="s">
        <v>2966</v>
      </c>
      <c r="B2929" t="s">
        <v>2967</v>
      </c>
      <c r="C2929">
        <v>14123569</v>
      </c>
      <c r="D2929" t="s">
        <v>534</v>
      </c>
      <c r="E2929" s="134">
        <v>3288.46</v>
      </c>
      <c r="F2929" t="s">
        <v>2816</v>
      </c>
    </row>
    <row r="2930" spans="1:6" x14ac:dyDescent="0.2">
      <c r="A2930" t="s">
        <v>2966</v>
      </c>
      <c r="B2930" t="s">
        <v>2967</v>
      </c>
      <c r="C2930">
        <v>14123570</v>
      </c>
      <c r="D2930" t="s">
        <v>535</v>
      </c>
      <c r="E2930" s="134">
        <v>3288.46</v>
      </c>
      <c r="F2930" t="s">
        <v>2816</v>
      </c>
    </row>
    <row r="2931" spans="1:6" x14ac:dyDescent="0.2">
      <c r="A2931" t="s">
        <v>2966</v>
      </c>
      <c r="B2931" t="s">
        <v>2967</v>
      </c>
      <c r="C2931">
        <v>14123571</v>
      </c>
      <c r="D2931" t="s">
        <v>536</v>
      </c>
      <c r="E2931" s="134">
        <v>3288.46</v>
      </c>
      <c r="F2931" t="s">
        <v>2816</v>
      </c>
    </row>
    <row r="2932" spans="1:6" x14ac:dyDescent="0.2">
      <c r="A2932" t="s">
        <v>2966</v>
      </c>
      <c r="B2932" t="s">
        <v>2967</v>
      </c>
      <c r="C2932">
        <v>14123572</v>
      </c>
      <c r="D2932" t="s">
        <v>537</v>
      </c>
      <c r="E2932" s="134">
        <v>3288.46</v>
      </c>
      <c r="F2932" t="s">
        <v>2816</v>
      </c>
    </row>
    <row r="2933" spans="1:6" x14ac:dyDescent="0.2">
      <c r="A2933" t="s">
        <v>2966</v>
      </c>
      <c r="B2933" t="s">
        <v>2967</v>
      </c>
      <c r="C2933">
        <v>14123573</v>
      </c>
      <c r="D2933" t="s">
        <v>538</v>
      </c>
      <c r="E2933" s="134">
        <v>3288.46</v>
      </c>
      <c r="F2933" t="s">
        <v>2816</v>
      </c>
    </row>
    <row r="2934" spans="1:6" x14ac:dyDescent="0.2">
      <c r="A2934" t="s">
        <v>2966</v>
      </c>
      <c r="B2934" t="s">
        <v>2967</v>
      </c>
      <c r="C2934">
        <v>14123591</v>
      </c>
      <c r="D2934" t="s">
        <v>539</v>
      </c>
      <c r="E2934" s="134">
        <v>3288.46</v>
      </c>
      <c r="F2934" t="s">
        <v>2816</v>
      </c>
    </row>
    <row r="2935" spans="1:6" x14ac:dyDescent="0.2">
      <c r="A2935" t="s">
        <v>2966</v>
      </c>
      <c r="B2935" t="s">
        <v>2967</v>
      </c>
      <c r="C2935">
        <v>14123599</v>
      </c>
      <c r="D2935" t="s">
        <v>540</v>
      </c>
      <c r="E2935" s="134">
        <v>3288.46</v>
      </c>
      <c r="F2935" t="s">
        <v>2816</v>
      </c>
    </row>
    <row r="2936" spans="1:6" x14ac:dyDescent="0.2">
      <c r="A2936" t="s">
        <v>2966</v>
      </c>
      <c r="B2936" t="s">
        <v>2967</v>
      </c>
      <c r="C2936">
        <v>14123629</v>
      </c>
      <c r="D2936" t="s">
        <v>541</v>
      </c>
      <c r="E2936" s="134">
        <v>3288.46</v>
      </c>
      <c r="F2936" t="s">
        <v>2816</v>
      </c>
    </row>
    <row r="2937" spans="1:6" x14ac:dyDescent="0.2">
      <c r="A2937" t="s">
        <v>2966</v>
      </c>
      <c r="B2937" t="s">
        <v>2967</v>
      </c>
      <c r="C2937">
        <v>14123634</v>
      </c>
      <c r="D2937" t="s">
        <v>897</v>
      </c>
      <c r="E2937" s="134">
        <v>3288.46</v>
      </c>
      <c r="F2937" t="s">
        <v>2816</v>
      </c>
    </row>
    <row r="2938" spans="1:6" x14ac:dyDescent="0.2">
      <c r="A2938" t="s">
        <v>2966</v>
      </c>
      <c r="B2938" t="s">
        <v>2967</v>
      </c>
      <c r="C2938">
        <v>14123635</v>
      </c>
      <c r="D2938" t="s">
        <v>899</v>
      </c>
      <c r="E2938" s="134">
        <v>3288.46</v>
      </c>
      <c r="F2938" t="s">
        <v>2816</v>
      </c>
    </row>
    <row r="2939" spans="1:6" x14ac:dyDescent="0.2">
      <c r="A2939" t="s">
        <v>2966</v>
      </c>
      <c r="B2939" t="s">
        <v>2967</v>
      </c>
      <c r="C2939">
        <v>14123640</v>
      </c>
      <c r="D2939" t="s">
        <v>900</v>
      </c>
      <c r="E2939" s="134">
        <v>3288.46</v>
      </c>
      <c r="F2939" t="s">
        <v>2816</v>
      </c>
    </row>
    <row r="2940" spans="1:6" x14ac:dyDescent="0.2">
      <c r="A2940" t="s">
        <v>2966</v>
      </c>
      <c r="B2940" t="s">
        <v>2967</v>
      </c>
      <c r="C2940">
        <v>14123642</v>
      </c>
      <c r="D2940" t="s">
        <v>901</v>
      </c>
      <c r="E2940" s="134">
        <v>3288.46</v>
      </c>
      <c r="F2940" t="s">
        <v>2816</v>
      </c>
    </row>
    <row r="2941" spans="1:6" x14ac:dyDescent="0.2">
      <c r="A2941" t="s">
        <v>2966</v>
      </c>
      <c r="B2941" t="s">
        <v>2967</v>
      </c>
      <c r="C2941">
        <v>14123649</v>
      </c>
      <c r="D2941" t="s">
        <v>902</v>
      </c>
      <c r="E2941" s="134">
        <v>3288.46</v>
      </c>
      <c r="F2941" t="s">
        <v>2816</v>
      </c>
    </row>
    <row r="2942" spans="1:6" x14ac:dyDescent="0.2">
      <c r="A2942" t="s">
        <v>2966</v>
      </c>
      <c r="B2942" t="s">
        <v>2967</v>
      </c>
      <c r="C2942">
        <v>14123651</v>
      </c>
      <c r="D2942" t="s">
        <v>904</v>
      </c>
      <c r="E2942" s="134">
        <v>3288.46</v>
      </c>
      <c r="F2942" t="s">
        <v>2816</v>
      </c>
    </row>
    <row r="2943" spans="1:6" x14ac:dyDescent="0.2">
      <c r="A2943" t="s">
        <v>2966</v>
      </c>
      <c r="B2943" t="s">
        <v>2967</v>
      </c>
      <c r="C2943">
        <v>14123652</v>
      </c>
      <c r="D2943" t="s">
        <v>905</v>
      </c>
      <c r="E2943" s="134">
        <v>3288.46</v>
      </c>
      <c r="F2943" t="s">
        <v>2816</v>
      </c>
    </row>
    <row r="2944" spans="1:6" x14ac:dyDescent="0.2">
      <c r="A2944" t="s">
        <v>2966</v>
      </c>
      <c r="B2944" t="s">
        <v>2967</v>
      </c>
      <c r="C2944">
        <v>14123654</v>
      </c>
      <c r="D2944" t="s">
        <v>934</v>
      </c>
      <c r="E2944" s="134">
        <v>3288.46</v>
      </c>
      <c r="F2944" t="s">
        <v>2816</v>
      </c>
    </row>
    <row r="2945" spans="1:6" x14ac:dyDescent="0.2">
      <c r="A2945" t="s">
        <v>2966</v>
      </c>
      <c r="B2945" t="s">
        <v>2967</v>
      </c>
      <c r="C2945">
        <v>14123655</v>
      </c>
      <c r="D2945" t="s">
        <v>935</v>
      </c>
      <c r="E2945" s="134">
        <v>3288.46</v>
      </c>
      <c r="F2945" t="s">
        <v>2816</v>
      </c>
    </row>
    <row r="2946" spans="1:6" x14ac:dyDescent="0.2">
      <c r="A2946" t="s">
        <v>2966</v>
      </c>
      <c r="B2946" t="s">
        <v>2967</v>
      </c>
      <c r="C2946">
        <v>14123656</v>
      </c>
      <c r="D2946" t="s">
        <v>936</v>
      </c>
      <c r="E2946" s="134">
        <v>3288.46</v>
      </c>
      <c r="F2946" t="s">
        <v>2816</v>
      </c>
    </row>
    <row r="2947" spans="1:6" x14ac:dyDescent="0.2">
      <c r="A2947" t="s">
        <v>2966</v>
      </c>
      <c r="B2947" t="s">
        <v>2967</v>
      </c>
      <c r="C2947">
        <v>14123657</v>
      </c>
      <c r="D2947" t="s">
        <v>937</v>
      </c>
      <c r="E2947" s="134">
        <v>3288.46</v>
      </c>
      <c r="F2947" t="s">
        <v>2816</v>
      </c>
    </row>
    <row r="2948" spans="1:6" x14ac:dyDescent="0.2">
      <c r="A2948" t="s">
        <v>2966</v>
      </c>
      <c r="B2948" t="s">
        <v>2967</v>
      </c>
      <c r="C2948">
        <v>14123696</v>
      </c>
      <c r="D2948" t="s">
        <v>938</v>
      </c>
      <c r="E2948" s="134">
        <v>3288.46</v>
      </c>
      <c r="F2948" t="s">
        <v>2816</v>
      </c>
    </row>
    <row r="2949" spans="1:6" x14ac:dyDescent="0.2">
      <c r="A2949" t="s">
        <v>2966</v>
      </c>
      <c r="B2949" t="s">
        <v>2967</v>
      </c>
      <c r="C2949">
        <v>14123702</v>
      </c>
      <c r="D2949" t="s">
        <v>940</v>
      </c>
      <c r="E2949" s="134">
        <v>3288.46</v>
      </c>
      <c r="F2949" t="s">
        <v>2816</v>
      </c>
    </row>
    <row r="2950" spans="1:6" x14ac:dyDescent="0.2">
      <c r="A2950" t="s">
        <v>2966</v>
      </c>
      <c r="B2950" t="s">
        <v>2967</v>
      </c>
      <c r="C2950">
        <v>14123704</v>
      </c>
      <c r="D2950" t="s">
        <v>942</v>
      </c>
      <c r="E2950" s="134">
        <v>3288.46</v>
      </c>
      <c r="F2950" t="s">
        <v>2816</v>
      </c>
    </row>
    <row r="2951" spans="1:6" x14ac:dyDescent="0.2">
      <c r="A2951" t="s">
        <v>2966</v>
      </c>
      <c r="B2951" t="s">
        <v>2967</v>
      </c>
      <c r="C2951">
        <v>14123708</v>
      </c>
      <c r="D2951" t="s">
        <v>945</v>
      </c>
      <c r="E2951" s="134">
        <v>3288.46</v>
      </c>
      <c r="F2951" t="s">
        <v>2816</v>
      </c>
    </row>
    <row r="2952" spans="1:6" x14ac:dyDescent="0.2">
      <c r="A2952" t="s">
        <v>2966</v>
      </c>
      <c r="B2952" t="s">
        <v>2967</v>
      </c>
      <c r="C2952">
        <v>14123709</v>
      </c>
      <c r="D2952" t="s">
        <v>946</v>
      </c>
      <c r="E2952" s="134">
        <v>3288.46</v>
      </c>
      <c r="F2952" t="s">
        <v>2816</v>
      </c>
    </row>
    <row r="2953" spans="1:6" x14ac:dyDescent="0.2">
      <c r="A2953" t="s">
        <v>2966</v>
      </c>
      <c r="B2953" t="s">
        <v>2967</v>
      </c>
      <c r="C2953">
        <v>14123719</v>
      </c>
      <c r="D2953" t="s">
        <v>953</v>
      </c>
      <c r="E2953" s="134">
        <v>3288.46</v>
      </c>
      <c r="F2953" t="s">
        <v>2816</v>
      </c>
    </row>
    <row r="2954" spans="1:6" x14ac:dyDescent="0.2">
      <c r="A2954" t="s">
        <v>2966</v>
      </c>
      <c r="B2954" t="s">
        <v>2967</v>
      </c>
      <c r="C2954">
        <v>14123720</v>
      </c>
      <c r="D2954" t="s">
        <v>955</v>
      </c>
      <c r="E2954" s="134">
        <v>3288.46</v>
      </c>
      <c r="F2954" t="s">
        <v>2816</v>
      </c>
    </row>
    <row r="2955" spans="1:6" x14ac:dyDescent="0.2">
      <c r="A2955" t="s">
        <v>2966</v>
      </c>
      <c r="B2955" t="s">
        <v>2967</v>
      </c>
      <c r="C2955">
        <v>14123725</v>
      </c>
      <c r="D2955" t="s">
        <v>956</v>
      </c>
      <c r="E2955" s="134">
        <v>3288.46</v>
      </c>
      <c r="F2955" t="s">
        <v>2816</v>
      </c>
    </row>
    <row r="2956" spans="1:6" x14ac:dyDescent="0.2">
      <c r="A2956" t="s">
        <v>2966</v>
      </c>
      <c r="B2956" t="s">
        <v>2967</v>
      </c>
      <c r="C2956">
        <v>14123754</v>
      </c>
      <c r="D2956" t="s">
        <v>957</v>
      </c>
      <c r="E2956" s="134">
        <v>3288.46</v>
      </c>
      <c r="F2956" t="s">
        <v>2816</v>
      </c>
    </row>
    <row r="2957" spans="1:6" x14ac:dyDescent="0.2">
      <c r="A2957" t="s">
        <v>2966</v>
      </c>
      <c r="B2957" t="s">
        <v>2967</v>
      </c>
      <c r="C2957">
        <v>14123770</v>
      </c>
      <c r="D2957" t="s">
        <v>959</v>
      </c>
      <c r="E2957" s="134">
        <v>3288.46</v>
      </c>
      <c r="F2957" t="s">
        <v>2816</v>
      </c>
    </row>
    <row r="2958" spans="1:6" x14ac:dyDescent="0.2">
      <c r="A2958" t="s">
        <v>2966</v>
      </c>
      <c r="B2958" t="s">
        <v>2967</v>
      </c>
      <c r="C2958">
        <v>14123771</v>
      </c>
      <c r="D2958" t="s">
        <v>960</v>
      </c>
      <c r="E2958" s="134">
        <v>3288.46</v>
      </c>
      <c r="F2958" t="s">
        <v>2816</v>
      </c>
    </row>
    <row r="2959" spans="1:6" x14ac:dyDescent="0.2">
      <c r="A2959" t="s">
        <v>2966</v>
      </c>
      <c r="B2959" t="s">
        <v>2967</v>
      </c>
      <c r="C2959">
        <v>14123786</v>
      </c>
      <c r="D2959" t="s">
        <v>961</v>
      </c>
      <c r="E2959" s="134">
        <v>3288.46</v>
      </c>
      <c r="F2959" t="s">
        <v>2816</v>
      </c>
    </row>
    <row r="2960" spans="1:6" x14ac:dyDescent="0.2">
      <c r="A2960" t="s">
        <v>2966</v>
      </c>
      <c r="B2960" t="s">
        <v>2967</v>
      </c>
      <c r="C2960">
        <v>14123787</v>
      </c>
      <c r="D2960" t="s">
        <v>963</v>
      </c>
      <c r="E2960" s="134">
        <v>3288.46</v>
      </c>
      <c r="F2960" t="s">
        <v>2816</v>
      </c>
    </row>
    <row r="2961" spans="1:6" x14ac:dyDescent="0.2">
      <c r="A2961" t="s">
        <v>2966</v>
      </c>
      <c r="B2961" t="s">
        <v>2967</v>
      </c>
      <c r="C2961">
        <v>14123789</v>
      </c>
      <c r="D2961" t="s">
        <v>964</v>
      </c>
      <c r="E2961" s="134">
        <v>3288.46</v>
      </c>
      <c r="F2961" t="s">
        <v>2816</v>
      </c>
    </row>
    <row r="2962" spans="1:6" x14ac:dyDescent="0.2">
      <c r="A2962" t="s">
        <v>2966</v>
      </c>
      <c r="B2962" t="s">
        <v>2967</v>
      </c>
      <c r="C2962">
        <v>14123808</v>
      </c>
      <c r="D2962" t="s">
        <v>965</v>
      </c>
      <c r="E2962" s="134">
        <v>3288.46</v>
      </c>
      <c r="F2962" t="s">
        <v>2816</v>
      </c>
    </row>
    <row r="2963" spans="1:6" x14ac:dyDescent="0.2">
      <c r="A2963" t="s">
        <v>2966</v>
      </c>
      <c r="B2963" t="s">
        <v>2967</v>
      </c>
      <c r="C2963">
        <v>14123819</v>
      </c>
      <c r="D2963" t="s">
        <v>967</v>
      </c>
      <c r="E2963" s="134">
        <v>3288.46</v>
      </c>
      <c r="F2963" t="s">
        <v>2816</v>
      </c>
    </row>
    <row r="2964" spans="1:6" x14ac:dyDescent="0.2">
      <c r="A2964" t="s">
        <v>2966</v>
      </c>
      <c r="B2964" t="s">
        <v>2967</v>
      </c>
      <c r="C2964">
        <v>14123843</v>
      </c>
      <c r="D2964" t="s">
        <v>970</v>
      </c>
      <c r="E2964" s="134">
        <v>3288.46</v>
      </c>
      <c r="F2964" t="s">
        <v>2816</v>
      </c>
    </row>
    <row r="2965" spans="1:6" x14ac:dyDescent="0.2">
      <c r="A2965" t="s">
        <v>2966</v>
      </c>
      <c r="B2965" t="s">
        <v>2967</v>
      </c>
      <c r="C2965">
        <v>14123845</v>
      </c>
      <c r="D2965" t="s">
        <v>973</v>
      </c>
      <c r="E2965" s="134">
        <v>3288.46</v>
      </c>
      <c r="F2965" t="s">
        <v>2816</v>
      </c>
    </row>
    <row r="2966" spans="1:6" x14ac:dyDescent="0.2">
      <c r="A2966" t="s">
        <v>2966</v>
      </c>
      <c r="B2966" t="s">
        <v>2967</v>
      </c>
      <c r="C2966">
        <v>14123846</v>
      </c>
      <c r="D2966" t="s">
        <v>974</v>
      </c>
      <c r="E2966" s="134">
        <v>3288.46</v>
      </c>
      <c r="F2966" t="s">
        <v>2816</v>
      </c>
    </row>
    <row r="2967" spans="1:6" x14ac:dyDescent="0.2">
      <c r="A2967" t="s">
        <v>2966</v>
      </c>
      <c r="B2967" t="s">
        <v>2967</v>
      </c>
      <c r="C2967">
        <v>14123855</v>
      </c>
      <c r="D2967" t="s">
        <v>975</v>
      </c>
      <c r="E2967" s="134">
        <v>3288.46</v>
      </c>
      <c r="F2967" t="s">
        <v>2816</v>
      </c>
    </row>
    <row r="2968" spans="1:6" x14ac:dyDescent="0.2">
      <c r="A2968" t="s">
        <v>2966</v>
      </c>
      <c r="B2968" t="s">
        <v>2967</v>
      </c>
      <c r="C2968">
        <v>14123884</v>
      </c>
      <c r="D2968" t="s">
        <v>976</v>
      </c>
      <c r="E2968" s="134">
        <v>3288.46</v>
      </c>
      <c r="F2968" t="s">
        <v>2816</v>
      </c>
    </row>
    <row r="2969" spans="1:6" x14ac:dyDescent="0.2">
      <c r="A2969" t="s">
        <v>2966</v>
      </c>
      <c r="B2969" t="s">
        <v>2967</v>
      </c>
      <c r="C2969">
        <v>14123885</v>
      </c>
      <c r="D2969" t="s">
        <v>978</v>
      </c>
      <c r="E2969" s="134">
        <v>3288.46</v>
      </c>
      <c r="F2969" t="s">
        <v>2816</v>
      </c>
    </row>
    <row r="2970" spans="1:6" x14ac:dyDescent="0.2">
      <c r="A2970" t="s">
        <v>2966</v>
      </c>
      <c r="B2970" t="s">
        <v>2967</v>
      </c>
      <c r="C2970">
        <v>14123893</v>
      </c>
      <c r="D2970" t="s">
        <v>979</v>
      </c>
      <c r="E2970" s="134">
        <v>3288.46</v>
      </c>
      <c r="F2970" t="s">
        <v>2816</v>
      </c>
    </row>
    <row r="2971" spans="1:6" x14ac:dyDescent="0.2">
      <c r="A2971" t="s">
        <v>2966</v>
      </c>
      <c r="B2971" t="s">
        <v>2967</v>
      </c>
      <c r="C2971">
        <v>14123894</v>
      </c>
      <c r="D2971" t="s">
        <v>981</v>
      </c>
      <c r="E2971" s="134">
        <v>3288.46</v>
      </c>
      <c r="F2971" t="s">
        <v>2816</v>
      </c>
    </row>
    <row r="2972" spans="1:6" x14ac:dyDescent="0.2">
      <c r="A2972" t="s">
        <v>2966</v>
      </c>
      <c r="B2972" t="s">
        <v>2967</v>
      </c>
      <c r="C2972">
        <v>14123917</v>
      </c>
      <c r="D2972" t="s">
        <v>989</v>
      </c>
      <c r="E2972" s="134">
        <v>3288.46</v>
      </c>
      <c r="F2972" t="s">
        <v>2816</v>
      </c>
    </row>
    <row r="2973" spans="1:6" x14ac:dyDescent="0.2">
      <c r="A2973" t="s">
        <v>2966</v>
      </c>
      <c r="B2973" t="s">
        <v>2967</v>
      </c>
      <c r="C2973">
        <v>14123918</v>
      </c>
      <c r="D2973" t="s">
        <v>991</v>
      </c>
      <c r="E2973" s="134">
        <v>3288.46</v>
      </c>
      <c r="F2973" t="s">
        <v>2816</v>
      </c>
    </row>
    <row r="2974" spans="1:6" x14ac:dyDescent="0.2">
      <c r="A2974" t="s">
        <v>2966</v>
      </c>
      <c r="B2974" t="s">
        <v>2967</v>
      </c>
      <c r="C2974">
        <v>14123919</v>
      </c>
      <c r="D2974" t="s">
        <v>992</v>
      </c>
      <c r="E2974" s="134">
        <v>3288.46</v>
      </c>
      <c r="F2974" t="s">
        <v>2816</v>
      </c>
    </row>
    <row r="2975" spans="1:6" x14ac:dyDescent="0.2">
      <c r="A2975" t="s">
        <v>2966</v>
      </c>
      <c r="B2975" t="s">
        <v>2967</v>
      </c>
      <c r="C2975">
        <v>14123920</v>
      </c>
      <c r="D2975" t="s">
        <v>993</v>
      </c>
      <c r="E2975" s="134">
        <v>3288.46</v>
      </c>
      <c r="F2975" t="s">
        <v>2816</v>
      </c>
    </row>
    <row r="2976" spans="1:6" x14ac:dyDescent="0.2">
      <c r="A2976" t="s">
        <v>2966</v>
      </c>
      <c r="B2976" t="s">
        <v>2967</v>
      </c>
      <c r="C2976">
        <v>14123925</v>
      </c>
      <c r="D2976" t="s">
        <v>994</v>
      </c>
      <c r="E2976" s="134">
        <v>3288.46</v>
      </c>
      <c r="F2976" t="s">
        <v>2816</v>
      </c>
    </row>
    <row r="2977" spans="1:6" x14ac:dyDescent="0.2">
      <c r="A2977" t="s">
        <v>2966</v>
      </c>
      <c r="B2977" t="s">
        <v>2967</v>
      </c>
      <c r="C2977">
        <v>14123926</v>
      </c>
      <c r="D2977" t="s">
        <v>995</v>
      </c>
      <c r="E2977" s="134">
        <v>3288.46</v>
      </c>
      <c r="F2977" t="s">
        <v>2816</v>
      </c>
    </row>
    <row r="2978" spans="1:6" x14ac:dyDescent="0.2">
      <c r="A2978" t="s">
        <v>2966</v>
      </c>
      <c r="B2978" t="s">
        <v>2967</v>
      </c>
      <c r="C2978">
        <v>14123927</v>
      </c>
      <c r="D2978" t="s">
        <v>996</v>
      </c>
      <c r="E2978" s="134">
        <v>3288.46</v>
      </c>
      <c r="F2978" t="s">
        <v>2816</v>
      </c>
    </row>
    <row r="2979" spans="1:6" x14ac:dyDescent="0.2">
      <c r="A2979" t="s">
        <v>2966</v>
      </c>
      <c r="B2979" t="s">
        <v>2967</v>
      </c>
      <c r="C2979">
        <v>14123950</v>
      </c>
      <c r="D2979" t="s">
        <v>997</v>
      </c>
      <c r="E2979" s="134">
        <v>3288.46</v>
      </c>
      <c r="F2979" t="s">
        <v>2816</v>
      </c>
    </row>
    <row r="2980" spans="1:6" x14ac:dyDescent="0.2">
      <c r="A2980" t="s">
        <v>2966</v>
      </c>
      <c r="B2980" t="s">
        <v>2967</v>
      </c>
      <c r="C2980">
        <v>14123951</v>
      </c>
      <c r="D2980" t="s">
        <v>998</v>
      </c>
      <c r="E2980" s="134">
        <v>3288.46</v>
      </c>
      <c r="F2980" t="s">
        <v>2816</v>
      </c>
    </row>
    <row r="2981" spans="1:6" x14ac:dyDescent="0.2">
      <c r="A2981" t="s">
        <v>2966</v>
      </c>
      <c r="B2981" t="s">
        <v>2967</v>
      </c>
      <c r="C2981">
        <v>14123971</v>
      </c>
      <c r="D2981" t="s">
        <v>999</v>
      </c>
      <c r="E2981" s="134">
        <v>3288.46</v>
      </c>
      <c r="F2981" t="s">
        <v>2816</v>
      </c>
    </row>
    <row r="2982" spans="1:6" x14ac:dyDescent="0.2">
      <c r="A2982" t="s">
        <v>2966</v>
      </c>
      <c r="B2982" t="s">
        <v>2967</v>
      </c>
      <c r="C2982">
        <v>14123985</v>
      </c>
      <c r="D2982" t="s">
        <v>1001</v>
      </c>
      <c r="E2982" s="134">
        <v>3288.46</v>
      </c>
      <c r="F2982" t="s">
        <v>2816</v>
      </c>
    </row>
    <row r="2983" spans="1:6" x14ac:dyDescent="0.2">
      <c r="A2983" t="s">
        <v>2966</v>
      </c>
      <c r="B2983" t="s">
        <v>2967</v>
      </c>
      <c r="C2983">
        <v>14123986</v>
      </c>
      <c r="D2983" t="s">
        <v>1002</v>
      </c>
      <c r="E2983" s="134">
        <v>3288.46</v>
      </c>
      <c r="F2983" t="s">
        <v>2816</v>
      </c>
    </row>
    <row r="2984" spans="1:6" x14ac:dyDescent="0.2">
      <c r="A2984" t="s">
        <v>2966</v>
      </c>
      <c r="B2984" t="s">
        <v>2967</v>
      </c>
      <c r="C2984">
        <v>14123987</v>
      </c>
      <c r="D2984" t="s">
        <v>1003</v>
      </c>
      <c r="E2984" s="134">
        <v>3288.46</v>
      </c>
      <c r="F2984" t="s">
        <v>2816</v>
      </c>
    </row>
    <row r="2985" spans="1:6" x14ac:dyDescent="0.2">
      <c r="A2985" t="s">
        <v>2966</v>
      </c>
      <c r="B2985" t="s">
        <v>2967</v>
      </c>
      <c r="C2985">
        <v>14123988</v>
      </c>
      <c r="D2985" t="s">
        <v>1004</v>
      </c>
      <c r="E2985" s="134">
        <v>3288.46</v>
      </c>
      <c r="F2985" t="s">
        <v>2816</v>
      </c>
    </row>
    <row r="2986" spans="1:6" x14ac:dyDescent="0.2">
      <c r="A2986" t="s">
        <v>2966</v>
      </c>
      <c r="B2986" t="s">
        <v>2967</v>
      </c>
      <c r="C2986">
        <v>14124002</v>
      </c>
      <c r="D2986" t="s">
        <v>1005</v>
      </c>
      <c r="E2986" s="134">
        <v>3288.46</v>
      </c>
      <c r="F2986" t="s">
        <v>2816</v>
      </c>
    </row>
    <row r="2987" spans="1:6" x14ac:dyDescent="0.2">
      <c r="A2987" t="s">
        <v>2966</v>
      </c>
      <c r="B2987" t="s">
        <v>2967</v>
      </c>
      <c r="C2987">
        <v>14124020</v>
      </c>
      <c r="D2987" t="s">
        <v>1006</v>
      </c>
      <c r="E2987" s="134">
        <v>3288.46</v>
      </c>
      <c r="F2987" t="s">
        <v>2816</v>
      </c>
    </row>
    <row r="2988" spans="1:6" x14ac:dyDescent="0.2">
      <c r="A2988" t="s">
        <v>2966</v>
      </c>
      <c r="B2988" t="s">
        <v>2967</v>
      </c>
      <c r="C2988">
        <v>14124028</v>
      </c>
      <c r="D2988" t="s">
        <v>1008</v>
      </c>
      <c r="E2988" s="134">
        <v>3288.46</v>
      </c>
      <c r="F2988" t="s">
        <v>2816</v>
      </c>
    </row>
    <row r="2989" spans="1:6" x14ac:dyDescent="0.2">
      <c r="A2989" t="s">
        <v>2966</v>
      </c>
      <c r="B2989" t="s">
        <v>2967</v>
      </c>
      <c r="C2989">
        <v>14124031</v>
      </c>
      <c r="D2989" t="s">
        <v>1010</v>
      </c>
      <c r="E2989" s="134">
        <v>3288.46</v>
      </c>
      <c r="F2989" t="s">
        <v>2816</v>
      </c>
    </row>
    <row r="2990" spans="1:6" x14ac:dyDescent="0.2">
      <c r="A2990" t="s">
        <v>2966</v>
      </c>
      <c r="B2990" t="s">
        <v>2967</v>
      </c>
      <c r="C2990">
        <v>14124041</v>
      </c>
      <c r="D2990" t="s">
        <v>1011</v>
      </c>
      <c r="E2990" s="134">
        <v>3288.46</v>
      </c>
      <c r="F2990" t="s">
        <v>2816</v>
      </c>
    </row>
    <row r="2991" spans="1:6" x14ac:dyDescent="0.2">
      <c r="A2991" t="s">
        <v>2966</v>
      </c>
      <c r="B2991" t="s">
        <v>2967</v>
      </c>
      <c r="C2991">
        <v>14124060</v>
      </c>
      <c r="D2991" t="s">
        <v>2925</v>
      </c>
      <c r="E2991" s="134">
        <v>3288.46</v>
      </c>
      <c r="F2991" t="s">
        <v>2816</v>
      </c>
    </row>
    <row r="2992" spans="1:6" x14ac:dyDescent="0.2">
      <c r="A2992" t="s">
        <v>2966</v>
      </c>
      <c r="B2992" t="s">
        <v>2967</v>
      </c>
      <c r="C2992">
        <v>14124061</v>
      </c>
      <c r="D2992" t="s">
        <v>2926</v>
      </c>
      <c r="E2992" s="134">
        <v>3288.46</v>
      </c>
      <c r="F2992" t="s">
        <v>2816</v>
      </c>
    </row>
    <row r="2993" spans="1:6" x14ac:dyDescent="0.2">
      <c r="A2993" t="s">
        <v>2966</v>
      </c>
      <c r="B2993" t="s">
        <v>2967</v>
      </c>
      <c r="C2993">
        <v>14124062</v>
      </c>
      <c r="D2993" t="s">
        <v>2927</v>
      </c>
      <c r="E2993" s="134">
        <v>3288.46</v>
      </c>
      <c r="F2993" t="s">
        <v>2816</v>
      </c>
    </row>
    <row r="2994" spans="1:6" x14ac:dyDescent="0.2">
      <c r="A2994" t="s">
        <v>2966</v>
      </c>
      <c r="B2994" t="s">
        <v>2967</v>
      </c>
      <c r="C2994">
        <v>14124076</v>
      </c>
      <c r="D2994" t="s">
        <v>2928</v>
      </c>
      <c r="E2994" s="134">
        <v>3288.46</v>
      </c>
      <c r="F2994" t="s">
        <v>2816</v>
      </c>
    </row>
    <row r="2995" spans="1:6" x14ac:dyDescent="0.2">
      <c r="A2995" t="s">
        <v>2966</v>
      </c>
      <c r="B2995" t="s">
        <v>2967</v>
      </c>
      <c r="C2995">
        <v>14124090</v>
      </c>
      <c r="D2995" t="s">
        <v>2929</v>
      </c>
      <c r="E2995" s="134">
        <v>2818.68</v>
      </c>
      <c r="F2995" t="s">
        <v>2816</v>
      </c>
    </row>
    <row r="2996" spans="1:6" x14ac:dyDescent="0.2">
      <c r="A2996" t="s">
        <v>2966</v>
      </c>
      <c r="B2996" t="s">
        <v>2967</v>
      </c>
      <c r="C2996">
        <v>14124091</v>
      </c>
      <c r="D2996" t="s">
        <v>2930</v>
      </c>
      <c r="E2996" s="134">
        <v>2818.68</v>
      </c>
      <c r="F2996" t="s">
        <v>2816</v>
      </c>
    </row>
    <row r="2997" spans="1:6" x14ac:dyDescent="0.2">
      <c r="A2997" t="s">
        <v>2966</v>
      </c>
      <c r="B2997" t="s">
        <v>2967</v>
      </c>
      <c r="C2997">
        <v>14100913</v>
      </c>
      <c r="D2997" t="s">
        <v>2931</v>
      </c>
      <c r="E2997" s="134">
        <v>3052.84</v>
      </c>
      <c r="F2997" t="s">
        <v>2816</v>
      </c>
    </row>
    <row r="2998" spans="1:6" x14ac:dyDescent="0.2">
      <c r="A2998" t="s">
        <v>2966</v>
      </c>
      <c r="B2998" t="s">
        <v>2967</v>
      </c>
      <c r="C2998">
        <v>14102637</v>
      </c>
      <c r="D2998" t="s">
        <v>2911</v>
      </c>
      <c r="E2998" s="134">
        <v>3052.84</v>
      </c>
      <c r="F2998" t="s">
        <v>2816</v>
      </c>
    </row>
    <row r="2999" spans="1:6" x14ac:dyDescent="0.2">
      <c r="A2999" t="s">
        <v>2966</v>
      </c>
      <c r="B2999" t="s">
        <v>2967</v>
      </c>
      <c r="C2999">
        <v>14102638</v>
      </c>
      <c r="D2999" t="s">
        <v>2912</v>
      </c>
      <c r="E2999" s="134">
        <v>3052.84</v>
      </c>
      <c r="F2999" t="s">
        <v>2816</v>
      </c>
    </row>
    <row r="3000" spans="1:6" x14ac:dyDescent="0.2">
      <c r="A3000" t="s">
        <v>2966</v>
      </c>
      <c r="B3000" t="s">
        <v>2967</v>
      </c>
      <c r="C3000">
        <v>14103046</v>
      </c>
      <c r="D3000" t="s">
        <v>2913</v>
      </c>
      <c r="E3000" s="134">
        <v>3052.84</v>
      </c>
      <c r="F3000" t="s">
        <v>2816</v>
      </c>
    </row>
    <row r="3001" spans="1:6" x14ac:dyDescent="0.2">
      <c r="A3001" t="s">
        <v>2966</v>
      </c>
      <c r="B3001" t="s">
        <v>2967</v>
      </c>
      <c r="C3001">
        <v>14104889</v>
      </c>
      <c r="D3001" t="s">
        <v>2932</v>
      </c>
      <c r="E3001" s="134">
        <v>3052.84</v>
      </c>
      <c r="F3001" t="s">
        <v>2816</v>
      </c>
    </row>
    <row r="3002" spans="1:6" x14ac:dyDescent="0.2">
      <c r="A3002" t="s">
        <v>2966</v>
      </c>
      <c r="B3002" t="s">
        <v>2967</v>
      </c>
      <c r="C3002">
        <v>14108427</v>
      </c>
      <c r="D3002" t="s">
        <v>2933</v>
      </c>
      <c r="E3002" s="134">
        <v>3052.84</v>
      </c>
      <c r="F3002" t="s">
        <v>2816</v>
      </c>
    </row>
    <row r="3003" spans="1:6" x14ac:dyDescent="0.2">
      <c r="A3003" t="s">
        <v>2966</v>
      </c>
      <c r="B3003" t="s">
        <v>2967</v>
      </c>
      <c r="C3003">
        <v>14111261</v>
      </c>
      <c r="D3003" t="s">
        <v>2934</v>
      </c>
      <c r="E3003" s="134">
        <v>3052.84</v>
      </c>
      <c r="F3003" t="s">
        <v>2816</v>
      </c>
    </row>
    <row r="3004" spans="1:6" x14ac:dyDescent="0.2">
      <c r="A3004" t="s">
        <v>2966</v>
      </c>
      <c r="B3004" t="s">
        <v>2967</v>
      </c>
      <c r="C3004">
        <v>14111336</v>
      </c>
      <c r="D3004" t="s">
        <v>2935</v>
      </c>
      <c r="E3004" s="134">
        <v>3052.84</v>
      </c>
      <c r="F3004" t="s">
        <v>2816</v>
      </c>
    </row>
    <row r="3005" spans="1:6" x14ac:dyDescent="0.2">
      <c r="A3005" t="s">
        <v>2966</v>
      </c>
      <c r="B3005" t="s">
        <v>2967</v>
      </c>
      <c r="C3005">
        <v>14111447</v>
      </c>
      <c r="D3005" t="s">
        <v>2936</v>
      </c>
      <c r="E3005" s="134">
        <v>3052.84</v>
      </c>
      <c r="F3005" t="s">
        <v>2816</v>
      </c>
    </row>
    <row r="3006" spans="1:6" x14ac:dyDescent="0.2">
      <c r="A3006" t="s">
        <v>2966</v>
      </c>
      <c r="B3006" t="s">
        <v>2967</v>
      </c>
      <c r="C3006">
        <v>14111633</v>
      </c>
      <c r="D3006" t="s">
        <v>2937</v>
      </c>
      <c r="E3006" s="134">
        <v>3052.84</v>
      </c>
      <c r="F3006" t="s">
        <v>2816</v>
      </c>
    </row>
    <row r="3007" spans="1:6" x14ac:dyDescent="0.2">
      <c r="A3007" t="s">
        <v>2966</v>
      </c>
      <c r="B3007" t="s">
        <v>2967</v>
      </c>
      <c r="C3007">
        <v>14111652</v>
      </c>
      <c r="D3007" t="s">
        <v>2914</v>
      </c>
      <c r="E3007" s="134">
        <v>3052.84</v>
      </c>
      <c r="F3007" t="s">
        <v>2816</v>
      </c>
    </row>
    <row r="3008" spans="1:6" x14ac:dyDescent="0.2">
      <c r="A3008" t="s">
        <v>2966</v>
      </c>
      <c r="B3008" t="s">
        <v>2967</v>
      </c>
      <c r="C3008">
        <v>14111997</v>
      </c>
      <c r="D3008" t="s">
        <v>2938</v>
      </c>
      <c r="E3008" s="134">
        <v>3052.84</v>
      </c>
      <c r="F3008" t="s">
        <v>2816</v>
      </c>
    </row>
    <row r="3009" spans="1:6" x14ac:dyDescent="0.2">
      <c r="A3009" t="s">
        <v>2966</v>
      </c>
      <c r="B3009" t="s">
        <v>2967</v>
      </c>
      <c r="C3009">
        <v>14111999</v>
      </c>
      <c r="D3009" t="s">
        <v>2939</v>
      </c>
      <c r="E3009" s="134">
        <v>3052.84</v>
      </c>
      <c r="F3009" t="s">
        <v>2816</v>
      </c>
    </row>
    <row r="3010" spans="1:6" x14ac:dyDescent="0.2">
      <c r="A3010" t="s">
        <v>2966</v>
      </c>
      <c r="B3010" t="s">
        <v>2967</v>
      </c>
      <c r="C3010">
        <v>14213524</v>
      </c>
      <c r="D3010" t="s">
        <v>2915</v>
      </c>
      <c r="E3010" s="134">
        <v>3052.84</v>
      </c>
      <c r="F3010" t="s">
        <v>2816</v>
      </c>
    </row>
    <row r="3011" spans="1:6" x14ac:dyDescent="0.2">
      <c r="A3011" t="s">
        <v>2966</v>
      </c>
      <c r="B3011" t="s">
        <v>2967</v>
      </c>
      <c r="C3011">
        <v>14216184</v>
      </c>
      <c r="D3011" t="s">
        <v>2940</v>
      </c>
      <c r="E3011" s="134">
        <v>3052.84</v>
      </c>
      <c r="F3011" t="s">
        <v>2816</v>
      </c>
    </row>
    <row r="3012" spans="1:6" x14ac:dyDescent="0.2">
      <c r="A3012" t="s">
        <v>2966</v>
      </c>
      <c r="B3012" t="s">
        <v>2967</v>
      </c>
      <c r="C3012">
        <v>14216357</v>
      </c>
      <c r="D3012" t="s">
        <v>2941</v>
      </c>
      <c r="E3012" s="134">
        <v>3052.84</v>
      </c>
      <c r="F3012" t="s">
        <v>2816</v>
      </c>
    </row>
    <row r="3013" spans="1:6" x14ac:dyDescent="0.2">
      <c r="A3013" t="s">
        <v>2966</v>
      </c>
      <c r="B3013" t="s">
        <v>2967</v>
      </c>
      <c r="C3013">
        <v>14217374</v>
      </c>
      <c r="D3013" t="s">
        <v>2942</v>
      </c>
      <c r="E3013" s="134">
        <v>3052.84</v>
      </c>
      <c r="F3013" t="s">
        <v>2816</v>
      </c>
    </row>
    <row r="3014" spans="1:6" x14ac:dyDescent="0.2">
      <c r="A3014" t="s">
        <v>2966</v>
      </c>
      <c r="B3014" t="s">
        <v>2967</v>
      </c>
      <c r="C3014">
        <v>14217446</v>
      </c>
      <c r="D3014" t="s">
        <v>2943</v>
      </c>
      <c r="E3014" s="134">
        <v>3052.84</v>
      </c>
      <c r="F3014" t="s">
        <v>2816</v>
      </c>
    </row>
    <row r="3015" spans="1:6" x14ac:dyDescent="0.2">
      <c r="A3015" t="s">
        <v>2966</v>
      </c>
      <c r="B3015" t="s">
        <v>2967</v>
      </c>
      <c r="C3015">
        <v>14219234</v>
      </c>
      <c r="D3015" t="s">
        <v>2944</v>
      </c>
      <c r="E3015" s="134">
        <v>3052.84</v>
      </c>
      <c r="F3015" t="s">
        <v>2816</v>
      </c>
    </row>
    <row r="3016" spans="1:6" x14ac:dyDescent="0.2">
      <c r="A3016" t="s">
        <v>2966</v>
      </c>
      <c r="B3016" t="s">
        <v>2967</v>
      </c>
      <c r="C3016">
        <v>14220597</v>
      </c>
      <c r="D3016" t="s">
        <v>2945</v>
      </c>
      <c r="E3016" s="134">
        <v>3052.84</v>
      </c>
      <c r="F3016" t="s">
        <v>2816</v>
      </c>
    </row>
    <row r="3017" spans="1:6" x14ac:dyDescent="0.2">
      <c r="A3017" t="s">
        <v>2966</v>
      </c>
      <c r="B3017" t="s">
        <v>2967</v>
      </c>
      <c r="C3017">
        <v>14221054</v>
      </c>
      <c r="D3017" t="s">
        <v>2946</v>
      </c>
      <c r="E3017" s="134">
        <v>3052.84</v>
      </c>
      <c r="F3017" t="s">
        <v>2816</v>
      </c>
    </row>
    <row r="3018" spans="1:6" x14ac:dyDescent="0.2">
      <c r="A3018" t="s">
        <v>2966</v>
      </c>
      <c r="B3018" t="s">
        <v>2967</v>
      </c>
      <c r="C3018">
        <v>14221253</v>
      </c>
      <c r="D3018" t="s">
        <v>2947</v>
      </c>
      <c r="E3018" s="134">
        <v>3052.84</v>
      </c>
      <c r="F3018" t="s">
        <v>2816</v>
      </c>
    </row>
    <row r="3019" spans="1:6" x14ac:dyDescent="0.2">
      <c r="A3019" t="s">
        <v>2966</v>
      </c>
      <c r="B3019" t="s">
        <v>2967</v>
      </c>
      <c r="C3019">
        <v>14221921</v>
      </c>
      <c r="D3019" t="s">
        <v>2916</v>
      </c>
      <c r="E3019" s="134">
        <v>3052.84</v>
      </c>
      <c r="F3019" t="s">
        <v>2816</v>
      </c>
    </row>
    <row r="3020" spans="1:6" x14ac:dyDescent="0.2">
      <c r="A3020" t="s">
        <v>2966</v>
      </c>
      <c r="B3020" t="s">
        <v>2967</v>
      </c>
      <c r="C3020">
        <v>14222082</v>
      </c>
      <c r="D3020" t="s">
        <v>2948</v>
      </c>
      <c r="E3020" s="134">
        <v>3052.84</v>
      </c>
      <c r="F3020" t="s">
        <v>2816</v>
      </c>
    </row>
    <row r="3021" spans="1:6" x14ac:dyDescent="0.2">
      <c r="A3021" t="s">
        <v>2966</v>
      </c>
      <c r="B3021" t="s">
        <v>2967</v>
      </c>
      <c r="C3021">
        <v>14222163</v>
      </c>
      <c r="D3021" t="s">
        <v>2949</v>
      </c>
      <c r="E3021" s="134">
        <v>3052.84</v>
      </c>
      <c r="F3021" t="s">
        <v>2816</v>
      </c>
    </row>
    <row r="3022" spans="1:6" x14ac:dyDescent="0.2">
      <c r="A3022" t="s">
        <v>2966</v>
      </c>
      <c r="B3022" t="s">
        <v>2967</v>
      </c>
      <c r="C3022">
        <v>14222576</v>
      </c>
      <c r="D3022" t="s">
        <v>2950</v>
      </c>
      <c r="E3022" s="134">
        <v>3052.84</v>
      </c>
      <c r="F3022" t="s">
        <v>2816</v>
      </c>
    </row>
    <row r="3023" spans="1:6" x14ac:dyDescent="0.2">
      <c r="A3023" t="s">
        <v>2966</v>
      </c>
      <c r="B3023" t="s">
        <v>2967</v>
      </c>
      <c r="C3023">
        <v>14222997</v>
      </c>
      <c r="D3023" t="s">
        <v>2917</v>
      </c>
      <c r="E3023" s="134">
        <v>3052.84</v>
      </c>
      <c r="F3023" t="s">
        <v>2816</v>
      </c>
    </row>
    <row r="3024" spans="1:6" x14ac:dyDescent="0.2">
      <c r="A3024" t="s">
        <v>2966</v>
      </c>
      <c r="B3024" t="s">
        <v>2967</v>
      </c>
      <c r="C3024">
        <v>14223279</v>
      </c>
      <c r="D3024" t="s">
        <v>2951</v>
      </c>
      <c r="E3024" s="134">
        <v>3052.84</v>
      </c>
      <c r="F3024" t="s">
        <v>2816</v>
      </c>
    </row>
    <row r="3025" spans="1:6" x14ac:dyDescent="0.2">
      <c r="A3025" t="s">
        <v>2966</v>
      </c>
      <c r="B3025" t="s">
        <v>2967</v>
      </c>
      <c r="C3025">
        <v>14223290</v>
      </c>
      <c r="D3025" t="s">
        <v>2952</v>
      </c>
      <c r="E3025" s="134">
        <v>3052.84</v>
      </c>
      <c r="F3025" t="s">
        <v>2816</v>
      </c>
    </row>
    <row r="3026" spans="1:6" x14ac:dyDescent="0.2">
      <c r="A3026" t="s">
        <v>2966</v>
      </c>
      <c r="B3026" t="s">
        <v>2967</v>
      </c>
      <c r="C3026">
        <v>14223379</v>
      </c>
      <c r="D3026" t="s">
        <v>2953</v>
      </c>
      <c r="E3026" s="134">
        <v>3052.84</v>
      </c>
      <c r="F3026" t="s">
        <v>2816</v>
      </c>
    </row>
    <row r="3027" spans="1:6" x14ac:dyDescent="0.2">
      <c r="A3027" t="s">
        <v>2966</v>
      </c>
      <c r="B3027" t="s">
        <v>2967</v>
      </c>
      <c r="C3027">
        <v>14223590</v>
      </c>
      <c r="D3027" t="s">
        <v>2954</v>
      </c>
      <c r="E3027" s="134">
        <v>3052.84</v>
      </c>
      <c r="F3027" t="s">
        <v>2816</v>
      </c>
    </row>
    <row r="3028" spans="1:6" x14ac:dyDescent="0.2">
      <c r="A3028" t="s">
        <v>2966</v>
      </c>
      <c r="B3028" t="s">
        <v>2967</v>
      </c>
      <c r="C3028">
        <v>14223659</v>
      </c>
      <c r="D3028" t="s">
        <v>2955</v>
      </c>
      <c r="E3028" s="134">
        <v>3052.84</v>
      </c>
      <c r="F3028" t="s">
        <v>2816</v>
      </c>
    </row>
    <row r="3029" spans="1:6" x14ac:dyDescent="0.2">
      <c r="A3029" t="s">
        <v>2966</v>
      </c>
      <c r="B3029" t="s">
        <v>2967</v>
      </c>
      <c r="C3029">
        <v>14223662</v>
      </c>
      <c r="D3029" t="s">
        <v>2918</v>
      </c>
      <c r="E3029" s="134">
        <v>3052.84</v>
      </c>
      <c r="F3029" t="s">
        <v>2816</v>
      </c>
    </row>
    <row r="3030" spans="1:6" x14ac:dyDescent="0.2">
      <c r="A3030" t="s">
        <v>2966</v>
      </c>
      <c r="B3030" t="s">
        <v>2967</v>
      </c>
      <c r="C3030">
        <v>14223825</v>
      </c>
      <c r="D3030" t="s">
        <v>2956</v>
      </c>
      <c r="E3030" s="134">
        <v>3052.84</v>
      </c>
      <c r="F3030" t="s">
        <v>2816</v>
      </c>
    </row>
    <row r="3031" spans="1:6" x14ac:dyDescent="0.2">
      <c r="A3031" t="s">
        <v>2966</v>
      </c>
      <c r="B3031" t="s">
        <v>2967</v>
      </c>
      <c r="C3031">
        <v>14223826</v>
      </c>
      <c r="D3031" t="s">
        <v>2919</v>
      </c>
      <c r="E3031" s="134">
        <v>3052.84</v>
      </c>
      <c r="F3031" t="s">
        <v>2816</v>
      </c>
    </row>
    <row r="3032" spans="1:6" x14ac:dyDescent="0.2">
      <c r="A3032" t="s">
        <v>2966</v>
      </c>
      <c r="B3032" t="s">
        <v>2967</v>
      </c>
      <c r="C3032">
        <v>14223827</v>
      </c>
      <c r="D3032" t="s">
        <v>2957</v>
      </c>
      <c r="E3032" s="134">
        <v>3052.84</v>
      </c>
      <c r="F3032" t="s">
        <v>2816</v>
      </c>
    </row>
    <row r="3033" spans="1:6" x14ac:dyDescent="0.2">
      <c r="A3033" t="s">
        <v>2966</v>
      </c>
      <c r="B3033" t="s">
        <v>2967</v>
      </c>
      <c r="C3033">
        <v>16101291</v>
      </c>
      <c r="D3033" t="s">
        <v>2818</v>
      </c>
      <c r="E3033" s="134">
        <v>2983.75</v>
      </c>
      <c r="F3033" t="s">
        <v>2816</v>
      </c>
    </row>
    <row r="3034" spans="1:6" x14ac:dyDescent="0.2">
      <c r="A3034" t="s">
        <v>2966</v>
      </c>
      <c r="B3034" t="s">
        <v>2967</v>
      </c>
      <c r="C3034">
        <v>16101303</v>
      </c>
      <c r="D3034" t="s">
        <v>2819</v>
      </c>
      <c r="E3034" s="134">
        <v>2983.75</v>
      </c>
      <c r="F3034" t="s">
        <v>2816</v>
      </c>
    </row>
    <row r="3035" spans="1:6" x14ac:dyDescent="0.2">
      <c r="A3035" t="s">
        <v>2966</v>
      </c>
      <c r="B3035" t="s">
        <v>2967</v>
      </c>
      <c r="C3035">
        <v>16101321</v>
      </c>
      <c r="D3035" t="s">
        <v>2820</v>
      </c>
      <c r="E3035" s="134">
        <v>2983.75</v>
      </c>
      <c r="F3035" t="s">
        <v>2816</v>
      </c>
    </row>
    <row r="3036" spans="1:6" x14ac:dyDescent="0.2">
      <c r="A3036" t="s">
        <v>2966</v>
      </c>
      <c r="B3036" t="s">
        <v>2967</v>
      </c>
      <c r="C3036">
        <v>16101324</v>
      </c>
      <c r="D3036" t="s">
        <v>2821</v>
      </c>
      <c r="E3036" s="134">
        <v>2983.75</v>
      </c>
      <c r="F3036" t="s">
        <v>2816</v>
      </c>
    </row>
    <row r="3037" spans="1:6" x14ac:dyDescent="0.2">
      <c r="A3037" t="s">
        <v>2966</v>
      </c>
      <c r="B3037" t="s">
        <v>2967</v>
      </c>
      <c r="C3037">
        <v>16101347</v>
      </c>
      <c r="D3037" t="s">
        <v>2822</v>
      </c>
      <c r="E3037" s="134">
        <v>2983.75</v>
      </c>
      <c r="F3037" t="s">
        <v>2816</v>
      </c>
    </row>
    <row r="3038" spans="1:6" x14ac:dyDescent="0.2">
      <c r="A3038" t="s">
        <v>2966</v>
      </c>
      <c r="B3038" t="s">
        <v>2967</v>
      </c>
      <c r="C3038">
        <v>16101370</v>
      </c>
      <c r="D3038" t="s">
        <v>2823</v>
      </c>
      <c r="E3038" s="134">
        <v>2983.75</v>
      </c>
      <c r="F3038" t="s">
        <v>2816</v>
      </c>
    </row>
    <row r="3039" spans="1:6" x14ac:dyDescent="0.2">
      <c r="A3039" t="s">
        <v>2966</v>
      </c>
      <c r="B3039" t="s">
        <v>2967</v>
      </c>
      <c r="C3039">
        <v>16101382</v>
      </c>
      <c r="D3039" t="s">
        <v>2824</v>
      </c>
      <c r="E3039" s="134">
        <v>2983.75</v>
      </c>
      <c r="F3039" t="s">
        <v>2816</v>
      </c>
    </row>
    <row r="3040" spans="1:6" x14ac:dyDescent="0.2">
      <c r="A3040" t="s">
        <v>2966</v>
      </c>
      <c r="B3040" t="s">
        <v>2967</v>
      </c>
      <c r="C3040">
        <v>16101387</v>
      </c>
      <c r="D3040" t="s">
        <v>2825</v>
      </c>
      <c r="E3040" s="134">
        <v>2983.75</v>
      </c>
      <c r="F3040" t="s">
        <v>2816</v>
      </c>
    </row>
    <row r="3041" spans="1:6" x14ac:dyDescent="0.2">
      <c r="A3041" t="s">
        <v>2966</v>
      </c>
      <c r="B3041" t="s">
        <v>2967</v>
      </c>
      <c r="C3041">
        <v>16102200</v>
      </c>
      <c r="D3041" t="s">
        <v>2826</v>
      </c>
      <c r="E3041" s="134">
        <v>2983.75</v>
      </c>
      <c r="F3041" t="s">
        <v>2816</v>
      </c>
    </row>
    <row r="3042" spans="1:6" x14ac:dyDescent="0.2">
      <c r="A3042" t="s">
        <v>2966</v>
      </c>
      <c r="B3042" t="s">
        <v>2967</v>
      </c>
      <c r="C3042">
        <v>16102265</v>
      </c>
      <c r="D3042" t="s">
        <v>2827</v>
      </c>
      <c r="E3042" s="134">
        <v>2983.75</v>
      </c>
      <c r="F3042" t="s">
        <v>2816</v>
      </c>
    </row>
    <row r="3043" spans="1:6" x14ac:dyDescent="0.2">
      <c r="A3043" t="s">
        <v>2966</v>
      </c>
      <c r="B3043" t="s">
        <v>2967</v>
      </c>
      <c r="C3043">
        <v>16102525</v>
      </c>
      <c r="D3043" t="s">
        <v>2828</v>
      </c>
      <c r="E3043" s="134">
        <v>2983.75</v>
      </c>
      <c r="F3043" t="s">
        <v>2816</v>
      </c>
    </row>
    <row r="3044" spans="1:6" x14ac:dyDescent="0.2">
      <c r="A3044" t="s">
        <v>2966</v>
      </c>
      <c r="B3044" t="s">
        <v>2967</v>
      </c>
      <c r="C3044">
        <v>16102665</v>
      </c>
      <c r="D3044" t="s">
        <v>2829</v>
      </c>
      <c r="E3044" s="134">
        <v>2983.75</v>
      </c>
      <c r="F3044" t="s">
        <v>2816</v>
      </c>
    </row>
    <row r="3045" spans="1:6" x14ac:dyDescent="0.2">
      <c r="A3045" t="s">
        <v>2966</v>
      </c>
      <c r="B3045" t="s">
        <v>2967</v>
      </c>
      <c r="C3045">
        <v>16102762</v>
      </c>
      <c r="D3045" t="s">
        <v>2830</v>
      </c>
      <c r="E3045" s="134">
        <v>2983.75</v>
      </c>
      <c r="F3045" t="s">
        <v>2816</v>
      </c>
    </row>
    <row r="3046" spans="1:6" x14ac:dyDescent="0.2">
      <c r="A3046" t="s">
        <v>2966</v>
      </c>
      <c r="B3046" t="s">
        <v>2967</v>
      </c>
      <c r="C3046">
        <v>16103733</v>
      </c>
      <c r="D3046" t="s">
        <v>2831</v>
      </c>
      <c r="E3046" s="134">
        <v>2983.75</v>
      </c>
      <c r="F3046" t="s">
        <v>2816</v>
      </c>
    </row>
    <row r="3047" spans="1:6" x14ac:dyDescent="0.2">
      <c r="A3047" t="s">
        <v>2966</v>
      </c>
      <c r="B3047" t="s">
        <v>2967</v>
      </c>
      <c r="C3047">
        <v>16104436</v>
      </c>
      <c r="D3047" t="s">
        <v>2832</v>
      </c>
      <c r="E3047" s="134">
        <v>2983.75</v>
      </c>
      <c r="F3047" t="s">
        <v>2816</v>
      </c>
    </row>
    <row r="3048" spans="1:6" x14ac:dyDescent="0.2">
      <c r="A3048" t="s">
        <v>2966</v>
      </c>
      <c r="B3048" t="s">
        <v>2967</v>
      </c>
      <c r="C3048">
        <v>16104522</v>
      </c>
      <c r="D3048" t="s">
        <v>2833</v>
      </c>
      <c r="E3048" s="134">
        <v>1989.17</v>
      </c>
      <c r="F3048" t="s">
        <v>2816</v>
      </c>
    </row>
    <row r="3049" spans="1:6" x14ac:dyDescent="0.2">
      <c r="A3049" t="s">
        <v>2966</v>
      </c>
      <c r="B3049" t="s">
        <v>2967</v>
      </c>
      <c r="C3049">
        <v>16104653</v>
      </c>
      <c r="D3049" t="s">
        <v>2834</v>
      </c>
      <c r="E3049" s="134">
        <v>2983.75</v>
      </c>
      <c r="F3049" t="s">
        <v>2816</v>
      </c>
    </row>
    <row r="3050" spans="1:6" x14ac:dyDescent="0.2">
      <c r="A3050" t="s">
        <v>2966</v>
      </c>
      <c r="B3050" t="s">
        <v>2967</v>
      </c>
      <c r="C3050">
        <v>16105115</v>
      </c>
      <c r="D3050" t="s">
        <v>2835</v>
      </c>
      <c r="E3050" s="134">
        <v>2983.75</v>
      </c>
      <c r="F3050" t="s">
        <v>2816</v>
      </c>
    </row>
    <row r="3051" spans="1:6" x14ac:dyDescent="0.2">
      <c r="A3051" t="s">
        <v>2966</v>
      </c>
      <c r="B3051" t="s">
        <v>2967</v>
      </c>
      <c r="C3051">
        <v>16106566</v>
      </c>
      <c r="D3051" t="s">
        <v>2836</v>
      </c>
      <c r="E3051" s="134">
        <v>2983.75</v>
      </c>
      <c r="F3051" t="s">
        <v>2816</v>
      </c>
    </row>
    <row r="3052" spans="1:6" x14ac:dyDescent="0.2">
      <c r="A3052" t="s">
        <v>2966</v>
      </c>
      <c r="B3052" t="s">
        <v>2967</v>
      </c>
      <c r="C3052">
        <v>16107227</v>
      </c>
      <c r="D3052" t="s">
        <v>2837</v>
      </c>
      <c r="E3052" s="134">
        <v>2983.75</v>
      </c>
      <c r="F3052" t="s">
        <v>2816</v>
      </c>
    </row>
    <row r="3053" spans="1:6" x14ac:dyDescent="0.2">
      <c r="A3053" t="s">
        <v>2966</v>
      </c>
      <c r="B3053" t="s">
        <v>2967</v>
      </c>
      <c r="C3053">
        <v>16107598</v>
      </c>
      <c r="D3053" t="s">
        <v>2838</v>
      </c>
      <c r="E3053" s="134">
        <v>2983.75</v>
      </c>
      <c r="F3053" t="s">
        <v>2816</v>
      </c>
    </row>
    <row r="3054" spans="1:6" x14ac:dyDescent="0.2">
      <c r="A3054" t="s">
        <v>2966</v>
      </c>
      <c r="B3054" t="s">
        <v>2967</v>
      </c>
      <c r="C3054">
        <v>16107705</v>
      </c>
      <c r="D3054" t="s">
        <v>2839</v>
      </c>
      <c r="E3054" s="134">
        <v>2983.75</v>
      </c>
      <c r="F3054" t="s">
        <v>2816</v>
      </c>
    </row>
    <row r="3055" spans="1:6" x14ac:dyDescent="0.2">
      <c r="A3055" t="s">
        <v>2966</v>
      </c>
      <c r="B3055" t="s">
        <v>2967</v>
      </c>
      <c r="C3055">
        <v>16107845</v>
      </c>
      <c r="D3055" t="s">
        <v>2840</v>
      </c>
      <c r="E3055" s="134">
        <v>2983.75</v>
      </c>
      <c r="F3055" t="s">
        <v>2816</v>
      </c>
    </row>
    <row r="3056" spans="1:6" x14ac:dyDescent="0.2">
      <c r="A3056" t="s">
        <v>2966</v>
      </c>
      <c r="B3056" t="s">
        <v>2967</v>
      </c>
      <c r="C3056">
        <v>16107905</v>
      </c>
      <c r="D3056" t="s">
        <v>2841</v>
      </c>
      <c r="E3056" s="134">
        <v>2983.75</v>
      </c>
      <c r="F3056" t="s">
        <v>2816</v>
      </c>
    </row>
    <row r="3057" spans="1:6" x14ac:dyDescent="0.2">
      <c r="A3057" t="s">
        <v>2966</v>
      </c>
      <c r="B3057" t="s">
        <v>2967</v>
      </c>
      <c r="C3057">
        <v>16108306</v>
      </c>
      <c r="D3057" t="s">
        <v>2842</v>
      </c>
      <c r="E3057" s="134">
        <v>1989.17</v>
      </c>
      <c r="F3057" t="s">
        <v>2816</v>
      </c>
    </row>
    <row r="3058" spans="1:6" x14ac:dyDescent="0.2">
      <c r="A3058" t="s">
        <v>2966</v>
      </c>
      <c r="B3058" t="s">
        <v>2967</v>
      </c>
      <c r="C3058">
        <v>16110177</v>
      </c>
      <c r="D3058" t="s">
        <v>2843</v>
      </c>
      <c r="E3058" s="134">
        <v>2983.75</v>
      </c>
      <c r="F3058" t="s">
        <v>2816</v>
      </c>
    </row>
    <row r="3059" spans="1:6" x14ac:dyDescent="0.2">
      <c r="A3059" t="s">
        <v>2966</v>
      </c>
      <c r="B3059" t="s">
        <v>2967</v>
      </c>
      <c r="C3059">
        <v>16110744</v>
      </c>
      <c r="D3059" t="s">
        <v>2844</v>
      </c>
      <c r="E3059" s="134">
        <v>2983.75</v>
      </c>
      <c r="F3059" t="s">
        <v>2816</v>
      </c>
    </row>
    <row r="3060" spans="1:6" x14ac:dyDescent="0.2">
      <c r="A3060" t="s">
        <v>2966</v>
      </c>
      <c r="B3060" t="s">
        <v>2967</v>
      </c>
      <c r="C3060">
        <v>16111231</v>
      </c>
      <c r="D3060" t="s">
        <v>2845</v>
      </c>
      <c r="E3060" s="134">
        <v>2983.75</v>
      </c>
      <c r="F3060" t="s">
        <v>2816</v>
      </c>
    </row>
    <row r="3061" spans="1:6" x14ac:dyDescent="0.2">
      <c r="A3061" t="s">
        <v>2966</v>
      </c>
      <c r="B3061" t="s">
        <v>2967</v>
      </c>
      <c r="C3061">
        <v>16111530</v>
      </c>
      <c r="D3061" t="s">
        <v>2846</v>
      </c>
      <c r="E3061" s="134">
        <v>1989.17</v>
      </c>
      <c r="F3061" t="s">
        <v>2816</v>
      </c>
    </row>
    <row r="3062" spans="1:6" x14ac:dyDescent="0.2">
      <c r="A3062" t="s">
        <v>2966</v>
      </c>
      <c r="B3062" t="s">
        <v>2967</v>
      </c>
      <c r="C3062">
        <v>16112068</v>
      </c>
      <c r="D3062" t="s">
        <v>2847</v>
      </c>
      <c r="E3062" s="134">
        <v>2983.75</v>
      </c>
      <c r="F3062" t="s">
        <v>2816</v>
      </c>
    </row>
    <row r="3063" spans="1:6" x14ac:dyDescent="0.2">
      <c r="A3063" t="s">
        <v>2966</v>
      </c>
      <c r="B3063" t="s">
        <v>2967</v>
      </c>
      <c r="C3063">
        <v>16112578</v>
      </c>
      <c r="D3063" t="s">
        <v>2848</v>
      </c>
      <c r="E3063" s="134">
        <v>2983.75</v>
      </c>
      <c r="F3063" t="s">
        <v>2816</v>
      </c>
    </row>
    <row r="3064" spans="1:6" x14ac:dyDescent="0.2">
      <c r="A3064" t="s">
        <v>2966</v>
      </c>
      <c r="B3064" t="s">
        <v>2967</v>
      </c>
      <c r="C3064">
        <v>16113003</v>
      </c>
      <c r="D3064" t="s">
        <v>2849</v>
      </c>
      <c r="E3064" s="134">
        <v>2983.75</v>
      </c>
      <c r="F3064" t="s">
        <v>2816</v>
      </c>
    </row>
    <row r="3065" spans="1:6" x14ac:dyDescent="0.2">
      <c r="A3065" t="s">
        <v>2966</v>
      </c>
      <c r="B3065" t="s">
        <v>2967</v>
      </c>
      <c r="C3065">
        <v>16114063</v>
      </c>
      <c r="D3065" t="s">
        <v>2850</v>
      </c>
      <c r="E3065" s="134">
        <v>2983.75</v>
      </c>
      <c r="F3065" t="s">
        <v>2816</v>
      </c>
    </row>
    <row r="3066" spans="1:6" x14ac:dyDescent="0.2">
      <c r="A3066" t="s">
        <v>2966</v>
      </c>
      <c r="B3066" t="s">
        <v>2967</v>
      </c>
      <c r="C3066">
        <v>16114529</v>
      </c>
      <c r="D3066" t="s">
        <v>2851</v>
      </c>
      <c r="E3066" s="134">
        <v>2983.75</v>
      </c>
      <c r="F3066" t="s">
        <v>2816</v>
      </c>
    </row>
    <row r="3067" spans="1:6" x14ac:dyDescent="0.2">
      <c r="A3067" t="s">
        <v>2966</v>
      </c>
      <c r="B3067" t="s">
        <v>2967</v>
      </c>
      <c r="C3067">
        <v>16114991</v>
      </c>
      <c r="D3067" t="s">
        <v>2852</v>
      </c>
      <c r="E3067" s="134">
        <v>2983.75</v>
      </c>
      <c r="F3067" t="s">
        <v>2816</v>
      </c>
    </row>
    <row r="3068" spans="1:6" x14ac:dyDescent="0.2">
      <c r="A3068" t="s">
        <v>2966</v>
      </c>
      <c r="B3068" t="s">
        <v>2967</v>
      </c>
      <c r="C3068">
        <v>16115026</v>
      </c>
      <c r="D3068" t="s">
        <v>2853</v>
      </c>
      <c r="E3068" s="134">
        <v>2983.75</v>
      </c>
      <c r="F3068" t="s">
        <v>2816</v>
      </c>
    </row>
    <row r="3069" spans="1:6" x14ac:dyDescent="0.2">
      <c r="A3069" t="s">
        <v>2966</v>
      </c>
      <c r="B3069" t="s">
        <v>2967</v>
      </c>
      <c r="C3069">
        <v>16115150</v>
      </c>
      <c r="D3069" t="s">
        <v>2854</v>
      </c>
      <c r="E3069" s="134">
        <v>2983.75</v>
      </c>
      <c r="F3069" t="s">
        <v>2816</v>
      </c>
    </row>
    <row r="3070" spans="1:6" x14ac:dyDescent="0.2">
      <c r="A3070" t="s">
        <v>2966</v>
      </c>
      <c r="B3070" t="s">
        <v>2967</v>
      </c>
      <c r="C3070">
        <v>16115586</v>
      </c>
      <c r="D3070" t="s">
        <v>2855</v>
      </c>
      <c r="E3070" s="134">
        <v>2557.5</v>
      </c>
      <c r="F3070" t="s">
        <v>2816</v>
      </c>
    </row>
    <row r="3071" spans="1:6" x14ac:dyDescent="0.2">
      <c r="A3071" t="s">
        <v>2966</v>
      </c>
      <c r="B3071" t="s">
        <v>2967</v>
      </c>
      <c r="C3071">
        <v>16115756</v>
      </c>
      <c r="D3071" t="s">
        <v>2856</v>
      </c>
      <c r="E3071" s="134">
        <v>2983.75</v>
      </c>
      <c r="F3071" t="s">
        <v>2816</v>
      </c>
    </row>
    <row r="3072" spans="1:6" x14ac:dyDescent="0.2">
      <c r="A3072" t="s">
        <v>2966</v>
      </c>
      <c r="B3072" t="s">
        <v>2967</v>
      </c>
      <c r="C3072">
        <v>16115783</v>
      </c>
      <c r="D3072" t="s">
        <v>2857</v>
      </c>
      <c r="E3072" s="134">
        <v>2983.75</v>
      </c>
      <c r="F3072" t="s">
        <v>2816</v>
      </c>
    </row>
    <row r="3073" spans="1:6" x14ac:dyDescent="0.2">
      <c r="A3073" t="s">
        <v>2966</v>
      </c>
      <c r="B3073" t="s">
        <v>2967</v>
      </c>
      <c r="C3073">
        <v>16116077</v>
      </c>
      <c r="D3073" t="s">
        <v>2858</v>
      </c>
      <c r="E3073" s="134">
        <v>2983.75</v>
      </c>
      <c r="F3073" t="s">
        <v>2816</v>
      </c>
    </row>
    <row r="3074" spans="1:6" x14ac:dyDescent="0.2">
      <c r="A3074" t="s">
        <v>2966</v>
      </c>
      <c r="B3074" t="s">
        <v>2967</v>
      </c>
      <c r="C3074">
        <v>16116202</v>
      </c>
      <c r="D3074" t="s">
        <v>2859</v>
      </c>
      <c r="E3074" s="134">
        <v>2983.75</v>
      </c>
      <c r="F3074" t="s">
        <v>2816</v>
      </c>
    </row>
    <row r="3075" spans="1:6" x14ac:dyDescent="0.2">
      <c r="A3075" t="s">
        <v>2966</v>
      </c>
      <c r="B3075" t="s">
        <v>2967</v>
      </c>
      <c r="C3075">
        <v>16116477</v>
      </c>
      <c r="D3075" t="s">
        <v>2861</v>
      </c>
      <c r="E3075" s="134">
        <v>2983.75</v>
      </c>
      <c r="F3075" t="s">
        <v>2816</v>
      </c>
    </row>
    <row r="3076" spans="1:6" x14ac:dyDescent="0.2">
      <c r="A3076" t="s">
        <v>2966</v>
      </c>
      <c r="B3076" t="s">
        <v>2967</v>
      </c>
      <c r="C3076">
        <v>16116733</v>
      </c>
      <c r="D3076" t="s">
        <v>2862</v>
      </c>
      <c r="E3076" s="134">
        <v>2983.75</v>
      </c>
      <c r="F3076" t="s">
        <v>2816</v>
      </c>
    </row>
    <row r="3077" spans="1:6" x14ac:dyDescent="0.2">
      <c r="A3077" t="s">
        <v>2966</v>
      </c>
      <c r="B3077" t="s">
        <v>2967</v>
      </c>
      <c r="C3077">
        <v>16117582</v>
      </c>
      <c r="D3077" t="s">
        <v>2863</v>
      </c>
      <c r="E3077" s="134">
        <v>2983.75</v>
      </c>
      <c r="F3077" t="s">
        <v>2816</v>
      </c>
    </row>
    <row r="3078" spans="1:6" x14ac:dyDescent="0.2">
      <c r="A3078" t="s">
        <v>2966</v>
      </c>
      <c r="B3078" t="s">
        <v>2967</v>
      </c>
      <c r="C3078">
        <v>16117764</v>
      </c>
      <c r="D3078" t="s">
        <v>2864</v>
      </c>
      <c r="E3078" s="134">
        <v>2983.75</v>
      </c>
      <c r="F3078" t="s">
        <v>2816</v>
      </c>
    </row>
    <row r="3079" spans="1:6" x14ac:dyDescent="0.2">
      <c r="A3079" t="s">
        <v>2966</v>
      </c>
      <c r="B3079" t="s">
        <v>2967</v>
      </c>
      <c r="C3079">
        <v>16118421</v>
      </c>
      <c r="D3079" t="s">
        <v>2865</v>
      </c>
      <c r="E3079" s="134">
        <v>2983.75</v>
      </c>
      <c r="F3079" t="s">
        <v>2816</v>
      </c>
    </row>
    <row r="3080" spans="1:6" x14ac:dyDescent="0.2">
      <c r="A3080" t="s">
        <v>2966</v>
      </c>
      <c r="B3080" t="s">
        <v>2967</v>
      </c>
      <c r="C3080">
        <v>16118485</v>
      </c>
      <c r="D3080" t="s">
        <v>2866</v>
      </c>
      <c r="E3080" s="134">
        <v>2983.75</v>
      </c>
      <c r="F3080" t="s">
        <v>2816</v>
      </c>
    </row>
    <row r="3081" spans="1:6" x14ac:dyDescent="0.2">
      <c r="A3081" t="s">
        <v>2966</v>
      </c>
      <c r="B3081" t="s">
        <v>2967</v>
      </c>
      <c r="C3081">
        <v>16118701</v>
      </c>
      <c r="D3081" t="s">
        <v>2867</v>
      </c>
      <c r="E3081" s="134">
        <v>2983.75</v>
      </c>
      <c r="F3081" t="s">
        <v>2816</v>
      </c>
    </row>
    <row r="3082" spans="1:6" x14ac:dyDescent="0.2">
      <c r="A3082" t="s">
        <v>2966</v>
      </c>
      <c r="B3082" t="s">
        <v>2967</v>
      </c>
      <c r="C3082">
        <v>16118723</v>
      </c>
      <c r="D3082" t="s">
        <v>2868</v>
      </c>
      <c r="E3082" s="134">
        <v>2983.75</v>
      </c>
      <c r="F3082" t="s">
        <v>2816</v>
      </c>
    </row>
    <row r="3083" spans="1:6" x14ac:dyDescent="0.2">
      <c r="A3083" t="s">
        <v>2966</v>
      </c>
      <c r="B3083" t="s">
        <v>2967</v>
      </c>
      <c r="C3083">
        <v>16118874</v>
      </c>
      <c r="D3083" t="s">
        <v>2869</v>
      </c>
      <c r="E3083" s="134">
        <v>2983.75</v>
      </c>
      <c r="F3083" t="s">
        <v>2816</v>
      </c>
    </row>
    <row r="3084" spans="1:6" x14ac:dyDescent="0.2">
      <c r="A3084" t="s">
        <v>2966</v>
      </c>
      <c r="B3084" t="s">
        <v>2967</v>
      </c>
      <c r="C3084">
        <v>16118963</v>
      </c>
      <c r="D3084" t="s">
        <v>2870</v>
      </c>
      <c r="E3084" s="134">
        <v>2983.75</v>
      </c>
      <c r="F3084" t="s">
        <v>2816</v>
      </c>
    </row>
    <row r="3085" spans="1:6" x14ac:dyDescent="0.2">
      <c r="A3085" t="s">
        <v>2966</v>
      </c>
      <c r="B3085" t="s">
        <v>2967</v>
      </c>
      <c r="C3085">
        <v>16119048</v>
      </c>
      <c r="D3085" t="s">
        <v>2871</v>
      </c>
      <c r="E3085" s="134">
        <v>2983.75</v>
      </c>
      <c r="F3085" t="s">
        <v>2816</v>
      </c>
    </row>
    <row r="3086" spans="1:6" x14ac:dyDescent="0.2">
      <c r="A3086" t="s">
        <v>2966</v>
      </c>
      <c r="B3086" t="s">
        <v>2967</v>
      </c>
      <c r="C3086">
        <v>16119278</v>
      </c>
      <c r="D3086" t="s">
        <v>2872</v>
      </c>
      <c r="E3086" s="134">
        <v>2983.75</v>
      </c>
      <c r="F3086" t="s">
        <v>2816</v>
      </c>
    </row>
    <row r="3087" spans="1:6" x14ac:dyDescent="0.2">
      <c r="A3087" t="s">
        <v>2966</v>
      </c>
      <c r="B3087" t="s">
        <v>2967</v>
      </c>
      <c r="C3087">
        <v>16119354</v>
      </c>
      <c r="D3087" t="s">
        <v>2873</v>
      </c>
      <c r="E3087" s="134">
        <v>2983.75</v>
      </c>
      <c r="F3087" t="s">
        <v>2816</v>
      </c>
    </row>
    <row r="3088" spans="1:6" x14ac:dyDescent="0.2">
      <c r="A3088" t="s">
        <v>2966</v>
      </c>
      <c r="B3088" t="s">
        <v>2967</v>
      </c>
      <c r="C3088">
        <v>16119562</v>
      </c>
      <c r="D3088" t="s">
        <v>2874</v>
      </c>
      <c r="E3088" s="134">
        <v>2983.75</v>
      </c>
      <c r="F3088" t="s">
        <v>2816</v>
      </c>
    </row>
    <row r="3089" spans="1:6" x14ac:dyDescent="0.2">
      <c r="A3089" t="s">
        <v>2966</v>
      </c>
      <c r="B3089" t="s">
        <v>2967</v>
      </c>
      <c r="C3089">
        <v>16119563</v>
      </c>
      <c r="D3089" t="s">
        <v>2875</v>
      </c>
      <c r="E3089" s="134">
        <v>2983.75</v>
      </c>
      <c r="F3089" t="s">
        <v>2816</v>
      </c>
    </row>
    <row r="3090" spans="1:6" x14ac:dyDescent="0.2">
      <c r="A3090" t="s">
        <v>2966</v>
      </c>
      <c r="B3090" t="s">
        <v>2967</v>
      </c>
      <c r="C3090">
        <v>16119689</v>
      </c>
      <c r="D3090" t="s">
        <v>2876</v>
      </c>
      <c r="E3090" s="134">
        <v>2983.75</v>
      </c>
      <c r="F3090" t="s">
        <v>2816</v>
      </c>
    </row>
    <row r="3091" spans="1:6" x14ac:dyDescent="0.2">
      <c r="A3091" t="s">
        <v>2966</v>
      </c>
      <c r="B3091" t="s">
        <v>2967</v>
      </c>
      <c r="C3091">
        <v>16120137</v>
      </c>
      <c r="D3091" t="s">
        <v>2877</v>
      </c>
      <c r="E3091" s="134">
        <v>2983.75</v>
      </c>
      <c r="F3091" t="s">
        <v>2816</v>
      </c>
    </row>
    <row r="3092" spans="1:6" x14ac:dyDescent="0.2">
      <c r="A3092" t="s">
        <v>2966</v>
      </c>
      <c r="B3092" t="s">
        <v>2967</v>
      </c>
      <c r="C3092">
        <v>16120346</v>
      </c>
      <c r="D3092" t="s">
        <v>2878</v>
      </c>
      <c r="E3092" s="134">
        <v>2983.75</v>
      </c>
      <c r="F3092" t="s">
        <v>2816</v>
      </c>
    </row>
    <row r="3093" spans="1:6" x14ac:dyDescent="0.2">
      <c r="A3093" t="s">
        <v>2966</v>
      </c>
      <c r="B3093" t="s">
        <v>2967</v>
      </c>
      <c r="C3093">
        <v>16120702</v>
      </c>
      <c r="D3093" t="s">
        <v>2880</v>
      </c>
      <c r="E3093" s="134">
        <v>2983.75</v>
      </c>
      <c r="F3093" t="s">
        <v>2816</v>
      </c>
    </row>
    <row r="3094" spans="1:6" x14ac:dyDescent="0.2">
      <c r="A3094" t="s">
        <v>2966</v>
      </c>
      <c r="B3094" t="s">
        <v>2967</v>
      </c>
      <c r="C3094">
        <v>16121373</v>
      </c>
      <c r="D3094" t="s">
        <v>2881</v>
      </c>
      <c r="E3094" s="134">
        <v>1278.75</v>
      </c>
      <c r="F3094" t="s">
        <v>2816</v>
      </c>
    </row>
    <row r="3095" spans="1:6" x14ac:dyDescent="0.2">
      <c r="A3095" t="s">
        <v>2966</v>
      </c>
      <c r="B3095" t="s">
        <v>2967</v>
      </c>
      <c r="C3095">
        <v>16121712</v>
      </c>
      <c r="D3095" t="s">
        <v>2882</v>
      </c>
      <c r="E3095" s="134">
        <v>2983.75</v>
      </c>
      <c r="F3095" t="s">
        <v>2816</v>
      </c>
    </row>
    <row r="3096" spans="1:6" x14ac:dyDescent="0.2">
      <c r="A3096" t="s">
        <v>2966</v>
      </c>
      <c r="B3096" t="s">
        <v>2967</v>
      </c>
      <c r="C3096">
        <v>16121844</v>
      </c>
      <c r="D3096" t="s">
        <v>2883</v>
      </c>
      <c r="E3096" s="134">
        <v>2983.75</v>
      </c>
      <c r="F3096" t="s">
        <v>2816</v>
      </c>
    </row>
    <row r="3097" spans="1:6" x14ac:dyDescent="0.2">
      <c r="A3097" t="s">
        <v>2966</v>
      </c>
      <c r="B3097" t="s">
        <v>2967</v>
      </c>
      <c r="C3097">
        <v>16121937</v>
      </c>
      <c r="D3097" t="s">
        <v>2884</v>
      </c>
      <c r="E3097" s="134">
        <v>2983.75</v>
      </c>
      <c r="F3097" t="s">
        <v>2816</v>
      </c>
    </row>
    <row r="3098" spans="1:6" x14ac:dyDescent="0.2">
      <c r="A3098" t="s">
        <v>2966</v>
      </c>
      <c r="B3098" t="s">
        <v>2967</v>
      </c>
      <c r="C3098">
        <v>16122078</v>
      </c>
      <c r="D3098" t="s">
        <v>2885</v>
      </c>
      <c r="E3098" s="134">
        <v>2983.75</v>
      </c>
      <c r="F3098" t="s">
        <v>2816</v>
      </c>
    </row>
    <row r="3099" spans="1:6" x14ac:dyDescent="0.2">
      <c r="A3099" t="s">
        <v>2966</v>
      </c>
      <c r="B3099" t="s">
        <v>2967</v>
      </c>
      <c r="C3099">
        <v>16122204</v>
      </c>
      <c r="D3099" t="s">
        <v>2886</v>
      </c>
      <c r="E3099" s="134">
        <v>2983.75</v>
      </c>
      <c r="F3099" t="s">
        <v>2816</v>
      </c>
    </row>
    <row r="3100" spans="1:6" x14ac:dyDescent="0.2">
      <c r="A3100" t="s">
        <v>2966</v>
      </c>
      <c r="B3100" t="s">
        <v>2967</v>
      </c>
      <c r="C3100">
        <v>16122277</v>
      </c>
      <c r="D3100" t="s">
        <v>2887</v>
      </c>
      <c r="E3100" s="134">
        <v>2983.75</v>
      </c>
      <c r="F3100" t="s">
        <v>2816</v>
      </c>
    </row>
    <row r="3101" spans="1:6" x14ac:dyDescent="0.2">
      <c r="A3101" t="s">
        <v>2966</v>
      </c>
      <c r="B3101" t="s">
        <v>2967</v>
      </c>
      <c r="C3101">
        <v>16122298</v>
      </c>
      <c r="D3101" t="s">
        <v>2888</v>
      </c>
      <c r="E3101" s="134">
        <v>2983.75</v>
      </c>
      <c r="F3101" t="s">
        <v>2816</v>
      </c>
    </row>
    <row r="3102" spans="1:6" x14ac:dyDescent="0.2">
      <c r="A3102" t="s">
        <v>2966</v>
      </c>
      <c r="B3102" t="s">
        <v>2967</v>
      </c>
      <c r="C3102">
        <v>16122324</v>
      </c>
      <c r="D3102" t="s">
        <v>2889</v>
      </c>
      <c r="E3102" s="134">
        <v>2983.75</v>
      </c>
      <c r="F3102" t="s">
        <v>2816</v>
      </c>
    </row>
    <row r="3103" spans="1:6" x14ac:dyDescent="0.2">
      <c r="A3103" t="s">
        <v>2966</v>
      </c>
      <c r="B3103" t="s">
        <v>2967</v>
      </c>
      <c r="C3103">
        <v>16122376</v>
      </c>
      <c r="D3103" t="s">
        <v>2890</v>
      </c>
      <c r="E3103" s="134">
        <v>2983.75</v>
      </c>
      <c r="F3103" t="s">
        <v>2816</v>
      </c>
    </row>
    <row r="3104" spans="1:6" x14ac:dyDescent="0.2">
      <c r="A3104" t="s">
        <v>2966</v>
      </c>
      <c r="B3104" t="s">
        <v>2967</v>
      </c>
      <c r="C3104">
        <v>16122503</v>
      </c>
      <c r="D3104" t="s">
        <v>2891</v>
      </c>
      <c r="E3104" s="134">
        <v>2983.75</v>
      </c>
      <c r="F3104" t="s">
        <v>2816</v>
      </c>
    </row>
    <row r="3105" spans="1:6" x14ac:dyDescent="0.2">
      <c r="A3105" t="s">
        <v>2966</v>
      </c>
      <c r="B3105" t="s">
        <v>2967</v>
      </c>
      <c r="C3105">
        <v>16122568</v>
      </c>
      <c r="D3105" t="s">
        <v>2892</v>
      </c>
      <c r="E3105" s="134">
        <v>2983.75</v>
      </c>
      <c r="F3105" t="s">
        <v>2816</v>
      </c>
    </row>
    <row r="3106" spans="1:6" x14ac:dyDescent="0.2">
      <c r="A3106" t="s">
        <v>2966</v>
      </c>
      <c r="B3106" t="s">
        <v>2967</v>
      </c>
      <c r="C3106">
        <v>16123358</v>
      </c>
      <c r="D3106" t="s">
        <v>2893</v>
      </c>
      <c r="E3106" s="134">
        <v>2983.75</v>
      </c>
      <c r="F3106" t="s">
        <v>2816</v>
      </c>
    </row>
    <row r="3107" spans="1:6" x14ac:dyDescent="0.2">
      <c r="A3107" t="s">
        <v>2966</v>
      </c>
      <c r="B3107" t="s">
        <v>2967</v>
      </c>
      <c r="C3107">
        <v>16123499</v>
      </c>
      <c r="D3107" t="s">
        <v>2894</v>
      </c>
      <c r="E3107" s="134">
        <v>2983.75</v>
      </c>
      <c r="F3107" t="s">
        <v>2816</v>
      </c>
    </row>
    <row r="3108" spans="1:6" x14ac:dyDescent="0.2">
      <c r="A3108" t="s">
        <v>2966</v>
      </c>
      <c r="B3108" t="s">
        <v>2967</v>
      </c>
      <c r="C3108">
        <v>16123584</v>
      </c>
      <c r="D3108" t="s">
        <v>2895</v>
      </c>
      <c r="E3108" s="134">
        <v>2486.46</v>
      </c>
      <c r="F3108" t="s">
        <v>2816</v>
      </c>
    </row>
    <row r="3109" spans="1:6" x14ac:dyDescent="0.2">
      <c r="A3109" t="s">
        <v>2966</v>
      </c>
      <c r="B3109" t="s">
        <v>2967</v>
      </c>
      <c r="C3109">
        <v>16123585</v>
      </c>
      <c r="D3109" t="s">
        <v>2896</v>
      </c>
      <c r="E3109" s="134">
        <v>2983.75</v>
      </c>
      <c r="F3109" t="s">
        <v>2816</v>
      </c>
    </row>
    <row r="3110" spans="1:6" x14ac:dyDescent="0.2">
      <c r="A3110" t="s">
        <v>2966</v>
      </c>
      <c r="B3110" t="s">
        <v>2967</v>
      </c>
      <c r="C3110">
        <v>16123592</v>
      </c>
      <c r="D3110" t="s">
        <v>2897</v>
      </c>
      <c r="E3110" s="134">
        <v>2983.75</v>
      </c>
      <c r="F3110" t="s">
        <v>2816</v>
      </c>
    </row>
    <row r="3111" spans="1:6" x14ac:dyDescent="0.2">
      <c r="A3111" t="s">
        <v>2966</v>
      </c>
      <c r="B3111" t="s">
        <v>2967</v>
      </c>
      <c r="C3111">
        <v>16123664</v>
      </c>
      <c r="D3111" t="s">
        <v>2958</v>
      </c>
      <c r="E3111" s="134">
        <v>2983.75</v>
      </c>
      <c r="F3111" t="s">
        <v>2816</v>
      </c>
    </row>
    <row r="3112" spans="1:6" x14ac:dyDescent="0.2">
      <c r="A3112" t="s">
        <v>2966</v>
      </c>
      <c r="B3112" t="s">
        <v>2967</v>
      </c>
      <c r="C3112">
        <v>16123745</v>
      </c>
      <c r="D3112" t="s">
        <v>2898</v>
      </c>
      <c r="E3112" s="134">
        <v>2983.75</v>
      </c>
      <c r="F3112" t="s">
        <v>2816</v>
      </c>
    </row>
    <row r="3113" spans="1:6" x14ac:dyDescent="0.2">
      <c r="A3113" t="s">
        <v>2966</v>
      </c>
      <c r="B3113" t="s">
        <v>2967</v>
      </c>
      <c r="C3113">
        <v>16123764</v>
      </c>
      <c r="D3113" t="s">
        <v>2899</v>
      </c>
      <c r="E3113" s="134">
        <v>2983.75</v>
      </c>
      <c r="F3113" t="s">
        <v>2816</v>
      </c>
    </row>
    <row r="3114" spans="1:6" x14ac:dyDescent="0.2">
      <c r="A3114" t="s">
        <v>2966</v>
      </c>
      <c r="B3114" t="s">
        <v>2967</v>
      </c>
      <c r="C3114">
        <v>16123790</v>
      </c>
      <c r="D3114" t="s">
        <v>2900</v>
      </c>
      <c r="E3114" s="134">
        <v>2983.75</v>
      </c>
      <c r="F3114" t="s">
        <v>2816</v>
      </c>
    </row>
    <row r="3115" spans="1:6" x14ac:dyDescent="0.2">
      <c r="A3115" t="s">
        <v>2966</v>
      </c>
      <c r="B3115" t="s">
        <v>2967</v>
      </c>
      <c r="C3115">
        <v>16123864</v>
      </c>
      <c r="D3115" t="s">
        <v>2901</v>
      </c>
      <c r="E3115" s="134">
        <v>2983.75</v>
      </c>
      <c r="F3115" t="s">
        <v>2816</v>
      </c>
    </row>
    <row r="3116" spans="1:6" x14ac:dyDescent="0.2">
      <c r="A3116" t="s">
        <v>2966</v>
      </c>
      <c r="B3116" t="s">
        <v>2967</v>
      </c>
      <c r="C3116">
        <v>16123865</v>
      </c>
      <c r="D3116" t="s">
        <v>2902</v>
      </c>
      <c r="E3116" s="134">
        <v>2983.75</v>
      </c>
      <c r="F3116" t="s">
        <v>2816</v>
      </c>
    </row>
    <row r="3117" spans="1:6" x14ac:dyDescent="0.2">
      <c r="A3117" t="s">
        <v>2966</v>
      </c>
      <c r="B3117" t="s">
        <v>2967</v>
      </c>
      <c r="C3117">
        <v>16123866</v>
      </c>
      <c r="D3117" t="s">
        <v>2903</v>
      </c>
      <c r="E3117" s="134">
        <v>2983.75</v>
      </c>
      <c r="F3117" t="s">
        <v>2816</v>
      </c>
    </row>
    <row r="3118" spans="1:6" x14ac:dyDescent="0.2">
      <c r="A3118" t="s">
        <v>2966</v>
      </c>
      <c r="B3118" t="s">
        <v>2967</v>
      </c>
      <c r="C3118">
        <v>16123887</v>
      </c>
      <c r="D3118" t="s">
        <v>2904</v>
      </c>
      <c r="E3118" s="134">
        <v>2983.75</v>
      </c>
      <c r="F3118" t="s">
        <v>2816</v>
      </c>
    </row>
    <row r="3119" spans="1:6" x14ac:dyDescent="0.2">
      <c r="A3119" t="s">
        <v>2966</v>
      </c>
      <c r="B3119" t="s">
        <v>2967</v>
      </c>
      <c r="C3119">
        <v>16123909</v>
      </c>
      <c r="D3119" t="s">
        <v>2905</v>
      </c>
      <c r="E3119" s="134">
        <v>2983.75</v>
      </c>
      <c r="F3119" t="s">
        <v>2816</v>
      </c>
    </row>
    <row r="3120" spans="1:6" x14ac:dyDescent="0.2">
      <c r="A3120" t="s">
        <v>2966</v>
      </c>
      <c r="B3120" t="s">
        <v>2967</v>
      </c>
      <c r="C3120">
        <v>16123910</v>
      </c>
      <c r="D3120" t="s">
        <v>2906</v>
      </c>
      <c r="E3120" s="134">
        <v>2983.75</v>
      </c>
      <c r="F3120" t="s">
        <v>2816</v>
      </c>
    </row>
    <row r="3121" spans="1:6" x14ac:dyDescent="0.2">
      <c r="A3121" t="s">
        <v>2966</v>
      </c>
      <c r="B3121" t="s">
        <v>2967</v>
      </c>
      <c r="C3121">
        <v>16123937</v>
      </c>
      <c r="D3121" t="s">
        <v>2920</v>
      </c>
      <c r="E3121" s="134">
        <v>2983.75</v>
      </c>
      <c r="F3121" t="s">
        <v>2816</v>
      </c>
    </row>
    <row r="3122" spans="1:6" x14ac:dyDescent="0.2">
      <c r="A3122" t="s">
        <v>2966</v>
      </c>
      <c r="B3122" t="s">
        <v>2967</v>
      </c>
      <c r="C3122">
        <v>16123938</v>
      </c>
      <c r="D3122" t="s">
        <v>2909</v>
      </c>
      <c r="E3122" s="134">
        <v>2983.75</v>
      </c>
      <c r="F3122" t="s">
        <v>2816</v>
      </c>
    </row>
    <row r="3123" spans="1:6" x14ac:dyDescent="0.2">
      <c r="A3123" t="s">
        <v>2966</v>
      </c>
      <c r="B3123" t="s">
        <v>2967</v>
      </c>
      <c r="C3123">
        <v>16124000</v>
      </c>
      <c r="D3123" t="s">
        <v>2959</v>
      </c>
      <c r="E3123" s="134">
        <v>2983.75</v>
      </c>
      <c r="F3123" t="s">
        <v>2816</v>
      </c>
    </row>
    <row r="3124" spans="1:6" x14ac:dyDescent="0.2">
      <c r="A3124" t="s">
        <v>2966</v>
      </c>
      <c r="B3124" t="s">
        <v>2967</v>
      </c>
      <c r="C3124">
        <v>16124001</v>
      </c>
      <c r="D3124" t="s">
        <v>2960</v>
      </c>
      <c r="E3124" s="134">
        <v>2983.75</v>
      </c>
      <c r="F3124" t="s">
        <v>2816</v>
      </c>
    </row>
    <row r="3125" spans="1:6" x14ac:dyDescent="0.2">
      <c r="A3125" t="s">
        <v>2966</v>
      </c>
      <c r="B3125" t="s">
        <v>2967</v>
      </c>
      <c r="C3125">
        <v>16124018</v>
      </c>
      <c r="D3125" t="s">
        <v>2961</v>
      </c>
      <c r="E3125" s="134">
        <v>2983.75</v>
      </c>
      <c r="F3125" t="s">
        <v>2816</v>
      </c>
    </row>
    <row r="3126" spans="1:6" x14ac:dyDescent="0.2">
      <c r="A3126" t="s">
        <v>2966</v>
      </c>
      <c r="B3126" t="s">
        <v>2967</v>
      </c>
      <c r="C3126">
        <v>16124047</v>
      </c>
      <c r="D3126" t="s">
        <v>2962</v>
      </c>
      <c r="E3126" s="134">
        <v>2983.75</v>
      </c>
      <c r="F3126" t="s">
        <v>2816</v>
      </c>
    </row>
    <row r="3127" spans="1:6" x14ac:dyDescent="0.2">
      <c r="A3127" t="s">
        <v>2966</v>
      </c>
      <c r="B3127" t="s">
        <v>2967</v>
      </c>
      <c r="C3127">
        <v>14100751</v>
      </c>
      <c r="D3127" t="s">
        <v>320</v>
      </c>
      <c r="E3127" s="134">
        <v>3381.07</v>
      </c>
      <c r="F3127" t="s">
        <v>2816</v>
      </c>
    </row>
    <row r="3128" spans="1:6" x14ac:dyDescent="0.2">
      <c r="A3128" t="s">
        <v>2966</v>
      </c>
      <c r="B3128" t="s">
        <v>2967</v>
      </c>
      <c r="C3128">
        <v>14102081</v>
      </c>
      <c r="D3128" t="s">
        <v>28</v>
      </c>
      <c r="E3128" s="134">
        <v>3381.07</v>
      </c>
      <c r="F3128" t="s">
        <v>2816</v>
      </c>
    </row>
    <row r="3129" spans="1:6" x14ac:dyDescent="0.2">
      <c r="A3129" t="s">
        <v>2966</v>
      </c>
      <c r="B3129" t="s">
        <v>2967</v>
      </c>
      <c r="C3129">
        <v>14103936</v>
      </c>
      <c r="D3129" t="s">
        <v>291</v>
      </c>
      <c r="E3129" s="134">
        <v>3381.07</v>
      </c>
      <c r="F3129" t="s">
        <v>2816</v>
      </c>
    </row>
    <row r="3130" spans="1:6" x14ac:dyDescent="0.2">
      <c r="A3130" t="s">
        <v>2966</v>
      </c>
      <c r="B3130" t="s">
        <v>2967</v>
      </c>
      <c r="C3130">
        <v>14104853</v>
      </c>
      <c r="D3130" t="s">
        <v>181</v>
      </c>
      <c r="E3130" s="134">
        <v>3381.07</v>
      </c>
      <c r="F3130" t="s">
        <v>2816</v>
      </c>
    </row>
    <row r="3131" spans="1:6" x14ac:dyDescent="0.2">
      <c r="A3131" t="s">
        <v>2966</v>
      </c>
      <c r="B3131" t="s">
        <v>2967</v>
      </c>
      <c r="C3131">
        <v>14104957</v>
      </c>
      <c r="D3131" t="s">
        <v>303</v>
      </c>
      <c r="E3131" s="134">
        <v>3381.07</v>
      </c>
      <c r="F3131" t="s">
        <v>2816</v>
      </c>
    </row>
    <row r="3132" spans="1:6" x14ac:dyDescent="0.2">
      <c r="A3132" t="s">
        <v>2966</v>
      </c>
      <c r="B3132" t="s">
        <v>2967</v>
      </c>
      <c r="C3132">
        <v>14106066</v>
      </c>
      <c r="D3132" t="s">
        <v>49</v>
      </c>
      <c r="E3132" s="134">
        <v>3381.07</v>
      </c>
      <c r="F3132" t="s">
        <v>2816</v>
      </c>
    </row>
    <row r="3133" spans="1:6" x14ac:dyDescent="0.2">
      <c r="A3133" t="s">
        <v>2966</v>
      </c>
      <c r="B3133" t="s">
        <v>2967</v>
      </c>
      <c r="C3133">
        <v>14107271</v>
      </c>
      <c r="D3133" t="s">
        <v>60</v>
      </c>
      <c r="E3133" s="134">
        <v>3381.07</v>
      </c>
      <c r="F3133" t="s">
        <v>2816</v>
      </c>
    </row>
    <row r="3134" spans="1:6" x14ac:dyDescent="0.2">
      <c r="A3134" t="s">
        <v>2966</v>
      </c>
      <c r="B3134" t="s">
        <v>2967</v>
      </c>
      <c r="C3134">
        <v>14109738</v>
      </c>
      <c r="D3134" t="s">
        <v>93</v>
      </c>
      <c r="E3134" s="134">
        <v>3381.07</v>
      </c>
      <c r="F3134" t="s">
        <v>2816</v>
      </c>
    </row>
    <row r="3135" spans="1:6" x14ac:dyDescent="0.2">
      <c r="A3135" t="s">
        <v>2966</v>
      </c>
      <c r="B3135" t="s">
        <v>2967</v>
      </c>
      <c r="C3135">
        <v>14109748</v>
      </c>
      <c r="D3135" t="s">
        <v>94</v>
      </c>
      <c r="E3135" s="134">
        <v>3381.07</v>
      </c>
      <c r="F3135" t="s">
        <v>2816</v>
      </c>
    </row>
    <row r="3136" spans="1:6" x14ac:dyDescent="0.2">
      <c r="A3136" t="s">
        <v>2966</v>
      </c>
      <c r="B3136" t="s">
        <v>2967</v>
      </c>
      <c r="C3136">
        <v>14109802</v>
      </c>
      <c r="D3136" t="s">
        <v>95</v>
      </c>
      <c r="E3136" s="134">
        <v>3381.07</v>
      </c>
      <c r="F3136" t="s">
        <v>2816</v>
      </c>
    </row>
    <row r="3137" spans="1:6" x14ac:dyDescent="0.2">
      <c r="A3137" t="s">
        <v>2966</v>
      </c>
      <c r="B3137" t="s">
        <v>2967</v>
      </c>
      <c r="C3137">
        <v>14109874</v>
      </c>
      <c r="D3137" t="s">
        <v>97</v>
      </c>
      <c r="E3137" s="134">
        <v>3381.07</v>
      </c>
      <c r="F3137" t="s">
        <v>2816</v>
      </c>
    </row>
    <row r="3138" spans="1:6" x14ac:dyDescent="0.2">
      <c r="A3138" t="s">
        <v>2966</v>
      </c>
      <c r="B3138" t="s">
        <v>2967</v>
      </c>
      <c r="C3138">
        <v>14110550</v>
      </c>
      <c r="D3138" t="s">
        <v>103</v>
      </c>
      <c r="E3138" s="134">
        <v>3381.07</v>
      </c>
      <c r="F3138" t="s">
        <v>2816</v>
      </c>
    </row>
    <row r="3139" spans="1:6" x14ac:dyDescent="0.2">
      <c r="A3139" t="s">
        <v>2966</v>
      </c>
      <c r="B3139" t="s">
        <v>2967</v>
      </c>
      <c r="C3139">
        <v>14110707</v>
      </c>
      <c r="D3139" t="s">
        <v>267</v>
      </c>
      <c r="E3139" s="134">
        <v>3381.07</v>
      </c>
      <c r="F3139" t="s">
        <v>2816</v>
      </c>
    </row>
    <row r="3140" spans="1:6" x14ac:dyDescent="0.2">
      <c r="A3140" t="s">
        <v>2966</v>
      </c>
      <c r="B3140" t="s">
        <v>2967</v>
      </c>
      <c r="C3140">
        <v>14110765</v>
      </c>
      <c r="D3140" t="s">
        <v>105</v>
      </c>
      <c r="E3140" s="134">
        <v>3381.07</v>
      </c>
      <c r="F3140" t="s">
        <v>2816</v>
      </c>
    </row>
    <row r="3141" spans="1:6" x14ac:dyDescent="0.2">
      <c r="A3141" t="s">
        <v>2966</v>
      </c>
      <c r="B3141" t="s">
        <v>2967</v>
      </c>
      <c r="C3141">
        <v>14110974</v>
      </c>
      <c r="D3141" t="s">
        <v>107</v>
      </c>
      <c r="E3141" s="134">
        <v>3381.07</v>
      </c>
      <c r="F3141" t="s">
        <v>2816</v>
      </c>
    </row>
    <row r="3142" spans="1:6" x14ac:dyDescent="0.2">
      <c r="A3142" t="s">
        <v>2966</v>
      </c>
      <c r="B3142" t="s">
        <v>2967</v>
      </c>
      <c r="C3142">
        <v>14111675</v>
      </c>
      <c r="D3142" t="s">
        <v>112</v>
      </c>
      <c r="E3142" s="134">
        <v>3381.07</v>
      </c>
      <c r="F3142" t="s">
        <v>2816</v>
      </c>
    </row>
    <row r="3143" spans="1:6" x14ac:dyDescent="0.2">
      <c r="A3143" t="s">
        <v>2966</v>
      </c>
      <c r="B3143" t="s">
        <v>2967</v>
      </c>
      <c r="C3143">
        <v>14113146</v>
      </c>
      <c r="D3143" t="s">
        <v>124</v>
      </c>
      <c r="E3143" s="134">
        <v>3381.07</v>
      </c>
      <c r="F3143" t="s">
        <v>2816</v>
      </c>
    </row>
    <row r="3144" spans="1:6" x14ac:dyDescent="0.2">
      <c r="A3144" t="s">
        <v>2966</v>
      </c>
      <c r="B3144" t="s">
        <v>2967</v>
      </c>
      <c r="C3144">
        <v>14113565</v>
      </c>
      <c r="D3144" t="s">
        <v>129</v>
      </c>
      <c r="E3144" s="134">
        <v>3381.07</v>
      </c>
      <c r="F3144" t="s">
        <v>2816</v>
      </c>
    </row>
    <row r="3145" spans="1:6" x14ac:dyDescent="0.2">
      <c r="A3145" t="s">
        <v>2966</v>
      </c>
      <c r="B3145" t="s">
        <v>2967</v>
      </c>
      <c r="C3145">
        <v>14113803</v>
      </c>
      <c r="D3145" t="s">
        <v>296</v>
      </c>
      <c r="E3145" s="134">
        <v>3381.07</v>
      </c>
      <c r="F3145" t="s">
        <v>2816</v>
      </c>
    </row>
    <row r="3146" spans="1:6" x14ac:dyDescent="0.2">
      <c r="A3146" t="s">
        <v>2966</v>
      </c>
      <c r="B3146" t="s">
        <v>2967</v>
      </c>
      <c r="C3146">
        <v>14114320</v>
      </c>
      <c r="D3146" t="s">
        <v>312</v>
      </c>
      <c r="E3146" s="134">
        <v>3381.07</v>
      </c>
      <c r="F3146" t="s">
        <v>2816</v>
      </c>
    </row>
    <row r="3147" spans="1:6" x14ac:dyDescent="0.2">
      <c r="A3147" t="s">
        <v>2966</v>
      </c>
      <c r="B3147" t="s">
        <v>2967</v>
      </c>
      <c r="C3147">
        <v>14114737</v>
      </c>
      <c r="D3147" t="s">
        <v>139</v>
      </c>
      <c r="E3147" s="134">
        <v>3381.07</v>
      </c>
      <c r="F3147" t="s">
        <v>2816</v>
      </c>
    </row>
    <row r="3148" spans="1:6" x14ac:dyDescent="0.2">
      <c r="A3148" t="s">
        <v>2966</v>
      </c>
      <c r="B3148" t="s">
        <v>2967</v>
      </c>
      <c r="C3148">
        <v>14115244</v>
      </c>
      <c r="D3148" t="s">
        <v>141</v>
      </c>
      <c r="E3148" s="134">
        <v>3381.07</v>
      </c>
      <c r="F3148" t="s">
        <v>2816</v>
      </c>
    </row>
    <row r="3149" spans="1:6" x14ac:dyDescent="0.2">
      <c r="A3149" t="s">
        <v>2966</v>
      </c>
      <c r="B3149" t="s">
        <v>2967</v>
      </c>
      <c r="C3149">
        <v>14115304</v>
      </c>
      <c r="D3149" t="s">
        <v>142</v>
      </c>
      <c r="E3149" s="134">
        <v>3381.07</v>
      </c>
      <c r="F3149" t="s">
        <v>2816</v>
      </c>
    </row>
    <row r="3150" spans="1:6" x14ac:dyDescent="0.2">
      <c r="A3150" t="s">
        <v>2966</v>
      </c>
      <c r="B3150" t="s">
        <v>2967</v>
      </c>
      <c r="C3150">
        <v>14115435</v>
      </c>
      <c r="D3150" t="s">
        <v>143</v>
      </c>
      <c r="E3150" s="134">
        <v>3381.07</v>
      </c>
      <c r="F3150" t="s">
        <v>2816</v>
      </c>
    </row>
    <row r="3151" spans="1:6" x14ac:dyDescent="0.2">
      <c r="A3151" t="s">
        <v>2966</v>
      </c>
      <c r="B3151" t="s">
        <v>2967</v>
      </c>
      <c r="C3151">
        <v>14115820</v>
      </c>
      <c r="D3151" t="s">
        <v>148</v>
      </c>
      <c r="E3151" s="134">
        <v>3381.07</v>
      </c>
      <c r="F3151" t="s">
        <v>2816</v>
      </c>
    </row>
    <row r="3152" spans="1:6" x14ac:dyDescent="0.2">
      <c r="A3152" t="s">
        <v>2966</v>
      </c>
      <c r="B3152" t="s">
        <v>2967</v>
      </c>
      <c r="C3152">
        <v>14116134</v>
      </c>
      <c r="D3152" t="s">
        <v>156</v>
      </c>
      <c r="E3152" s="134">
        <v>3381.07</v>
      </c>
      <c r="F3152" t="s">
        <v>2816</v>
      </c>
    </row>
    <row r="3153" spans="1:6" x14ac:dyDescent="0.2">
      <c r="A3153" t="s">
        <v>2966</v>
      </c>
      <c r="B3153" t="s">
        <v>2967</v>
      </c>
      <c r="C3153">
        <v>14116352</v>
      </c>
      <c r="D3153" t="s">
        <v>159</v>
      </c>
      <c r="E3153" s="134">
        <v>3381.07</v>
      </c>
      <c r="F3153" t="s">
        <v>2816</v>
      </c>
    </row>
    <row r="3154" spans="1:6" x14ac:dyDescent="0.2">
      <c r="A3154" t="s">
        <v>2966</v>
      </c>
      <c r="B3154" t="s">
        <v>2967</v>
      </c>
      <c r="C3154">
        <v>14116643</v>
      </c>
      <c r="D3154" t="s">
        <v>292</v>
      </c>
      <c r="E3154" s="134">
        <v>3381.07</v>
      </c>
      <c r="F3154" t="s">
        <v>2816</v>
      </c>
    </row>
    <row r="3155" spans="1:6" x14ac:dyDescent="0.2">
      <c r="A3155" t="s">
        <v>2966</v>
      </c>
      <c r="B3155" t="s">
        <v>2967</v>
      </c>
      <c r="C3155">
        <v>14116860</v>
      </c>
      <c r="D3155" t="s">
        <v>170</v>
      </c>
      <c r="E3155" s="134">
        <v>3381.07</v>
      </c>
      <c r="F3155" t="s">
        <v>2816</v>
      </c>
    </row>
    <row r="3156" spans="1:6" x14ac:dyDescent="0.2">
      <c r="A3156" t="s">
        <v>2966</v>
      </c>
      <c r="B3156" t="s">
        <v>2967</v>
      </c>
      <c r="C3156">
        <v>14117158</v>
      </c>
      <c r="D3156" t="s">
        <v>172</v>
      </c>
      <c r="E3156" s="134">
        <v>3381.07</v>
      </c>
      <c r="F3156" t="s">
        <v>2816</v>
      </c>
    </row>
    <row r="3157" spans="1:6" x14ac:dyDescent="0.2">
      <c r="A3157" t="s">
        <v>2966</v>
      </c>
      <c r="B3157" t="s">
        <v>2967</v>
      </c>
      <c r="C3157">
        <v>14117508</v>
      </c>
      <c r="D3157" t="s">
        <v>313</v>
      </c>
      <c r="E3157" s="134">
        <v>3381.07</v>
      </c>
      <c r="F3157" t="s">
        <v>2816</v>
      </c>
    </row>
    <row r="3158" spans="1:6" x14ac:dyDescent="0.2">
      <c r="A3158" t="s">
        <v>2966</v>
      </c>
      <c r="B3158" t="s">
        <v>2967</v>
      </c>
      <c r="C3158">
        <v>14118341</v>
      </c>
      <c r="D3158" t="s">
        <v>195</v>
      </c>
      <c r="E3158" s="134">
        <v>3381.07</v>
      </c>
      <c r="F3158" t="s">
        <v>2816</v>
      </c>
    </row>
    <row r="3159" spans="1:6" x14ac:dyDescent="0.2">
      <c r="A3159" t="s">
        <v>2966</v>
      </c>
      <c r="B3159" t="s">
        <v>2967</v>
      </c>
      <c r="C3159">
        <v>14118501</v>
      </c>
      <c r="D3159" t="s">
        <v>199</v>
      </c>
      <c r="E3159" s="134">
        <v>3381.07</v>
      </c>
      <c r="F3159" t="s">
        <v>2816</v>
      </c>
    </row>
    <row r="3160" spans="1:6" x14ac:dyDescent="0.2">
      <c r="A3160" t="s">
        <v>2966</v>
      </c>
      <c r="B3160" t="s">
        <v>2967</v>
      </c>
      <c r="C3160">
        <v>14118505</v>
      </c>
      <c r="D3160" t="s">
        <v>349</v>
      </c>
      <c r="E3160" s="134">
        <v>3381.07</v>
      </c>
      <c r="F3160" t="s">
        <v>2816</v>
      </c>
    </row>
    <row r="3161" spans="1:6" x14ac:dyDescent="0.2">
      <c r="A3161" t="s">
        <v>2966</v>
      </c>
      <c r="B3161" t="s">
        <v>2967</v>
      </c>
      <c r="C3161">
        <v>14118773</v>
      </c>
      <c r="D3161" t="s">
        <v>210</v>
      </c>
      <c r="E3161" s="134">
        <v>3381.07</v>
      </c>
      <c r="F3161" t="s">
        <v>2816</v>
      </c>
    </row>
    <row r="3162" spans="1:6" x14ac:dyDescent="0.2">
      <c r="A3162" t="s">
        <v>2966</v>
      </c>
      <c r="B3162" t="s">
        <v>2967</v>
      </c>
      <c r="C3162">
        <v>14118958</v>
      </c>
      <c r="D3162" t="s">
        <v>367</v>
      </c>
      <c r="E3162" s="134">
        <v>3381.07</v>
      </c>
      <c r="F3162" t="s">
        <v>2816</v>
      </c>
    </row>
    <row r="3163" spans="1:6" x14ac:dyDescent="0.2">
      <c r="A3163" t="s">
        <v>2966</v>
      </c>
      <c r="B3163" t="s">
        <v>2967</v>
      </c>
      <c r="C3163">
        <v>14119958</v>
      </c>
      <c r="D3163" t="s">
        <v>270</v>
      </c>
      <c r="E3163" s="134">
        <v>3381.07</v>
      </c>
      <c r="F3163" t="s">
        <v>2816</v>
      </c>
    </row>
    <row r="3164" spans="1:6" x14ac:dyDescent="0.2">
      <c r="A3164" t="s">
        <v>2966</v>
      </c>
      <c r="B3164" t="s">
        <v>2967</v>
      </c>
      <c r="C3164">
        <v>14120091</v>
      </c>
      <c r="D3164" t="s">
        <v>275</v>
      </c>
      <c r="E3164" s="134">
        <v>3381.07</v>
      </c>
      <c r="F3164" t="s">
        <v>2816</v>
      </c>
    </row>
    <row r="3165" spans="1:6" x14ac:dyDescent="0.2">
      <c r="A3165" t="s">
        <v>2966</v>
      </c>
      <c r="B3165" t="s">
        <v>2967</v>
      </c>
      <c r="C3165">
        <v>14120104</v>
      </c>
      <c r="D3165" t="s">
        <v>276</v>
      </c>
      <c r="E3165" s="134">
        <v>3381.07</v>
      </c>
      <c r="F3165" t="s">
        <v>2816</v>
      </c>
    </row>
    <row r="3166" spans="1:6" x14ac:dyDescent="0.2">
      <c r="A3166" t="s">
        <v>2966</v>
      </c>
      <c r="B3166" t="s">
        <v>2967</v>
      </c>
      <c r="C3166">
        <v>14120351</v>
      </c>
      <c r="D3166" t="s">
        <v>285</v>
      </c>
      <c r="E3166" s="134">
        <v>3381.07</v>
      </c>
      <c r="F3166" t="s">
        <v>2816</v>
      </c>
    </row>
    <row r="3167" spans="1:6" x14ac:dyDescent="0.2">
      <c r="A3167" t="s">
        <v>2966</v>
      </c>
      <c r="B3167" t="s">
        <v>2967</v>
      </c>
      <c r="C3167">
        <v>14120489</v>
      </c>
      <c r="D3167" t="s">
        <v>288</v>
      </c>
      <c r="E3167" s="134">
        <v>3381.07</v>
      </c>
      <c r="F3167" t="s">
        <v>2816</v>
      </c>
    </row>
    <row r="3168" spans="1:6" x14ac:dyDescent="0.2">
      <c r="A3168" t="s">
        <v>2966</v>
      </c>
      <c r="B3168" t="s">
        <v>2967</v>
      </c>
      <c r="C3168">
        <v>14120611</v>
      </c>
      <c r="D3168" t="s">
        <v>289</v>
      </c>
      <c r="E3168" s="134">
        <v>3381.07</v>
      </c>
      <c r="F3168" t="s">
        <v>2816</v>
      </c>
    </row>
    <row r="3169" spans="1:6" x14ac:dyDescent="0.2">
      <c r="A3169" t="s">
        <v>2966</v>
      </c>
      <c r="B3169" t="s">
        <v>2967</v>
      </c>
      <c r="C3169">
        <v>14120613</v>
      </c>
      <c r="D3169" t="s">
        <v>290</v>
      </c>
      <c r="E3169" s="134">
        <v>3381.07</v>
      </c>
      <c r="F3169" t="s">
        <v>2816</v>
      </c>
    </row>
    <row r="3170" spans="1:6" x14ac:dyDescent="0.2">
      <c r="A3170" t="s">
        <v>2966</v>
      </c>
      <c r="B3170" t="s">
        <v>2967</v>
      </c>
      <c r="C3170">
        <v>14120655</v>
      </c>
      <c r="D3170" t="s">
        <v>293</v>
      </c>
      <c r="E3170" s="134">
        <v>3381.07</v>
      </c>
      <c r="F3170" t="s">
        <v>2816</v>
      </c>
    </row>
    <row r="3171" spans="1:6" x14ac:dyDescent="0.2">
      <c r="A3171" t="s">
        <v>2966</v>
      </c>
      <c r="B3171" t="s">
        <v>2967</v>
      </c>
      <c r="C3171">
        <v>14120668</v>
      </c>
      <c r="D3171" t="s">
        <v>294</v>
      </c>
      <c r="E3171" s="134">
        <v>3381.07</v>
      </c>
      <c r="F3171" t="s">
        <v>2816</v>
      </c>
    </row>
    <row r="3172" spans="1:6" x14ac:dyDescent="0.2">
      <c r="A3172" t="s">
        <v>2966</v>
      </c>
      <c r="B3172" t="s">
        <v>2967</v>
      </c>
      <c r="C3172">
        <v>14120788</v>
      </c>
      <c r="D3172" t="s">
        <v>297</v>
      </c>
      <c r="E3172" s="134">
        <v>2415.0500000000002</v>
      </c>
      <c r="F3172" t="s">
        <v>2816</v>
      </c>
    </row>
    <row r="3173" spans="1:6" x14ac:dyDescent="0.2">
      <c r="A3173" t="s">
        <v>2966</v>
      </c>
      <c r="B3173" t="s">
        <v>2967</v>
      </c>
      <c r="C3173">
        <v>14120789</v>
      </c>
      <c r="D3173" t="s">
        <v>298</v>
      </c>
      <c r="E3173" s="134">
        <v>3381.07</v>
      </c>
      <c r="F3173" t="s">
        <v>2816</v>
      </c>
    </row>
    <row r="3174" spans="1:6" x14ac:dyDescent="0.2">
      <c r="A3174" t="s">
        <v>2966</v>
      </c>
      <c r="B3174" t="s">
        <v>2967</v>
      </c>
      <c r="C3174">
        <v>14120806</v>
      </c>
      <c r="D3174" t="s">
        <v>299</v>
      </c>
      <c r="E3174" s="134">
        <v>3381.07</v>
      </c>
      <c r="F3174" t="s">
        <v>2816</v>
      </c>
    </row>
    <row r="3175" spans="1:6" x14ac:dyDescent="0.2">
      <c r="A3175" t="s">
        <v>2966</v>
      </c>
      <c r="B3175" t="s">
        <v>2967</v>
      </c>
      <c r="C3175">
        <v>14120807</v>
      </c>
      <c r="D3175" t="s">
        <v>300</v>
      </c>
      <c r="E3175" s="134">
        <v>3381.07</v>
      </c>
      <c r="F3175" t="s">
        <v>2816</v>
      </c>
    </row>
    <row r="3176" spans="1:6" x14ac:dyDescent="0.2">
      <c r="A3176" t="s">
        <v>2966</v>
      </c>
      <c r="B3176" t="s">
        <v>2967</v>
      </c>
      <c r="C3176">
        <v>14120850</v>
      </c>
      <c r="D3176" t="s">
        <v>301</v>
      </c>
      <c r="E3176" s="134">
        <v>3381.07</v>
      </c>
      <c r="F3176" t="s">
        <v>2816</v>
      </c>
    </row>
    <row r="3177" spans="1:6" x14ac:dyDescent="0.2">
      <c r="A3177" t="s">
        <v>2966</v>
      </c>
      <c r="B3177" t="s">
        <v>2967</v>
      </c>
      <c r="C3177">
        <v>14120885</v>
      </c>
      <c r="D3177" t="s">
        <v>302</v>
      </c>
      <c r="E3177" s="134">
        <v>3381.07</v>
      </c>
      <c r="F3177" t="s">
        <v>2816</v>
      </c>
    </row>
    <row r="3178" spans="1:6" x14ac:dyDescent="0.2">
      <c r="A3178" t="s">
        <v>2966</v>
      </c>
      <c r="B3178" t="s">
        <v>2967</v>
      </c>
      <c r="C3178">
        <v>14120925</v>
      </c>
      <c r="D3178" t="s">
        <v>304</v>
      </c>
      <c r="E3178" s="134">
        <v>3381.07</v>
      </c>
      <c r="F3178" t="s">
        <v>2816</v>
      </c>
    </row>
    <row r="3179" spans="1:6" x14ac:dyDescent="0.2">
      <c r="A3179" t="s">
        <v>2966</v>
      </c>
      <c r="B3179" t="s">
        <v>2967</v>
      </c>
      <c r="C3179">
        <v>14121013</v>
      </c>
      <c r="D3179" t="s">
        <v>305</v>
      </c>
      <c r="E3179" s="134">
        <v>3381.07</v>
      </c>
      <c r="F3179" t="s">
        <v>2816</v>
      </c>
    </row>
    <row r="3180" spans="1:6" x14ac:dyDescent="0.2">
      <c r="A3180" t="s">
        <v>2966</v>
      </c>
      <c r="B3180" t="s">
        <v>2967</v>
      </c>
      <c r="C3180">
        <v>14121015</v>
      </c>
      <c r="D3180" t="s">
        <v>306</v>
      </c>
      <c r="E3180" s="134">
        <v>3381.07</v>
      </c>
      <c r="F3180" t="s">
        <v>2816</v>
      </c>
    </row>
    <row r="3181" spans="1:6" x14ac:dyDescent="0.2">
      <c r="A3181" t="s">
        <v>2966</v>
      </c>
      <c r="B3181" t="s">
        <v>2967</v>
      </c>
      <c r="C3181">
        <v>14121103</v>
      </c>
      <c r="D3181" t="s">
        <v>307</v>
      </c>
      <c r="E3181" s="134">
        <v>3381.07</v>
      </c>
      <c r="F3181" t="s">
        <v>2816</v>
      </c>
    </row>
    <row r="3182" spans="1:6" x14ac:dyDescent="0.2">
      <c r="A3182" t="s">
        <v>2966</v>
      </c>
      <c r="B3182" t="s">
        <v>2967</v>
      </c>
      <c r="C3182">
        <v>14121104</v>
      </c>
      <c r="D3182" t="s">
        <v>308</v>
      </c>
      <c r="E3182" s="134">
        <v>3381.07</v>
      </c>
      <c r="F3182" t="s">
        <v>2816</v>
      </c>
    </row>
    <row r="3183" spans="1:6" x14ac:dyDescent="0.2">
      <c r="A3183" t="s">
        <v>2966</v>
      </c>
      <c r="B3183" t="s">
        <v>2967</v>
      </c>
      <c r="C3183">
        <v>14121116</v>
      </c>
      <c r="D3183" t="s">
        <v>314</v>
      </c>
      <c r="E3183" s="134">
        <v>3381.07</v>
      </c>
      <c r="F3183" t="s">
        <v>2816</v>
      </c>
    </row>
    <row r="3184" spans="1:6" x14ac:dyDescent="0.2">
      <c r="A3184" t="s">
        <v>2966</v>
      </c>
      <c r="B3184" t="s">
        <v>2967</v>
      </c>
      <c r="C3184">
        <v>14121152</v>
      </c>
      <c r="D3184" t="s">
        <v>315</v>
      </c>
      <c r="E3184" s="134">
        <v>3381.07</v>
      </c>
      <c r="F3184" t="s">
        <v>2816</v>
      </c>
    </row>
    <row r="3185" spans="1:6" x14ac:dyDescent="0.2">
      <c r="A3185" t="s">
        <v>2966</v>
      </c>
      <c r="B3185" t="s">
        <v>2967</v>
      </c>
      <c r="C3185">
        <v>14121153</v>
      </c>
      <c r="D3185" t="s">
        <v>316</v>
      </c>
      <c r="E3185" s="134">
        <v>3381.07</v>
      </c>
      <c r="F3185" t="s">
        <v>2816</v>
      </c>
    </row>
    <row r="3186" spans="1:6" x14ac:dyDescent="0.2">
      <c r="A3186" t="s">
        <v>2966</v>
      </c>
      <c r="B3186" t="s">
        <v>2967</v>
      </c>
      <c r="C3186">
        <v>14121158</v>
      </c>
      <c r="D3186" t="s">
        <v>317</v>
      </c>
      <c r="E3186" s="134">
        <v>3381.07</v>
      </c>
      <c r="F3186" t="s">
        <v>2816</v>
      </c>
    </row>
    <row r="3187" spans="1:6" x14ac:dyDescent="0.2">
      <c r="A3187" t="s">
        <v>2966</v>
      </c>
      <c r="B3187" t="s">
        <v>2967</v>
      </c>
      <c r="C3187">
        <v>14121159</v>
      </c>
      <c r="D3187" t="s">
        <v>318</v>
      </c>
      <c r="E3187" s="134">
        <v>3381.07</v>
      </c>
      <c r="F3187" t="s">
        <v>2816</v>
      </c>
    </row>
    <row r="3188" spans="1:6" x14ac:dyDescent="0.2">
      <c r="A3188" t="s">
        <v>2966</v>
      </c>
      <c r="B3188" t="s">
        <v>2967</v>
      </c>
      <c r="C3188">
        <v>14121193</v>
      </c>
      <c r="D3188" t="s">
        <v>319</v>
      </c>
      <c r="E3188" s="134">
        <v>3381.07</v>
      </c>
      <c r="F3188" t="s">
        <v>2816</v>
      </c>
    </row>
    <row r="3189" spans="1:6" x14ac:dyDescent="0.2">
      <c r="A3189" t="s">
        <v>2966</v>
      </c>
      <c r="B3189" t="s">
        <v>2967</v>
      </c>
      <c r="C3189">
        <v>14121235</v>
      </c>
      <c r="D3189" t="s">
        <v>321</v>
      </c>
      <c r="E3189" s="134">
        <v>3381.07</v>
      </c>
      <c r="F3189" t="s">
        <v>2816</v>
      </c>
    </row>
    <row r="3190" spans="1:6" x14ac:dyDescent="0.2">
      <c r="A3190" t="s">
        <v>2966</v>
      </c>
      <c r="B3190" t="s">
        <v>2967</v>
      </c>
      <c r="C3190">
        <v>14121238</v>
      </c>
      <c r="D3190" t="s">
        <v>322</v>
      </c>
      <c r="E3190" s="134">
        <v>2817.56</v>
      </c>
      <c r="F3190" t="s">
        <v>2816</v>
      </c>
    </row>
    <row r="3191" spans="1:6" x14ac:dyDescent="0.2">
      <c r="A3191" t="s">
        <v>2966</v>
      </c>
      <c r="B3191" t="s">
        <v>2967</v>
      </c>
      <c r="C3191">
        <v>14121239</v>
      </c>
      <c r="D3191" t="s">
        <v>323</v>
      </c>
      <c r="E3191" s="134">
        <v>3381.07</v>
      </c>
      <c r="F3191" t="s">
        <v>2816</v>
      </c>
    </row>
    <row r="3192" spans="1:6" x14ac:dyDescent="0.2">
      <c r="A3192" t="s">
        <v>2966</v>
      </c>
      <c r="B3192" t="s">
        <v>2967</v>
      </c>
      <c r="C3192">
        <v>14121266</v>
      </c>
      <c r="D3192" t="s">
        <v>324</v>
      </c>
      <c r="E3192" s="134">
        <v>3381.07</v>
      </c>
      <c r="F3192" t="s">
        <v>2816</v>
      </c>
    </row>
    <row r="3193" spans="1:6" x14ac:dyDescent="0.2">
      <c r="A3193" t="s">
        <v>2966</v>
      </c>
      <c r="B3193" t="s">
        <v>2967</v>
      </c>
      <c r="C3193">
        <v>14121271</v>
      </c>
      <c r="D3193" t="s">
        <v>325</v>
      </c>
      <c r="E3193" s="134">
        <v>3381.07</v>
      </c>
      <c r="F3193" t="s">
        <v>2816</v>
      </c>
    </row>
    <row r="3194" spans="1:6" x14ac:dyDescent="0.2">
      <c r="A3194" t="s">
        <v>2966</v>
      </c>
      <c r="B3194" t="s">
        <v>2967</v>
      </c>
      <c r="C3194">
        <v>14121328</v>
      </c>
      <c r="D3194" t="s">
        <v>326</v>
      </c>
      <c r="E3194" s="134">
        <v>3381.07</v>
      </c>
      <c r="F3194" t="s">
        <v>2816</v>
      </c>
    </row>
    <row r="3195" spans="1:6" x14ac:dyDescent="0.2">
      <c r="A3195" t="s">
        <v>2966</v>
      </c>
      <c r="B3195" t="s">
        <v>2967</v>
      </c>
      <c r="C3195">
        <v>14121398</v>
      </c>
      <c r="D3195" t="s">
        <v>327</v>
      </c>
      <c r="E3195" s="134">
        <v>3381.07</v>
      </c>
      <c r="F3195" t="s">
        <v>2816</v>
      </c>
    </row>
    <row r="3196" spans="1:6" x14ac:dyDescent="0.2">
      <c r="A3196" t="s">
        <v>2966</v>
      </c>
      <c r="B3196" t="s">
        <v>2967</v>
      </c>
      <c r="C3196">
        <v>14121522</v>
      </c>
      <c r="D3196" t="s">
        <v>331</v>
      </c>
      <c r="E3196" s="134">
        <v>3381.07</v>
      </c>
      <c r="F3196" t="s">
        <v>2816</v>
      </c>
    </row>
    <row r="3197" spans="1:6" x14ac:dyDescent="0.2">
      <c r="A3197" t="s">
        <v>2966</v>
      </c>
      <c r="B3197" t="s">
        <v>2967</v>
      </c>
      <c r="C3197">
        <v>14121523</v>
      </c>
      <c r="D3197" t="s">
        <v>332</v>
      </c>
      <c r="E3197" s="134">
        <v>3381.07</v>
      </c>
      <c r="F3197" t="s">
        <v>2816</v>
      </c>
    </row>
    <row r="3198" spans="1:6" x14ac:dyDescent="0.2">
      <c r="A3198" t="s">
        <v>2966</v>
      </c>
      <c r="B3198" t="s">
        <v>2967</v>
      </c>
      <c r="C3198">
        <v>14121543</v>
      </c>
      <c r="D3198" t="s">
        <v>333</v>
      </c>
      <c r="E3198" s="134">
        <v>3381.07</v>
      </c>
      <c r="F3198" t="s">
        <v>2816</v>
      </c>
    </row>
    <row r="3199" spans="1:6" x14ac:dyDescent="0.2">
      <c r="A3199" t="s">
        <v>2966</v>
      </c>
      <c r="B3199" t="s">
        <v>2967</v>
      </c>
      <c r="C3199">
        <v>14121545</v>
      </c>
      <c r="D3199" t="s">
        <v>334</v>
      </c>
      <c r="E3199" s="134">
        <v>3381.07</v>
      </c>
      <c r="F3199" t="s">
        <v>2816</v>
      </c>
    </row>
    <row r="3200" spans="1:6" x14ac:dyDescent="0.2">
      <c r="A3200" t="s">
        <v>2966</v>
      </c>
      <c r="B3200" t="s">
        <v>2967</v>
      </c>
      <c r="C3200">
        <v>14121598</v>
      </c>
      <c r="D3200" t="s">
        <v>338</v>
      </c>
      <c r="E3200" s="134">
        <v>3381.07</v>
      </c>
      <c r="F3200" t="s">
        <v>2816</v>
      </c>
    </row>
    <row r="3201" spans="1:6" x14ac:dyDescent="0.2">
      <c r="A3201" t="s">
        <v>2966</v>
      </c>
      <c r="B3201" t="s">
        <v>2967</v>
      </c>
      <c r="C3201">
        <v>14121600</v>
      </c>
      <c r="D3201" t="s">
        <v>339</v>
      </c>
      <c r="E3201" s="134">
        <v>3381.07</v>
      </c>
      <c r="F3201" t="s">
        <v>2816</v>
      </c>
    </row>
    <row r="3202" spans="1:6" x14ac:dyDescent="0.2">
      <c r="A3202" t="s">
        <v>2966</v>
      </c>
      <c r="B3202" t="s">
        <v>2967</v>
      </c>
      <c r="C3202">
        <v>14121677</v>
      </c>
      <c r="D3202" t="s">
        <v>343</v>
      </c>
      <c r="E3202" s="134">
        <v>3381.07</v>
      </c>
      <c r="F3202" t="s">
        <v>2816</v>
      </c>
    </row>
    <row r="3203" spans="1:6" x14ac:dyDescent="0.2">
      <c r="A3203" t="s">
        <v>2966</v>
      </c>
      <c r="B3203" t="s">
        <v>2967</v>
      </c>
      <c r="C3203">
        <v>14121728</v>
      </c>
      <c r="D3203" t="s">
        <v>345</v>
      </c>
      <c r="E3203" s="134">
        <v>3381.07</v>
      </c>
      <c r="F3203" t="s">
        <v>2816</v>
      </c>
    </row>
    <row r="3204" spans="1:6" x14ac:dyDescent="0.2">
      <c r="A3204" t="s">
        <v>2966</v>
      </c>
      <c r="B3204" t="s">
        <v>2967</v>
      </c>
      <c r="C3204">
        <v>14121733</v>
      </c>
      <c r="D3204" t="s">
        <v>346</v>
      </c>
      <c r="E3204" s="134">
        <v>3381.07</v>
      </c>
      <c r="F3204" t="s">
        <v>2816</v>
      </c>
    </row>
    <row r="3205" spans="1:6" x14ac:dyDescent="0.2">
      <c r="A3205" t="s">
        <v>2966</v>
      </c>
      <c r="B3205" t="s">
        <v>2967</v>
      </c>
      <c r="C3205">
        <v>14121756</v>
      </c>
      <c r="D3205" t="s">
        <v>350</v>
      </c>
      <c r="E3205" s="134">
        <v>3381.07</v>
      </c>
      <c r="F3205" t="s">
        <v>2816</v>
      </c>
    </row>
    <row r="3206" spans="1:6" x14ac:dyDescent="0.2">
      <c r="A3206" t="s">
        <v>2966</v>
      </c>
      <c r="B3206" t="s">
        <v>2967</v>
      </c>
      <c r="C3206">
        <v>14121784</v>
      </c>
      <c r="D3206" t="s">
        <v>352</v>
      </c>
      <c r="E3206" s="134">
        <v>3381.07</v>
      </c>
      <c r="F3206" t="s">
        <v>2816</v>
      </c>
    </row>
    <row r="3207" spans="1:6" x14ac:dyDescent="0.2">
      <c r="A3207" t="s">
        <v>2966</v>
      </c>
      <c r="B3207" t="s">
        <v>2967</v>
      </c>
      <c r="C3207">
        <v>14121785</v>
      </c>
      <c r="D3207" t="s">
        <v>353</v>
      </c>
      <c r="E3207" s="134">
        <v>3381.07</v>
      </c>
      <c r="F3207" t="s">
        <v>2816</v>
      </c>
    </row>
    <row r="3208" spans="1:6" x14ac:dyDescent="0.2">
      <c r="A3208" t="s">
        <v>2966</v>
      </c>
      <c r="B3208" t="s">
        <v>2967</v>
      </c>
      <c r="C3208">
        <v>14121791</v>
      </c>
      <c r="D3208" t="s">
        <v>354</v>
      </c>
      <c r="E3208" s="134">
        <v>3381.07</v>
      </c>
      <c r="F3208" t="s">
        <v>2816</v>
      </c>
    </row>
    <row r="3209" spans="1:6" x14ac:dyDescent="0.2">
      <c r="A3209" t="s">
        <v>2966</v>
      </c>
      <c r="B3209" t="s">
        <v>2967</v>
      </c>
      <c r="C3209">
        <v>14121809</v>
      </c>
      <c r="D3209" t="s">
        <v>355</v>
      </c>
      <c r="E3209" s="134">
        <v>3381.07</v>
      </c>
      <c r="F3209" t="s">
        <v>2816</v>
      </c>
    </row>
    <row r="3210" spans="1:6" x14ac:dyDescent="0.2">
      <c r="A3210" t="s">
        <v>2966</v>
      </c>
      <c r="B3210" t="s">
        <v>2967</v>
      </c>
      <c r="C3210">
        <v>14121811</v>
      </c>
      <c r="D3210" t="s">
        <v>356</v>
      </c>
      <c r="E3210" s="134">
        <v>3381.07</v>
      </c>
      <c r="F3210" t="s">
        <v>2816</v>
      </c>
    </row>
    <row r="3211" spans="1:6" x14ac:dyDescent="0.2">
      <c r="A3211" t="s">
        <v>2966</v>
      </c>
      <c r="B3211" t="s">
        <v>2967</v>
      </c>
      <c r="C3211">
        <v>14121821</v>
      </c>
      <c r="D3211" t="s">
        <v>357</v>
      </c>
      <c r="E3211" s="134">
        <v>3381.07</v>
      </c>
      <c r="F3211" t="s">
        <v>2816</v>
      </c>
    </row>
    <row r="3212" spans="1:6" x14ac:dyDescent="0.2">
      <c r="A3212" t="s">
        <v>2966</v>
      </c>
      <c r="B3212" t="s">
        <v>2967</v>
      </c>
      <c r="C3212">
        <v>14121856</v>
      </c>
      <c r="D3212" t="s">
        <v>358</v>
      </c>
      <c r="E3212" s="134">
        <v>3381.07</v>
      </c>
      <c r="F3212" t="s">
        <v>2816</v>
      </c>
    </row>
    <row r="3213" spans="1:6" x14ac:dyDescent="0.2">
      <c r="A3213" t="s">
        <v>2966</v>
      </c>
      <c r="B3213" t="s">
        <v>2967</v>
      </c>
      <c r="C3213">
        <v>14121859</v>
      </c>
      <c r="D3213" t="s">
        <v>359</v>
      </c>
      <c r="E3213" s="134">
        <v>3381.07</v>
      </c>
      <c r="F3213" t="s">
        <v>2816</v>
      </c>
    </row>
    <row r="3214" spans="1:6" x14ac:dyDescent="0.2">
      <c r="A3214" t="s">
        <v>2966</v>
      </c>
      <c r="B3214" t="s">
        <v>2967</v>
      </c>
      <c r="C3214">
        <v>14121860</v>
      </c>
      <c r="D3214" t="s">
        <v>360</v>
      </c>
      <c r="E3214" s="134">
        <v>3381.07</v>
      </c>
      <c r="F3214" t="s">
        <v>2816</v>
      </c>
    </row>
    <row r="3215" spans="1:6" x14ac:dyDescent="0.2">
      <c r="A3215" t="s">
        <v>2966</v>
      </c>
      <c r="B3215" t="s">
        <v>2967</v>
      </c>
      <c r="C3215">
        <v>14121869</v>
      </c>
      <c r="D3215" t="s">
        <v>361</v>
      </c>
      <c r="E3215" s="134">
        <v>3381.07</v>
      </c>
      <c r="F3215" t="s">
        <v>2816</v>
      </c>
    </row>
    <row r="3216" spans="1:6" x14ac:dyDescent="0.2">
      <c r="A3216" t="s">
        <v>2966</v>
      </c>
      <c r="B3216" t="s">
        <v>2967</v>
      </c>
      <c r="C3216">
        <v>14121964</v>
      </c>
      <c r="D3216" t="s">
        <v>368</v>
      </c>
      <c r="E3216" s="134">
        <v>3381.07</v>
      </c>
      <c r="F3216" t="s">
        <v>2816</v>
      </c>
    </row>
    <row r="3217" spans="1:6" x14ac:dyDescent="0.2">
      <c r="A3217" t="s">
        <v>2966</v>
      </c>
      <c r="B3217" t="s">
        <v>2967</v>
      </c>
      <c r="C3217">
        <v>14121985</v>
      </c>
      <c r="D3217" t="s">
        <v>369</v>
      </c>
      <c r="E3217" s="134">
        <v>3381.07</v>
      </c>
      <c r="F3217" t="s">
        <v>2816</v>
      </c>
    </row>
    <row r="3218" spans="1:6" x14ac:dyDescent="0.2">
      <c r="A3218" t="s">
        <v>2966</v>
      </c>
      <c r="B3218" t="s">
        <v>2967</v>
      </c>
      <c r="C3218">
        <v>14122033</v>
      </c>
      <c r="D3218" t="s">
        <v>371</v>
      </c>
      <c r="E3218" s="134">
        <v>3381.07</v>
      </c>
      <c r="F3218" t="s">
        <v>2816</v>
      </c>
    </row>
    <row r="3219" spans="1:6" x14ac:dyDescent="0.2">
      <c r="A3219" t="s">
        <v>2966</v>
      </c>
      <c r="B3219" t="s">
        <v>2967</v>
      </c>
      <c r="C3219">
        <v>14122035</v>
      </c>
      <c r="D3219" t="s">
        <v>373</v>
      </c>
      <c r="E3219" s="134">
        <v>3381.07</v>
      </c>
      <c r="F3219" t="s">
        <v>2816</v>
      </c>
    </row>
    <row r="3220" spans="1:6" x14ac:dyDescent="0.2">
      <c r="A3220" t="s">
        <v>2966</v>
      </c>
      <c r="B3220" t="s">
        <v>2967</v>
      </c>
      <c r="C3220">
        <v>14122067</v>
      </c>
      <c r="D3220" t="s">
        <v>374</v>
      </c>
      <c r="E3220" s="134">
        <v>3381.07</v>
      </c>
      <c r="F3220" t="s">
        <v>2816</v>
      </c>
    </row>
    <row r="3221" spans="1:6" x14ac:dyDescent="0.2">
      <c r="A3221" t="s">
        <v>2966</v>
      </c>
      <c r="B3221" t="s">
        <v>2967</v>
      </c>
      <c r="C3221">
        <v>14122072</v>
      </c>
      <c r="D3221" t="s">
        <v>375</v>
      </c>
      <c r="E3221" s="134">
        <v>3381.07</v>
      </c>
      <c r="F3221" t="s">
        <v>2816</v>
      </c>
    </row>
    <row r="3222" spans="1:6" x14ac:dyDescent="0.2">
      <c r="A3222" t="s">
        <v>2966</v>
      </c>
      <c r="B3222" t="s">
        <v>2967</v>
      </c>
      <c r="C3222">
        <v>14122073</v>
      </c>
      <c r="D3222" t="s">
        <v>376</v>
      </c>
      <c r="E3222" s="134">
        <v>3381.07</v>
      </c>
      <c r="F3222" t="s">
        <v>2816</v>
      </c>
    </row>
    <row r="3223" spans="1:6" x14ac:dyDescent="0.2">
      <c r="A3223" t="s">
        <v>2966</v>
      </c>
      <c r="B3223" t="s">
        <v>2967</v>
      </c>
      <c r="C3223">
        <v>14122095</v>
      </c>
      <c r="D3223" t="s">
        <v>380</v>
      </c>
      <c r="E3223" s="134">
        <v>3381.07</v>
      </c>
      <c r="F3223" t="s">
        <v>2816</v>
      </c>
    </row>
    <row r="3224" spans="1:6" x14ac:dyDescent="0.2">
      <c r="A3224" t="s">
        <v>2966</v>
      </c>
      <c r="B3224" t="s">
        <v>2967</v>
      </c>
      <c r="C3224">
        <v>14122096</v>
      </c>
      <c r="D3224" t="s">
        <v>381</v>
      </c>
      <c r="E3224" s="134">
        <v>3381.07</v>
      </c>
      <c r="F3224" t="s">
        <v>2816</v>
      </c>
    </row>
    <row r="3225" spans="1:6" x14ac:dyDescent="0.2">
      <c r="A3225" t="s">
        <v>2966</v>
      </c>
      <c r="B3225" t="s">
        <v>2967</v>
      </c>
      <c r="C3225">
        <v>14122103</v>
      </c>
      <c r="D3225" t="s">
        <v>382</v>
      </c>
      <c r="E3225" s="134">
        <v>2817.56</v>
      </c>
      <c r="F3225" t="s">
        <v>2816</v>
      </c>
    </row>
    <row r="3226" spans="1:6" x14ac:dyDescent="0.2">
      <c r="A3226" t="s">
        <v>2966</v>
      </c>
      <c r="B3226" t="s">
        <v>2967</v>
      </c>
      <c r="C3226">
        <v>14122113</v>
      </c>
      <c r="D3226" t="s">
        <v>383</v>
      </c>
      <c r="E3226" s="134">
        <v>3381.07</v>
      </c>
      <c r="F3226" t="s">
        <v>2816</v>
      </c>
    </row>
    <row r="3227" spans="1:6" x14ac:dyDescent="0.2">
      <c r="A3227" t="s">
        <v>2966</v>
      </c>
      <c r="B3227" t="s">
        <v>2967</v>
      </c>
      <c r="C3227">
        <v>14122133</v>
      </c>
      <c r="D3227" t="s">
        <v>384</v>
      </c>
      <c r="E3227" s="134">
        <v>3381.07</v>
      </c>
      <c r="F3227" t="s">
        <v>2816</v>
      </c>
    </row>
    <row r="3228" spans="1:6" x14ac:dyDescent="0.2">
      <c r="A3228" t="s">
        <v>2966</v>
      </c>
      <c r="B3228" t="s">
        <v>2967</v>
      </c>
      <c r="C3228">
        <v>14122135</v>
      </c>
      <c r="D3228" t="s">
        <v>385</v>
      </c>
      <c r="E3228" s="134">
        <v>3381.07</v>
      </c>
      <c r="F3228" t="s">
        <v>2816</v>
      </c>
    </row>
    <row r="3229" spans="1:6" x14ac:dyDescent="0.2">
      <c r="A3229" t="s">
        <v>2966</v>
      </c>
      <c r="B3229" t="s">
        <v>2967</v>
      </c>
      <c r="C3229">
        <v>14122136</v>
      </c>
      <c r="D3229" t="s">
        <v>386</v>
      </c>
      <c r="E3229" s="134">
        <v>3381.07</v>
      </c>
      <c r="F3229" t="s">
        <v>2816</v>
      </c>
    </row>
    <row r="3230" spans="1:6" x14ac:dyDescent="0.2">
      <c r="A3230" t="s">
        <v>2966</v>
      </c>
      <c r="B3230" t="s">
        <v>2967</v>
      </c>
      <c r="C3230">
        <v>14122137</v>
      </c>
      <c r="D3230" t="s">
        <v>387</v>
      </c>
      <c r="E3230" s="134">
        <v>3381.07</v>
      </c>
      <c r="F3230" t="s">
        <v>2816</v>
      </c>
    </row>
    <row r="3231" spans="1:6" x14ac:dyDescent="0.2">
      <c r="A3231" t="s">
        <v>2966</v>
      </c>
      <c r="B3231" t="s">
        <v>2967</v>
      </c>
      <c r="C3231">
        <v>14122148</v>
      </c>
      <c r="D3231" t="s">
        <v>388</v>
      </c>
      <c r="E3231" s="134">
        <v>3381.07</v>
      </c>
      <c r="F3231" t="s">
        <v>2816</v>
      </c>
    </row>
    <row r="3232" spans="1:6" x14ac:dyDescent="0.2">
      <c r="A3232" t="s">
        <v>2966</v>
      </c>
      <c r="B3232" t="s">
        <v>2967</v>
      </c>
      <c r="C3232">
        <v>14122149</v>
      </c>
      <c r="D3232" t="s">
        <v>389</v>
      </c>
      <c r="E3232" s="134">
        <v>3381.07</v>
      </c>
      <c r="F3232" t="s">
        <v>2816</v>
      </c>
    </row>
    <row r="3233" spans="1:6" x14ac:dyDescent="0.2">
      <c r="A3233" t="s">
        <v>2966</v>
      </c>
      <c r="B3233" t="s">
        <v>2967</v>
      </c>
      <c r="C3233">
        <v>14122158</v>
      </c>
      <c r="D3233" t="s">
        <v>390</v>
      </c>
      <c r="E3233" s="134">
        <v>3381.07</v>
      </c>
      <c r="F3233" t="s">
        <v>2816</v>
      </c>
    </row>
    <row r="3234" spans="1:6" x14ac:dyDescent="0.2">
      <c r="A3234" t="s">
        <v>2966</v>
      </c>
      <c r="B3234" t="s">
        <v>2967</v>
      </c>
      <c r="C3234">
        <v>14122160</v>
      </c>
      <c r="D3234" t="s">
        <v>391</v>
      </c>
      <c r="E3234" s="134">
        <v>2817.56</v>
      </c>
      <c r="F3234" t="s">
        <v>2816</v>
      </c>
    </row>
    <row r="3235" spans="1:6" x14ac:dyDescent="0.2">
      <c r="A3235" t="s">
        <v>2966</v>
      </c>
      <c r="B3235" t="s">
        <v>2967</v>
      </c>
      <c r="C3235">
        <v>14100843</v>
      </c>
      <c r="D3235" t="s">
        <v>221</v>
      </c>
      <c r="E3235" s="134">
        <v>3504.41</v>
      </c>
      <c r="F3235" t="s">
        <v>2816</v>
      </c>
    </row>
    <row r="3236" spans="1:6" x14ac:dyDescent="0.2">
      <c r="A3236" t="s">
        <v>2966</v>
      </c>
      <c r="B3236" t="s">
        <v>2967</v>
      </c>
      <c r="C3236">
        <v>14100858</v>
      </c>
      <c r="D3236" t="s">
        <v>261</v>
      </c>
      <c r="E3236" s="134">
        <v>3504.41</v>
      </c>
      <c r="F3236" t="s">
        <v>2816</v>
      </c>
    </row>
    <row r="3237" spans="1:6" x14ac:dyDescent="0.2">
      <c r="A3237" t="s">
        <v>2966</v>
      </c>
      <c r="B3237" t="s">
        <v>2967</v>
      </c>
      <c r="C3237">
        <v>14100897</v>
      </c>
      <c r="D3237" t="s">
        <v>249</v>
      </c>
      <c r="E3237" s="134">
        <v>3504.41</v>
      </c>
      <c r="F3237" t="s">
        <v>2816</v>
      </c>
    </row>
    <row r="3238" spans="1:6" x14ac:dyDescent="0.2">
      <c r="A3238" t="s">
        <v>2966</v>
      </c>
      <c r="B3238" t="s">
        <v>2967</v>
      </c>
      <c r="C3238">
        <v>14104839</v>
      </c>
      <c r="D3238" t="s">
        <v>224</v>
      </c>
      <c r="E3238" s="134">
        <v>3504.41</v>
      </c>
      <c r="F3238" t="s">
        <v>2816</v>
      </c>
    </row>
    <row r="3239" spans="1:6" x14ac:dyDescent="0.2">
      <c r="A3239" t="s">
        <v>2966</v>
      </c>
      <c r="B3239" t="s">
        <v>2967</v>
      </c>
      <c r="C3239">
        <v>14108775</v>
      </c>
      <c r="D3239" t="s">
        <v>178</v>
      </c>
      <c r="E3239" s="134">
        <v>3504.41</v>
      </c>
      <c r="F3239" t="s">
        <v>2816</v>
      </c>
    </row>
    <row r="3240" spans="1:6" x14ac:dyDescent="0.2">
      <c r="A3240" t="s">
        <v>2966</v>
      </c>
      <c r="B3240" t="s">
        <v>2967</v>
      </c>
      <c r="C3240">
        <v>14108828</v>
      </c>
      <c r="D3240" t="s">
        <v>225</v>
      </c>
      <c r="E3240" s="134">
        <v>3504.41</v>
      </c>
      <c r="F3240" t="s">
        <v>2816</v>
      </c>
    </row>
    <row r="3241" spans="1:6" x14ac:dyDescent="0.2">
      <c r="A3241" t="s">
        <v>2966</v>
      </c>
      <c r="B3241" t="s">
        <v>2967</v>
      </c>
      <c r="C3241">
        <v>14109648</v>
      </c>
      <c r="D3241" t="s">
        <v>211</v>
      </c>
      <c r="E3241" s="134">
        <v>3504.41</v>
      </c>
      <c r="F3241" t="s">
        <v>2816</v>
      </c>
    </row>
    <row r="3242" spans="1:6" x14ac:dyDescent="0.2">
      <c r="A3242" t="s">
        <v>2966</v>
      </c>
      <c r="B3242" t="s">
        <v>2967</v>
      </c>
      <c r="C3242">
        <v>14111678</v>
      </c>
      <c r="D3242" t="s">
        <v>283</v>
      </c>
      <c r="E3242" s="134">
        <v>3504.41</v>
      </c>
      <c r="F3242" t="s">
        <v>2816</v>
      </c>
    </row>
    <row r="3243" spans="1:6" x14ac:dyDescent="0.2">
      <c r="A3243" t="s">
        <v>2966</v>
      </c>
      <c r="B3243" t="s">
        <v>2967</v>
      </c>
      <c r="C3243">
        <v>14112124</v>
      </c>
      <c r="D3243" t="s">
        <v>250</v>
      </c>
      <c r="E3243" s="134">
        <v>3504.41</v>
      </c>
      <c r="F3243" t="s">
        <v>2816</v>
      </c>
    </row>
    <row r="3244" spans="1:6" x14ac:dyDescent="0.2">
      <c r="A3244" t="s">
        <v>2966</v>
      </c>
      <c r="B3244" t="s">
        <v>2967</v>
      </c>
      <c r="C3244">
        <v>14112197</v>
      </c>
      <c r="D3244" t="s">
        <v>242</v>
      </c>
      <c r="E3244" s="134">
        <v>3504.41</v>
      </c>
      <c r="F3244" t="s">
        <v>2816</v>
      </c>
    </row>
    <row r="3245" spans="1:6" x14ac:dyDescent="0.2">
      <c r="A3245" t="s">
        <v>2966</v>
      </c>
      <c r="B3245" t="s">
        <v>2967</v>
      </c>
      <c r="C3245">
        <v>14112730</v>
      </c>
      <c r="D3245" t="s">
        <v>280</v>
      </c>
      <c r="E3245" s="134">
        <v>3504.41</v>
      </c>
      <c r="F3245" t="s">
        <v>2816</v>
      </c>
    </row>
    <row r="3246" spans="1:6" x14ac:dyDescent="0.2">
      <c r="A3246" t="s">
        <v>2966</v>
      </c>
      <c r="B3246" t="s">
        <v>2967</v>
      </c>
      <c r="C3246">
        <v>14113056</v>
      </c>
      <c r="D3246" t="s">
        <v>234</v>
      </c>
      <c r="E3246" s="134">
        <v>3504.41</v>
      </c>
      <c r="F3246" t="s">
        <v>2816</v>
      </c>
    </row>
    <row r="3247" spans="1:6" x14ac:dyDescent="0.2">
      <c r="A3247" t="s">
        <v>2966</v>
      </c>
      <c r="B3247" t="s">
        <v>2967</v>
      </c>
      <c r="C3247">
        <v>14113198</v>
      </c>
      <c r="D3247" t="s">
        <v>212</v>
      </c>
      <c r="E3247" s="134">
        <v>3504.41</v>
      </c>
      <c r="F3247" t="s">
        <v>2816</v>
      </c>
    </row>
    <row r="3248" spans="1:6" x14ac:dyDescent="0.2">
      <c r="A3248" t="s">
        <v>2966</v>
      </c>
      <c r="B3248" t="s">
        <v>2967</v>
      </c>
      <c r="C3248">
        <v>14117156</v>
      </c>
      <c r="D3248" t="s">
        <v>239</v>
      </c>
      <c r="E3248" s="134">
        <v>3504.41</v>
      </c>
      <c r="F3248" t="s">
        <v>2816</v>
      </c>
    </row>
    <row r="3249" spans="1:6" x14ac:dyDescent="0.2">
      <c r="A3249" t="s">
        <v>2966</v>
      </c>
      <c r="B3249" t="s">
        <v>2967</v>
      </c>
      <c r="C3249">
        <v>14117157</v>
      </c>
      <c r="D3249" t="s">
        <v>244</v>
      </c>
      <c r="E3249" s="134">
        <v>3504.41</v>
      </c>
      <c r="F3249" t="s">
        <v>2816</v>
      </c>
    </row>
    <row r="3250" spans="1:6" x14ac:dyDescent="0.2">
      <c r="A3250" t="s">
        <v>2966</v>
      </c>
      <c r="B3250" t="s">
        <v>2967</v>
      </c>
      <c r="C3250">
        <v>14117509</v>
      </c>
      <c r="D3250" t="s">
        <v>235</v>
      </c>
      <c r="E3250" s="134">
        <v>3504.41</v>
      </c>
      <c r="F3250" t="s">
        <v>2816</v>
      </c>
    </row>
    <row r="3251" spans="1:6" x14ac:dyDescent="0.2">
      <c r="A3251" t="s">
        <v>2966</v>
      </c>
      <c r="B3251" t="s">
        <v>2967</v>
      </c>
      <c r="C3251">
        <v>14118028</v>
      </c>
      <c r="D3251" t="s">
        <v>185</v>
      </c>
      <c r="E3251" s="134">
        <v>3504.41</v>
      </c>
      <c r="F3251" t="s">
        <v>2816</v>
      </c>
    </row>
    <row r="3252" spans="1:6" x14ac:dyDescent="0.2">
      <c r="A3252" t="s">
        <v>2966</v>
      </c>
      <c r="B3252" t="s">
        <v>2967</v>
      </c>
      <c r="C3252">
        <v>14118184</v>
      </c>
      <c r="D3252" t="s">
        <v>237</v>
      </c>
      <c r="E3252" s="134">
        <v>3504.41</v>
      </c>
      <c r="F3252" t="s">
        <v>2816</v>
      </c>
    </row>
    <row r="3253" spans="1:6" x14ac:dyDescent="0.2">
      <c r="A3253" t="s">
        <v>2966</v>
      </c>
      <c r="B3253" t="s">
        <v>2967</v>
      </c>
      <c r="C3253">
        <v>14118225</v>
      </c>
      <c r="D3253" t="s">
        <v>271</v>
      </c>
      <c r="E3253" s="134">
        <v>3504.41</v>
      </c>
      <c r="F3253" t="s">
        <v>2816</v>
      </c>
    </row>
    <row r="3254" spans="1:6" x14ac:dyDescent="0.2">
      <c r="A3254" t="s">
        <v>2966</v>
      </c>
      <c r="B3254" t="s">
        <v>2967</v>
      </c>
      <c r="C3254">
        <v>14118620</v>
      </c>
      <c r="D3254" t="s">
        <v>201</v>
      </c>
      <c r="E3254" s="134">
        <v>3504.41</v>
      </c>
      <c r="F3254" t="s">
        <v>2816</v>
      </c>
    </row>
    <row r="3255" spans="1:6" x14ac:dyDescent="0.2">
      <c r="A3255" t="s">
        <v>2966</v>
      </c>
      <c r="B3255" t="s">
        <v>2967</v>
      </c>
      <c r="C3255">
        <v>14118621</v>
      </c>
      <c r="D3255" t="s">
        <v>202</v>
      </c>
      <c r="E3255" s="134">
        <v>3504.41</v>
      </c>
      <c r="F3255" t="s">
        <v>2816</v>
      </c>
    </row>
    <row r="3256" spans="1:6" x14ac:dyDescent="0.2">
      <c r="A3256" t="s">
        <v>2966</v>
      </c>
      <c r="B3256" t="s">
        <v>2967</v>
      </c>
      <c r="C3256">
        <v>14118622</v>
      </c>
      <c r="D3256" t="s">
        <v>203</v>
      </c>
      <c r="E3256" s="134">
        <v>3504.41</v>
      </c>
      <c r="F3256" t="s">
        <v>2816</v>
      </c>
    </row>
    <row r="3257" spans="1:6" x14ac:dyDescent="0.2">
      <c r="A3257" t="s">
        <v>2966</v>
      </c>
      <c r="B3257" t="s">
        <v>2967</v>
      </c>
      <c r="C3257">
        <v>14118627</v>
      </c>
      <c r="D3257" t="s">
        <v>204</v>
      </c>
      <c r="E3257" s="134">
        <v>3504.41</v>
      </c>
      <c r="F3257" t="s">
        <v>2816</v>
      </c>
    </row>
    <row r="3258" spans="1:6" x14ac:dyDescent="0.2">
      <c r="A3258" t="s">
        <v>2966</v>
      </c>
      <c r="B3258" t="s">
        <v>2967</v>
      </c>
      <c r="C3258">
        <v>14118660</v>
      </c>
      <c r="D3258" t="s">
        <v>206</v>
      </c>
      <c r="E3258" s="134">
        <v>3504.41</v>
      </c>
      <c r="F3258" t="s">
        <v>2816</v>
      </c>
    </row>
    <row r="3259" spans="1:6" x14ac:dyDescent="0.2">
      <c r="A3259" t="s">
        <v>2966</v>
      </c>
      <c r="B3259" t="s">
        <v>2967</v>
      </c>
      <c r="C3259">
        <v>14118663</v>
      </c>
      <c r="D3259" t="s">
        <v>207</v>
      </c>
      <c r="E3259" s="134">
        <v>3504.41</v>
      </c>
      <c r="F3259" t="s">
        <v>2816</v>
      </c>
    </row>
    <row r="3260" spans="1:6" x14ac:dyDescent="0.2">
      <c r="A3260" t="s">
        <v>2966</v>
      </c>
      <c r="B3260" t="s">
        <v>2967</v>
      </c>
      <c r="C3260">
        <v>14118745</v>
      </c>
      <c r="D3260" t="s">
        <v>209</v>
      </c>
      <c r="E3260" s="134">
        <v>3504.41</v>
      </c>
      <c r="F3260" t="s">
        <v>2816</v>
      </c>
    </row>
    <row r="3261" spans="1:6" x14ac:dyDescent="0.2">
      <c r="A3261" t="s">
        <v>2966</v>
      </c>
      <c r="B3261" t="s">
        <v>2967</v>
      </c>
      <c r="C3261">
        <v>14118809</v>
      </c>
      <c r="D3261" t="s">
        <v>213</v>
      </c>
      <c r="E3261" s="134">
        <v>3504.41</v>
      </c>
      <c r="F3261" t="s">
        <v>2816</v>
      </c>
    </row>
    <row r="3262" spans="1:6" x14ac:dyDescent="0.2">
      <c r="A3262" t="s">
        <v>2966</v>
      </c>
      <c r="B3262" t="s">
        <v>2967</v>
      </c>
      <c r="C3262">
        <v>14118811</v>
      </c>
      <c r="D3262" t="s">
        <v>214</v>
      </c>
      <c r="E3262" s="134">
        <v>3504.41</v>
      </c>
      <c r="F3262" t="s">
        <v>2816</v>
      </c>
    </row>
    <row r="3263" spans="1:6" x14ac:dyDescent="0.2">
      <c r="A3263" t="s">
        <v>2966</v>
      </c>
      <c r="B3263" t="s">
        <v>2967</v>
      </c>
      <c r="C3263">
        <v>14118849</v>
      </c>
      <c r="D3263" t="s">
        <v>216</v>
      </c>
      <c r="E3263" s="134">
        <v>3504.41</v>
      </c>
      <c r="F3263" t="s">
        <v>2816</v>
      </c>
    </row>
    <row r="3264" spans="1:6" x14ac:dyDescent="0.2">
      <c r="A3264" t="s">
        <v>2966</v>
      </c>
      <c r="B3264" t="s">
        <v>2967</v>
      </c>
      <c r="C3264">
        <v>14118887</v>
      </c>
      <c r="D3264" t="s">
        <v>217</v>
      </c>
      <c r="E3264" s="134">
        <v>3504.41</v>
      </c>
      <c r="F3264" t="s">
        <v>2816</v>
      </c>
    </row>
    <row r="3265" spans="1:6" x14ac:dyDescent="0.2">
      <c r="A3265" t="s">
        <v>2966</v>
      </c>
      <c r="B3265" t="s">
        <v>2967</v>
      </c>
      <c r="C3265">
        <v>14118889</v>
      </c>
      <c r="D3265" t="s">
        <v>218</v>
      </c>
      <c r="E3265" s="134">
        <v>3504.41</v>
      </c>
      <c r="F3265" t="s">
        <v>2816</v>
      </c>
    </row>
    <row r="3266" spans="1:6" x14ac:dyDescent="0.2">
      <c r="A3266" t="s">
        <v>2966</v>
      </c>
      <c r="B3266" t="s">
        <v>2967</v>
      </c>
      <c r="C3266">
        <v>14118892</v>
      </c>
      <c r="D3266" t="s">
        <v>219</v>
      </c>
      <c r="E3266" s="134">
        <v>3504.41</v>
      </c>
      <c r="F3266" t="s">
        <v>2816</v>
      </c>
    </row>
    <row r="3267" spans="1:6" x14ac:dyDescent="0.2">
      <c r="A3267" t="s">
        <v>2966</v>
      </c>
      <c r="B3267" t="s">
        <v>2967</v>
      </c>
      <c r="C3267">
        <v>14118893</v>
      </c>
      <c r="D3267" t="s">
        <v>220</v>
      </c>
      <c r="E3267" s="134">
        <v>3504.41</v>
      </c>
      <c r="F3267" t="s">
        <v>2816</v>
      </c>
    </row>
    <row r="3268" spans="1:6" x14ac:dyDescent="0.2">
      <c r="A3268" t="s">
        <v>2966</v>
      </c>
      <c r="B3268" t="s">
        <v>2967</v>
      </c>
      <c r="C3268">
        <v>14118956</v>
      </c>
      <c r="D3268" t="s">
        <v>222</v>
      </c>
      <c r="E3268" s="134">
        <v>3504.41</v>
      </c>
      <c r="F3268" t="s">
        <v>2816</v>
      </c>
    </row>
    <row r="3269" spans="1:6" x14ac:dyDescent="0.2">
      <c r="A3269" t="s">
        <v>2966</v>
      </c>
      <c r="B3269" t="s">
        <v>2967</v>
      </c>
      <c r="C3269">
        <v>14118957</v>
      </c>
      <c r="D3269" t="s">
        <v>223</v>
      </c>
      <c r="E3269" s="134">
        <v>3504.41</v>
      </c>
      <c r="F3269" t="s">
        <v>2816</v>
      </c>
    </row>
    <row r="3270" spans="1:6" x14ac:dyDescent="0.2">
      <c r="A3270" t="s">
        <v>2966</v>
      </c>
      <c r="B3270" t="s">
        <v>2967</v>
      </c>
      <c r="C3270">
        <v>14119017</v>
      </c>
      <c r="D3270" t="s">
        <v>227</v>
      </c>
      <c r="E3270" s="134">
        <v>2002.52</v>
      </c>
      <c r="F3270" t="s">
        <v>2816</v>
      </c>
    </row>
    <row r="3271" spans="1:6" x14ac:dyDescent="0.2">
      <c r="A3271" t="s">
        <v>2966</v>
      </c>
      <c r="B3271" t="s">
        <v>2967</v>
      </c>
      <c r="C3271">
        <v>14119018</v>
      </c>
      <c r="D3271" t="s">
        <v>228</v>
      </c>
      <c r="E3271" s="134">
        <v>3504.41</v>
      </c>
      <c r="F3271" t="s">
        <v>2816</v>
      </c>
    </row>
    <row r="3272" spans="1:6" x14ac:dyDescent="0.2">
      <c r="A3272" t="s">
        <v>2966</v>
      </c>
      <c r="B3272" t="s">
        <v>2967</v>
      </c>
      <c r="C3272">
        <v>14119057</v>
      </c>
      <c r="D3272" t="s">
        <v>229</v>
      </c>
      <c r="E3272" s="134">
        <v>3504.41</v>
      </c>
      <c r="F3272" t="s">
        <v>2816</v>
      </c>
    </row>
    <row r="3273" spans="1:6" x14ac:dyDescent="0.2">
      <c r="A3273" t="s">
        <v>2966</v>
      </c>
      <c r="B3273" t="s">
        <v>2967</v>
      </c>
      <c r="C3273">
        <v>14119076</v>
      </c>
      <c r="D3273" t="s">
        <v>230</v>
      </c>
      <c r="E3273" s="134">
        <v>3504.41</v>
      </c>
      <c r="F3273" t="s">
        <v>2816</v>
      </c>
    </row>
    <row r="3274" spans="1:6" x14ac:dyDescent="0.2">
      <c r="A3274" t="s">
        <v>2966</v>
      </c>
      <c r="B3274" t="s">
        <v>2967</v>
      </c>
      <c r="C3274">
        <v>14119153</v>
      </c>
      <c r="D3274" t="s">
        <v>231</v>
      </c>
      <c r="E3274" s="134">
        <v>3504.41</v>
      </c>
      <c r="F3274" t="s">
        <v>2816</v>
      </c>
    </row>
    <row r="3275" spans="1:6" x14ac:dyDescent="0.2">
      <c r="A3275" t="s">
        <v>2966</v>
      </c>
      <c r="B3275" t="s">
        <v>2967</v>
      </c>
      <c r="C3275">
        <v>14119154</v>
      </c>
      <c r="D3275" t="s">
        <v>232</v>
      </c>
      <c r="E3275" s="134">
        <v>3504.41</v>
      </c>
      <c r="F3275" t="s">
        <v>2816</v>
      </c>
    </row>
    <row r="3276" spans="1:6" x14ac:dyDescent="0.2">
      <c r="A3276" t="s">
        <v>2966</v>
      </c>
      <c r="B3276" t="s">
        <v>2967</v>
      </c>
      <c r="C3276">
        <v>14119155</v>
      </c>
      <c r="D3276" t="s">
        <v>233</v>
      </c>
      <c r="E3276" s="134">
        <v>3504.41</v>
      </c>
      <c r="F3276" t="s">
        <v>2816</v>
      </c>
    </row>
    <row r="3277" spans="1:6" x14ac:dyDescent="0.2">
      <c r="A3277" t="s">
        <v>2966</v>
      </c>
      <c r="B3277" t="s">
        <v>2967</v>
      </c>
      <c r="C3277">
        <v>14119175</v>
      </c>
      <c r="D3277" t="s">
        <v>236</v>
      </c>
      <c r="E3277" s="134">
        <v>3504.41</v>
      </c>
      <c r="F3277" t="s">
        <v>2816</v>
      </c>
    </row>
    <row r="3278" spans="1:6" x14ac:dyDescent="0.2">
      <c r="A3278" t="s">
        <v>2966</v>
      </c>
      <c r="B3278" t="s">
        <v>2967</v>
      </c>
      <c r="C3278">
        <v>14119271</v>
      </c>
      <c r="D3278" t="s">
        <v>238</v>
      </c>
      <c r="E3278" s="134">
        <v>3504.41</v>
      </c>
      <c r="F3278" t="s">
        <v>2816</v>
      </c>
    </row>
    <row r="3279" spans="1:6" x14ac:dyDescent="0.2">
      <c r="A3279" t="s">
        <v>2966</v>
      </c>
      <c r="B3279" t="s">
        <v>2967</v>
      </c>
      <c r="C3279">
        <v>14119324</v>
      </c>
      <c r="D3279" t="s">
        <v>241</v>
      </c>
      <c r="E3279" s="134">
        <v>3504.41</v>
      </c>
      <c r="F3279" t="s">
        <v>2816</v>
      </c>
    </row>
    <row r="3280" spans="1:6" x14ac:dyDescent="0.2">
      <c r="A3280" t="s">
        <v>2966</v>
      </c>
      <c r="B3280" t="s">
        <v>2967</v>
      </c>
      <c r="C3280">
        <v>14119357</v>
      </c>
      <c r="D3280" t="s">
        <v>243</v>
      </c>
      <c r="E3280" s="134">
        <v>3003.78</v>
      </c>
      <c r="F3280" t="s">
        <v>2816</v>
      </c>
    </row>
    <row r="3281" spans="1:6" x14ac:dyDescent="0.2">
      <c r="A3281" t="s">
        <v>2966</v>
      </c>
      <c r="B3281" t="s">
        <v>2967</v>
      </c>
      <c r="C3281">
        <v>14119437</v>
      </c>
      <c r="D3281" t="s">
        <v>245</v>
      </c>
      <c r="E3281" s="134">
        <v>3504.41</v>
      </c>
      <c r="F3281" t="s">
        <v>2816</v>
      </c>
    </row>
    <row r="3282" spans="1:6" x14ac:dyDescent="0.2">
      <c r="A3282" t="s">
        <v>2966</v>
      </c>
      <c r="B3282" t="s">
        <v>2967</v>
      </c>
      <c r="C3282">
        <v>14119481</v>
      </c>
      <c r="D3282" t="s">
        <v>246</v>
      </c>
      <c r="E3282" s="134">
        <v>3504.41</v>
      </c>
      <c r="F3282" t="s">
        <v>2816</v>
      </c>
    </row>
    <row r="3283" spans="1:6" x14ac:dyDescent="0.2">
      <c r="A3283" t="s">
        <v>2966</v>
      </c>
      <c r="B3283" t="s">
        <v>2967</v>
      </c>
      <c r="C3283">
        <v>14119482</v>
      </c>
      <c r="D3283" t="s">
        <v>247</v>
      </c>
      <c r="E3283" s="134">
        <v>3504.41</v>
      </c>
      <c r="F3283" t="s">
        <v>2816</v>
      </c>
    </row>
    <row r="3284" spans="1:6" x14ac:dyDescent="0.2">
      <c r="A3284" t="s">
        <v>2966</v>
      </c>
      <c r="B3284" t="s">
        <v>2967</v>
      </c>
      <c r="C3284">
        <v>14119483</v>
      </c>
      <c r="D3284" t="s">
        <v>248</v>
      </c>
      <c r="E3284" s="134">
        <v>3504.41</v>
      </c>
      <c r="F3284" t="s">
        <v>2816</v>
      </c>
    </row>
    <row r="3285" spans="1:6" x14ac:dyDescent="0.2">
      <c r="A3285" t="s">
        <v>2966</v>
      </c>
      <c r="B3285" t="s">
        <v>2967</v>
      </c>
      <c r="C3285">
        <v>14119517</v>
      </c>
      <c r="D3285" t="s">
        <v>251</v>
      </c>
      <c r="E3285" s="134">
        <v>3504.41</v>
      </c>
      <c r="F3285" t="s">
        <v>2816</v>
      </c>
    </row>
    <row r="3286" spans="1:6" x14ac:dyDescent="0.2">
      <c r="A3286" t="s">
        <v>2966</v>
      </c>
      <c r="B3286" t="s">
        <v>2967</v>
      </c>
      <c r="C3286">
        <v>14119539</v>
      </c>
      <c r="D3286" t="s">
        <v>252</v>
      </c>
      <c r="E3286" s="134">
        <v>3504.41</v>
      </c>
      <c r="F3286" t="s">
        <v>2816</v>
      </c>
    </row>
    <row r="3287" spans="1:6" x14ac:dyDescent="0.2">
      <c r="A3287" t="s">
        <v>2966</v>
      </c>
      <c r="B3287" t="s">
        <v>2967</v>
      </c>
      <c r="C3287">
        <v>14119540</v>
      </c>
      <c r="D3287" t="s">
        <v>253</v>
      </c>
      <c r="E3287" s="134">
        <v>3504.41</v>
      </c>
      <c r="F3287" t="s">
        <v>2816</v>
      </c>
    </row>
    <row r="3288" spans="1:6" x14ac:dyDescent="0.2">
      <c r="A3288" t="s">
        <v>2966</v>
      </c>
      <c r="B3288" t="s">
        <v>2967</v>
      </c>
      <c r="C3288">
        <v>14119598</v>
      </c>
      <c r="D3288" t="s">
        <v>254</v>
      </c>
      <c r="E3288" s="134">
        <v>3504.41</v>
      </c>
      <c r="F3288" t="s">
        <v>2816</v>
      </c>
    </row>
    <row r="3289" spans="1:6" x14ac:dyDescent="0.2">
      <c r="A3289" t="s">
        <v>2966</v>
      </c>
      <c r="B3289" t="s">
        <v>2967</v>
      </c>
      <c r="C3289">
        <v>14119701</v>
      </c>
      <c r="D3289" t="s">
        <v>256</v>
      </c>
      <c r="E3289" s="134">
        <v>3504.41</v>
      </c>
      <c r="F3289" t="s">
        <v>2816</v>
      </c>
    </row>
    <row r="3290" spans="1:6" x14ac:dyDescent="0.2">
      <c r="A3290" t="s">
        <v>2966</v>
      </c>
      <c r="B3290" t="s">
        <v>2967</v>
      </c>
      <c r="C3290">
        <v>14119751</v>
      </c>
      <c r="D3290" t="s">
        <v>257</v>
      </c>
      <c r="E3290" s="134">
        <v>3504.41</v>
      </c>
      <c r="F3290" t="s">
        <v>2816</v>
      </c>
    </row>
    <row r="3291" spans="1:6" x14ac:dyDescent="0.2">
      <c r="A3291" t="s">
        <v>2966</v>
      </c>
      <c r="B3291" t="s">
        <v>2967</v>
      </c>
      <c r="C3291">
        <v>14119785</v>
      </c>
      <c r="D3291" t="s">
        <v>258</v>
      </c>
      <c r="E3291" s="134">
        <v>3504.41</v>
      </c>
      <c r="F3291" t="s">
        <v>2816</v>
      </c>
    </row>
    <row r="3292" spans="1:6" x14ac:dyDescent="0.2">
      <c r="A3292" t="s">
        <v>2966</v>
      </c>
      <c r="B3292" t="s">
        <v>2967</v>
      </c>
      <c r="C3292">
        <v>14119787</v>
      </c>
      <c r="D3292" t="s">
        <v>260</v>
      </c>
      <c r="E3292" s="134">
        <v>3504.41</v>
      </c>
      <c r="F3292" t="s">
        <v>2816</v>
      </c>
    </row>
    <row r="3293" spans="1:6" x14ac:dyDescent="0.2">
      <c r="A3293" t="s">
        <v>2966</v>
      </c>
      <c r="B3293" t="s">
        <v>2967</v>
      </c>
      <c r="C3293">
        <v>14119825</v>
      </c>
      <c r="D3293" t="s">
        <v>262</v>
      </c>
      <c r="E3293" s="134">
        <v>3504.41</v>
      </c>
      <c r="F3293" t="s">
        <v>2816</v>
      </c>
    </row>
    <row r="3294" spans="1:6" x14ac:dyDescent="0.2">
      <c r="A3294" t="s">
        <v>2966</v>
      </c>
      <c r="B3294" t="s">
        <v>2967</v>
      </c>
      <c r="C3294">
        <v>14119837</v>
      </c>
      <c r="D3294" t="s">
        <v>264</v>
      </c>
      <c r="E3294" s="134">
        <v>3504.41</v>
      </c>
      <c r="F3294" t="s">
        <v>2816</v>
      </c>
    </row>
    <row r="3295" spans="1:6" x14ac:dyDescent="0.2">
      <c r="A3295" t="s">
        <v>2966</v>
      </c>
      <c r="B3295" t="s">
        <v>2967</v>
      </c>
      <c r="C3295">
        <v>14119839</v>
      </c>
      <c r="D3295" t="s">
        <v>265</v>
      </c>
      <c r="E3295" s="134">
        <v>3504.41</v>
      </c>
      <c r="F3295" t="s">
        <v>2816</v>
      </c>
    </row>
    <row r="3296" spans="1:6" x14ac:dyDescent="0.2">
      <c r="A3296" t="s">
        <v>2966</v>
      </c>
      <c r="B3296" t="s">
        <v>2967</v>
      </c>
      <c r="C3296">
        <v>14119890</v>
      </c>
      <c r="D3296" t="s">
        <v>266</v>
      </c>
      <c r="E3296" s="134">
        <v>3504.41</v>
      </c>
      <c r="F3296" t="s">
        <v>2816</v>
      </c>
    </row>
    <row r="3297" spans="1:6" x14ac:dyDescent="0.2">
      <c r="A3297" t="s">
        <v>2966</v>
      </c>
      <c r="B3297" t="s">
        <v>2967</v>
      </c>
      <c r="C3297">
        <v>14119956</v>
      </c>
      <c r="D3297" t="s">
        <v>269</v>
      </c>
      <c r="E3297" s="134">
        <v>3504.41</v>
      </c>
      <c r="F3297" t="s">
        <v>2816</v>
      </c>
    </row>
    <row r="3298" spans="1:6" x14ac:dyDescent="0.2">
      <c r="A3298" t="s">
        <v>2966</v>
      </c>
      <c r="B3298" t="s">
        <v>2967</v>
      </c>
      <c r="C3298">
        <v>14120041</v>
      </c>
      <c r="D3298" t="s">
        <v>272</v>
      </c>
      <c r="E3298" s="134">
        <v>3504.41</v>
      </c>
      <c r="F3298" t="s">
        <v>2816</v>
      </c>
    </row>
    <row r="3299" spans="1:6" x14ac:dyDescent="0.2">
      <c r="A3299" t="s">
        <v>2966</v>
      </c>
      <c r="B3299" t="s">
        <v>2967</v>
      </c>
      <c r="C3299">
        <v>14120044</v>
      </c>
      <c r="D3299" t="s">
        <v>273</v>
      </c>
      <c r="E3299" s="134">
        <v>3504.41</v>
      </c>
      <c r="F3299" t="s">
        <v>2816</v>
      </c>
    </row>
    <row r="3300" spans="1:6" x14ac:dyDescent="0.2">
      <c r="A3300" t="s">
        <v>2966</v>
      </c>
      <c r="B3300" t="s">
        <v>2967</v>
      </c>
      <c r="C3300">
        <v>14120106</v>
      </c>
      <c r="D3300" t="s">
        <v>277</v>
      </c>
      <c r="E3300" s="134">
        <v>3504.41</v>
      </c>
      <c r="F3300" t="s">
        <v>2816</v>
      </c>
    </row>
    <row r="3301" spans="1:6" x14ac:dyDescent="0.2">
      <c r="A3301" t="s">
        <v>2966</v>
      </c>
      <c r="B3301" t="s">
        <v>2967</v>
      </c>
      <c r="C3301">
        <v>14120121</v>
      </c>
      <c r="D3301" t="s">
        <v>278</v>
      </c>
      <c r="E3301" s="134">
        <v>3504.41</v>
      </c>
      <c r="F3301" t="s">
        <v>2816</v>
      </c>
    </row>
    <row r="3302" spans="1:6" x14ac:dyDescent="0.2">
      <c r="A3302" t="s">
        <v>2966</v>
      </c>
      <c r="B3302" t="s">
        <v>2967</v>
      </c>
      <c r="C3302">
        <v>14120196</v>
      </c>
      <c r="D3302" t="s">
        <v>279</v>
      </c>
      <c r="E3302" s="134">
        <v>3504.41</v>
      </c>
      <c r="F3302" t="s">
        <v>2816</v>
      </c>
    </row>
    <row r="3303" spans="1:6" x14ac:dyDescent="0.2">
      <c r="A3303" t="s">
        <v>2966</v>
      </c>
      <c r="B3303" t="s">
        <v>2967</v>
      </c>
      <c r="C3303">
        <v>14120270</v>
      </c>
      <c r="D3303" t="s">
        <v>281</v>
      </c>
      <c r="E3303" s="134">
        <v>2920.34</v>
      </c>
      <c r="F3303" t="s">
        <v>2816</v>
      </c>
    </row>
    <row r="3304" spans="1:6" x14ac:dyDescent="0.2">
      <c r="A3304" t="s">
        <v>2966</v>
      </c>
      <c r="B3304" t="s">
        <v>2967</v>
      </c>
      <c r="C3304">
        <v>14120276</v>
      </c>
      <c r="D3304" t="s">
        <v>282</v>
      </c>
      <c r="E3304" s="134">
        <v>3504.41</v>
      </c>
      <c r="F3304" t="s">
        <v>2816</v>
      </c>
    </row>
    <row r="3305" spans="1:6" x14ac:dyDescent="0.2">
      <c r="A3305" t="s">
        <v>2966</v>
      </c>
      <c r="B3305" t="s">
        <v>2967</v>
      </c>
      <c r="C3305">
        <v>14120349</v>
      </c>
      <c r="D3305" t="s">
        <v>284</v>
      </c>
      <c r="E3305" s="134">
        <v>3504.41</v>
      </c>
      <c r="F3305" t="s">
        <v>2816</v>
      </c>
    </row>
    <row r="3306" spans="1:6" x14ac:dyDescent="0.2">
      <c r="A3306" t="s">
        <v>2966</v>
      </c>
      <c r="B3306" t="s">
        <v>2967</v>
      </c>
      <c r="C3306">
        <v>14120415</v>
      </c>
      <c r="D3306" t="s">
        <v>286</v>
      </c>
      <c r="E3306" s="134">
        <v>3504.41</v>
      </c>
      <c r="F3306" t="s">
        <v>2816</v>
      </c>
    </row>
    <row r="3307" spans="1:6" x14ac:dyDescent="0.2">
      <c r="A3307" t="s">
        <v>2966</v>
      </c>
      <c r="B3307" t="s">
        <v>2967</v>
      </c>
      <c r="C3307">
        <v>14101142</v>
      </c>
      <c r="D3307" t="s">
        <v>906</v>
      </c>
      <c r="E3307" s="134">
        <v>3649.31</v>
      </c>
      <c r="F3307" t="s">
        <v>2816</v>
      </c>
    </row>
    <row r="3308" spans="1:6" x14ac:dyDescent="0.2">
      <c r="A3308" t="s">
        <v>2966</v>
      </c>
      <c r="B3308" t="s">
        <v>2967</v>
      </c>
      <c r="C3308">
        <v>14101145</v>
      </c>
      <c r="D3308" t="s">
        <v>908</v>
      </c>
      <c r="E3308" s="134">
        <v>3649.31</v>
      </c>
      <c r="F3308" t="s">
        <v>2816</v>
      </c>
    </row>
    <row r="3309" spans="1:6" x14ac:dyDescent="0.2">
      <c r="A3309" t="s">
        <v>2966</v>
      </c>
      <c r="B3309" t="s">
        <v>2967</v>
      </c>
      <c r="C3309">
        <v>14103700</v>
      </c>
      <c r="D3309" t="s">
        <v>910</v>
      </c>
      <c r="E3309" s="134">
        <v>3649.31</v>
      </c>
      <c r="F3309" t="s">
        <v>2816</v>
      </c>
    </row>
    <row r="3310" spans="1:6" x14ac:dyDescent="0.2">
      <c r="A3310" t="s">
        <v>2966</v>
      </c>
      <c r="B3310" t="s">
        <v>2967</v>
      </c>
      <c r="C3310">
        <v>14109275</v>
      </c>
      <c r="D3310" t="s">
        <v>912</v>
      </c>
      <c r="E3310" s="134">
        <v>3649.31</v>
      </c>
      <c r="F3310" t="s">
        <v>2816</v>
      </c>
    </row>
    <row r="3311" spans="1:6" x14ac:dyDescent="0.2">
      <c r="A3311" t="s">
        <v>2966</v>
      </c>
      <c r="B3311" t="s">
        <v>2967</v>
      </c>
      <c r="C3311">
        <v>14109276</v>
      </c>
      <c r="D3311" t="s">
        <v>914</v>
      </c>
      <c r="E3311" s="134">
        <v>3649.31</v>
      </c>
      <c r="F3311" t="s">
        <v>2816</v>
      </c>
    </row>
    <row r="3312" spans="1:6" x14ac:dyDescent="0.2">
      <c r="A3312" t="s">
        <v>2966</v>
      </c>
      <c r="B3312" t="s">
        <v>2967</v>
      </c>
      <c r="C3312">
        <v>14100714</v>
      </c>
      <c r="D3312" t="s">
        <v>6</v>
      </c>
      <c r="E3312" s="134">
        <v>3649.31</v>
      </c>
      <c r="F3312" t="s">
        <v>2816</v>
      </c>
    </row>
    <row r="3313" spans="1:6" x14ac:dyDescent="0.2">
      <c r="A3313" t="s">
        <v>2966</v>
      </c>
      <c r="B3313" t="s">
        <v>2967</v>
      </c>
      <c r="C3313">
        <v>14100718</v>
      </c>
      <c r="D3313" t="s">
        <v>8</v>
      </c>
      <c r="E3313" s="134">
        <v>3649.31</v>
      </c>
      <c r="F3313" t="s">
        <v>2816</v>
      </c>
    </row>
    <row r="3314" spans="1:6" x14ac:dyDescent="0.2">
      <c r="A3314" t="s">
        <v>2966</v>
      </c>
      <c r="B3314" t="s">
        <v>2967</v>
      </c>
      <c r="C3314">
        <v>14100721</v>
      </c>
      <c r="D3314" t="s">
        <v>9</v>
      </c>
      <c r="E3314" s="134">
        <v>3649.31</v>
      </c>
      <c r="F3314" t="s">
        <v>2816</v>
      </c>
    </row>
    <row r="3315" spans="1:6" x14ac:dyDescent="0.2">
      <c r="A3315" t="s">
        <v>2966</v>
      </c>
      <c r="B3315" t="s">
        <v>2967</v>
      </c>
      <c r="C3315">
        <v>14100724</v>
      </c>
      <c r="D3315" t="s">
        <v>10</v>
      </c>
      <c r="E3315" s="134">
        <v>3649.31</v>
      </c>
      <c r="F3315" t="s">
        <v>2816</v>
      </c>
    </row>
    <row r="3316" spans="1:6" x14ac:dyDescent="0.2">
      <c r="A3316" t="s">
        <v>2966</v>
      </c>
      <c r="B3316" t="s">
        <v>2967</v>
      </c>
      <c r="C3316">
        <v>14100725</v>
      </c>
      <c r="D3316" t="s">
        <v>11</v>
      </c>
      <c r="E3316" s="134">
        <v>2085.3200000000002</v>
      </c>
      <c r="F3316" t="s">
        <v>2816</v>
      </c>
    </row>
    <row r="3317" spans="1:6" x14ac:dyDescent="0.2">
      <c r="A3317" t="s">
        <v>2966</v>
      </c>
      <c r="B3317" t="s">
        <v>2967</v>
      </c>
      <c r="C3317">
        <v>14100726</v>
      </c>
      <c r="D3317" t="s">
        <v>12</v>
      </c>
      <c r="E3317" s="134">
        <v>3649.31</v>
      </c>
      <c r="F3317" t="s">
        <v>2816</v>
      </c>
    </row>
    <row r="3318" spans="1:6" x14ac:dyDescent="0.2">
      <c r="A3318" t="s">
        <v>2966</v>
      </c>
      <c r="B3318" t="s">
        <v>2967</v>
      </c>
      <c r="C3318">
        <v>14100727</v>
      </c>
      <c r="D3318" t="s">
        <v>13</v>
      </c>
      <c r="E3318" s="134">
        <v>3649.31</v>
      </c>
      <c r="F3318" t="s">
        <v>2816</v>
      </c>
    </row>
    <row r="3319" spans="1:6" x14ac:dyDescent="0.2">
      <c r="A3319" t="s">
        <v>2966</v>
      </c>
      <c r="B3319" t="s">
        <v>2967</v>
      </c>
      <c r="C3319">
        <v>14100729</v>
      </c>
      <c r="D3319" t="s">
        <v>14</v>
      </c>
      <c r="E3319" s="134">
        <v>3649.31</v>
      </c>
      <c r="F3319" t="s">
        <v>2816</v>
      </c>
    </row>
    <row r="3320" spans="1:6" x14ac:dyDescent="0.2">
      <c r="A3320" t="s">
        <v>2966</v>
      </c>
      <c r="B3320" t="s">
        <v>2967</v>
      </c>
      <c r="C3320">
        <v>14100731</v>
      </c>
      <c r="D3320" t="s">
        <v>15</v>
      </c>
      <c r="E3320" s="134">
        <v>3649.31</v>
      </c>
      <c r="F3320" t="s">
        <v>2816</v>
      </c>
    </row>
    <row r="3321" spans="1:6" x14ac:dyDescent="0.2">
      <c r="A3321" t="s">
        <v>2966</v>
      </c>
      <c r="B3321" t="s">
        <v>2967</v>
      </c>
      <c r="C3321">
        <v>14100732</v>
      </c>
      <c r="D3321" t="s">
        <v>16</v>
      </c>
      <c r="E3321" s="134">
        <v>3649.31</v>
      </c>
      <c r="F3321" t="s">
        <v>2816</v>
      </c>
    </row>
    <row r="3322" spans="1:6" x14ac:dyDescent="0.2">
      <c r="A3322" t="s">
        <v>2966</v>
      </c>
      <c r="B3322" t="s">
        <v>2967</v>
      </c>
      <c r="C3322">
        <v>14100733</v>
      </c>
      <c r="D3322" t="s">
        <v>17</v>
      </c>
      <c r="E3322" s="134">
        <v>3649.31</v>
      </c>
      <c r="F3322" t="s">
        <v>2816</v>
      </c>
    </row>
    <row r="3323" spans="1:6" x14ac:dyDescent="0.2">
      <c r="A3323" t="s">
        <v>2966</v>
      </c>
      <c r="B3323" t="s">
        <v>2967</v>
      </c>
      <c r="C3323">
        <v>14100740</v>
      </c>
      <c r="D3323" t="s">
        <v>18</v>
      </c>
      <c r="E3323" s="134">
        <v>3649.31</v>
      </c>
      <c r="F3323" t="s">
        <v>2816</v>
      </c>
    </row>
    <row r="3324" spans="1:6" x14ac:dyDescent="0.2">
      <c r="A3324" t="s">
        <v>2966</v>
      </c>
      <c r="B3324" t="s">
        <v>2967</v>
      </c>
      <c r="C3324">
        <v>14100787</v>
      </c>
      <c r="D3324" t="s">
        <v>20</v>
      </c>
      <c r="E3324" s="134">
        <v>3649.31</v>
      </c>
      <c r="F3324" t="s">
        <v>2816</v>
      </c>
    </row>
    <row r="3325" spans="1:6" x14ac:dyDescent="0.2">
      <c r="A3325" t="s">
        <v>2966</v>
      </c>
      <c r="B3325" t="s">
        <v>2967</v>
      </c>
      <c r="C3325">
        <v>14100795</v>
      </c>
      <c r="D3325" t="s">
        <v>21</v>
      </c>
      <c r="E3325" s="134">
        <v>3649.31</v>
      </c>
      <c r="F3325" t="s">
        <v>2816</v>
      </c>
    </row>
    <row r="3326" spans="1:6" x14ac:dyDescent="0.2">
      <c r="A3326" t="s">
        <v>2966</v>
      </c>
      <c r="B3326" t="s">
        <v>2967</v>
      </c>
      <c r="C3326">
        <v>14100798</v>
      </c>
      <c r="D3326" t="s">
        <v>22</v>
      </c>
      <c r="E3326" s="134">
        <v>3649.31</v>
      </c>
      <c r="F3326" t="s">
        <v>2816</v>
      </c>
    </row>
    <row r="3327" spans="1:6" x14ac:dyDescent="0.2">
      <c r="A3327" t="s">
        <v>2966</v>
      </c>
      <c r="B3327" t="s">
        <v>2967</v>
      </c>
      <c r="C3327">
        <v>14100807</v>
      </c>
      <c r="D3327" t="s">
        <v>23</v>
      </c>
      <c r="E3327" s="134">
        <v>3649.31</v>
      </c>
      <c r="F3327" t="s">
        <v>2816</v>
      </c>
    </row>
    <row r="3328" spans="1:6" x14ac:dyDescent="0.2">
      <c r="A3328" t="s">
        <v>2966</v>
      </c>
      <c r="B3328" t="s">
        <v>2967</v>
      </c>
      <c r="C3328">
        <v>14100823</v>
      </c>
      <c r="D3328" t="s">
        <v>274</v>
      </c>
      <c r="E3328" s="134">
        <v>3649.31</v>
      </c>
      <c r="F3328" t="s">
        <v>2816</v>
      </c>
    </row>
    <row r="3329" spans="1:6" x14ac:dyDescent="0.2">
      <c r="A3329" t="s">
        <v>2966</v>
      </c>
      <c r="B3329" t="s">
        <v>2967</v>
      </c>
      <c r="C3329">
        <v>14100863</v>
      </c>
      <c r="D3329" t="s">
        <v>25</v>
      </c>
      <c r="E3329" s="134">
        <v>3649.31</v>
      </c>
      <c r="F3329" t="s">
        <v>2816</v>
      </c>
    </row>
    <row r="3330" spans="1:6" x14ac:dyDescent="0.2">
      <c r="A3330" t="s">
        <v>2966</v>
      </c>
      <c r="B3330" t="s">
        <v>2967</v>
      </c>
      <c r="C3330">
        <v>14100902</v>
      </c>
      <c r="D3330" t="s">
        <v>347</v>
      </c>
      <c r="E3330" s="134">
        <v>3649.31</v>
      </c>
      <c r="F3330" t="s">
        <v>2816</v>
      </c>
    </row>
    <row r="3331" spans="1:6" x14ac:dyDescent="0.2">
      <c r="A3331" t="s">
        <v>2966</v>
      </c>
      <c r="B3331" t="s">
        <v>2967</v>
      </c>
      <c r="C3331">
        <v>14101881</v>
      </c>
      <c r="D3331" t="s">
        <v>26</v>
      </c>
      <c r="E3331" s="134">
        <v>3649.31</v>
      </c>
      <c r="F3331" t="s">
        <v>2816</v>
      </c>
    </row>
    <row r="3332" spans="1:6" x14ac:dyDescent="0.2">
      <c r="A3332" t="s">
        <v>2966</v>
      </c>
      <c r="B3332" t="s">
        <v>2967</v>
      </c>
      <c r="C3332">
        <v>14101984</v>
      </c>
      <c r="D3332" t="s">
        <v>27</v>
      </c>
      <c r="E3332" s="134">
        <v>3649.31</v>
      </c>
      <c r="F3332" t="s">
        <v>2816</v>
      </c>
    </row>
    <row r="3333" spans="1:6" x14ac:dyDescent="0.2">
      <c r="A3333" t="s">
        <v>2966</v>
      </c>
      <c r="B3333" t="s">
        <v>2967</v>
      </c>
      <c r="C3333">
        <v>14102288</v>
      </c>
      <c r="D3333" t="s">
        <v>29</v>
      </c>
      <c r="E3333" s="134">
        <v>3649.31</v>
      </c>
      <c r="F3333" t="s">
        <v>2816</v>
      </c>
    </row>
    <row r="3334" spans="1:6" x14ac:dyDescent="0.2">
      <c r="A3334" t="s">
        <v>2966</v>
      </c>
      <c r="B3334" t="s">
        <v>2967</v>
      </c>
      <c r="C3334">
        <v>14102701</v>
      </c>
      <c r="D3334" t="s">
        <v>30</v>
      </c>
      <c r="E3334" s="134">
        <v>3649.31</v>
      </c>
      <c r="F3334" t="s">
        <v>2816</v>
      </c>
    </row>
    <row r="3335" spans="1:6" x14ac:dyDescent="0.2">
      <c r="A3335" t="s">
        <v>2966</v>
      </c>
      <c r="B3335" t="s">
        <v>2967</v>
      </c>
      <c r="C3335">
        <v>14102730</v>
      </c>
      <c r="D3335" t="s">
        <v>31</v>
      </c>
      <c r="E3335" s="134">
        <v>3649.31</v>
      </c>
      <c r="F3335" t="s">
        <v>2816</v>
      </c>
    </row>
    <row r="3336" spans="1:6" x14ac:dyDescent="0.2">
      <c r="A3336" t="s">
        <v>2966</v>
      </c>
      <c r="B3336" t="s">
        <v>2967</v>
      </c>
      <c r="C3336">
        <v>14102875</v>
      </c>
      <c r="D3336" t="s">
        <v>32</v>
      </c>
      <c r="E3336" s="134">
        <v>3649.31</v>
      </c>
      <c r="F3336" t="s">
        <v>2816</v>
      </c>
    </row>
    <row r="3337" spans="1:6" x14ac:dyDescent="0.2">
      <c r="A3337" t="s">
        <v>2966</v>
      </c>
      <c r="B3337" t="s">
        <v>2967</v>
      </c>
      <c r="C3337">
        <v>14102890</v>
      </c>
      <c r="D3337" t="s">
        <v>33</v>
      </c>
      <c r="E3337" s="134">
        <v>3649.31</v>
      </c>
      <c r="F3337" t="s">
        <v>2816</v>
      </c>
    </row>
    <row r="3338" spans="1:6" x14ac:dyDescent="0.2">
      <c r="A3338" t="s">
        <v>2966</v>
      </c>
      <c r="B3338" t="s">
        <v>2967</v>
      </c>
      <c r="C3338">
        <v>14103061</v>
      </c>
      <c r="D3338" t="s">
        <v>392</v>
      </c>
      <c r="E3338" s="134">
        <v>3649.31</v>
      </c>
      <c r="F3338" t="s">
        <v>2816</v>
      </c>
    </row>
    <row r="3339" spans="1:6" x14ac:dyDescent="0.2">
      <c r="A3339" t="s">
        <v>2966</v>
      </c>
      <c r="B3339" t="s">
        <v>2967</v>
      </c>
      <c r="C3339">
        <v>14103106</v>
      </c>
      <c r="D3339" t="s">
        <v>34</v>
      </c>
      <c r="E3339" s="134">
        <v>3649.31</v>
      </c>
      <c r="F3339" t="s">
        <v>2816</v>
      </c>
    </row>
    <row r="3340" spans="1:6" x14ac:dyDescent="0.2">
      <c r="A3340" t="s">
        <v>2966</v>
      </c>
      <c r="B3340" t="s">
        <v>2967</v>
      </c>
      <c r="C3340">
        <v>14103183</v>
      </c>
      <c r="D3340" t="s">
        <v>35</v>
      </c>
      <c r="E3340" s="134">
        <v>3649.31</v>
      </c>
      <c r="F3340" t="s">
        <v>2816</v>
      </c>
    </row>
    <row r="3341" spans="1:6" x14ac:dyDescent="0.2">
      <c r="A3341" t="s">
        <v>2966</v>
      </c>
      <c r="B3341" t="s">
        <v>2967</v>
      </c>
      <c r="C3341">
        <v>14103335</v>
      </c>
      <c r="D3341" t="s">
        <v>36</v>
      </c>
      <c r="E3341" s="134">
        <v>3649.31</v>
      </c>
      <c r="F3341" t="s">
        <v>2816</v>
      </c>
    </row>
    <row r="3342" spans="1:6" x14ac:dyDescent="0.2">
      <c r="A3342" t="s">
        <v>2966</v>
      </c>
      <c r="B3342" t="s">
        <v>2967</v>
      </c>
      <c r="C3342">
        <v>14103679</v>
      </c>
      <c r="D3342" t="s">
        <v>37</v>
      </c>
      <c r="E3342" s="134">
        <v>3649.31</v>
      </c>
      <c r="F3342" t="s">
        <v>2816</v>
      </c>
    </row>
    <row r="3343" spans="1:6" x14ac:dyDescent="0.2">
      <c r="A3343" t="s">
        <v>2966</v>
      </c>
      <c r="B3343" t="s">
        <v>2967</v>
      </c>
      <c r="C3343">
        <v>14103952</v>
      </c>
      <c r="D3343" t="s">
        <v>38</v>
      </c>
      <c r="E3343" s="134">
        <v>3649.31</v>
      </c>
      <c r="F3343" t="s">
        <v>2816</v>
      </c>
    </row>
    <row r="3344" spans="1:6" x14ac:dyDescent="0.2">
      <c r="A3344" t="s">
        <v>2966</v>
      </c>
      <c r="B3344" t="s">
        <v>2967</v>
      </c>
      <c r="C3344">
        <v>14104315</v>
      </c>
      <c r="D3344" t="s">
        <v>328</v>
      </c>
      <c r="E3344" s="134">
        <v>3649.31</v>
      </c>
      <c r="F3344" t="s">
        <v>2816</v>
      </c>
    </row>
    <row r="3345" spans="1:6" x14ac:dyDescent="0.2">
      <c r="A3345" t="s">
        <v>2966</v>
      </c>
      <c r="B3345" t="s">
        <v>2967</v>
      </c>
      <c r="C3345">
        <v>14104316</v>
      </c>
      <c r="D3345" t="s">
        <v>39</v>
      </c>
      <c r="E3345" s="134">
        <v>3649.31</v>
      </c>
      <c r="F3345" t="s">
        <v>2816</v>
      </c>
    </row>
    <row r="3346" spans="1:6" x14ac:dyDescent="0.2">
      <c r="A3346" t="s">
        <v>2966</v>
      </c>
      <c r="B3346" t="s">
        <v>2967</v>
      </c>
      <c r="C3346">
        <v>14104599</v>
      </c>
      <c r="D3346" t="s">
        <v>40</v>
      </c>
      <c r="E3346" s="134">
        <v>3649.31</v>
      </c>
      <c r="F3346" t="s">
        <v>2816</v>
      </c>
    </row>
    <row r="3347" spans="1:6" x14ac:dyDescent="0.2">
      <c r="A3347" t="s">
        <v>2966</v>
      </c>
      <c r="B3347" t="s">
        <v>2967</v>
      </c>
      <c r="C3347">
        <v>14104822</v>
      </c>
      <c r="D3347" t="s">
        <v>41</v>
      </c>
      <c r="E3347" s="134">
        <v>3649.31</v>
      </c>
      <c r="F3347" t="s">
        <v>2816</v>
      </c>
    </row>
    <row r="3348" spans="1:6" x14ac:dyDescent="0.2">
      <c r="A3348" t="s">
        <v>2966</v>
      </c>
      <c r="B3348" t="s">
        <v>2967</v>
      </c>
      <c r="C3348">
        <v>14104932</v>
      </c>
      <c r="D3348" t="s">
        <v>42</v>
      </c>
      <c r="E3348" s="134">
        <v>3649.31</v>
      </c>
      <c r="F3348" t="s">
        <v>2816</v>
      </c>
    </row>
    <row r="3349" spans="1:6" x14ac:dyDescent="0.2">
      <c r="A3349" t="s">
        <v>2966</v>
      </c>
      <c r="B3349" t="s">
        <v>2967</v>
      </c>
      <c r="C3349">
        <v>14104971</v>
      </c>
      <c r="D3349" t="s">
        <v>43</v>
      </c>
      <c r="E3349" s="134">
        <v>3649.31</v>
      </c>
      <c r="F3349" t="s">
        <v>2816</v>
      </c>
    </row>
    <row r="3350" spans="1:6" x14ac:dyDescent="0.2">
      <c r="A3350" t="s">
        <v>2966</v>
      </c>
      <c r="B3350" t="s">
        <v>2967</v>
      </c>
      <c r="C3350">
        <v>14105437</v>
      </c>
      <c r="D3350" t="s">
        <v>44</v>
      </c>
      <c r="E3350" s="134">
        <v>3649.31</v>
      </c>
      <c r="F3350" t="s">
        <v>2816</v>
      </c>
    </row>
    <row r="3351" spans="1:6" x14ac:dyDescent="0.2">
      <c r="A3351" t="s">
        <v>2966</v>
      </c>
      <c r="B3351" t="s">
        <v>2967</v>
      </c>
      <c r="C3351">
        <v>14105531</v>
      </c>
      <c r="D3351" t="s">
        <v>45</v>
      </c>
      <c r="E3351" s="134">
        <v>3649.31</v>
      </c>
      <c r="F3351" t="s">
        <v>2816</v>
      </c>
    </row>
    <row r="3352" spans="1:6" x14ac:dyDescent="0.2">
      <c r="A3352" t="s">
        <v>2966</v>
      </c>
      <c r="B3352" t="s">
        <v>2967</v>
      </c>
      <c r="C3352">
        <v>14105586</v>
      </c>
      <c r="D3352" t="s">
        <v>46</v>
      </c>
      <c r="E3352" s="134">
        <v>3649.31</v>
      </c>
      <c r="F3352" t="s">
        <v>2816</v>
      </c>
    </row>
    <row r="3353" spans="1:6" x14ac:dyDescent="0.2">
      <c r="A3353" t="s">
        <v>2966</v>
      </c>
      <c r="B3353" t="s">
        <v>2967</v>
      </c>
      <c r="C3353">
        <v>14105645</v>
      </c>
      <c r="D3353" t="s">
        <v>160</v>
      </c>
      <c r="E3353" s="134">
        <v>3649.31</v>
      </c>
      <c r="F3353" t="s">
        <v>2816</v>
      </c>
    </row>
    <row r="3354" spans="1:6" x14ac:dyDescent="0.2">
      <c r="A3354" t="s">
        <v>2966</v>
      </c>
      <c r="B3354" t="s">
        <v>2967</v>
      </c>
      <c r="C3354">
        <v>14106033</v>
      </c>
      <c r="D3354" t="s">
        <v>47</v>
      </c>
      <c r="E3354" s="134">
        <v>3649.31</v>
      </c>
      <c r="F3354" t="s">
        <v>2816</v>
      </c>
    </row>
    <row r="3355" spans="1:6" x14ac:dyDescent="0.2">
      <c r="A3355" t="s">
        <v>2966</v>
      </c>
      <c r="B3355" t="s">
        <v>2967</v>
      </c>
      <c r="C3355">
        <v>14106233</v>
      </c>
      <c r="D3355" t="s">
        <v>340</v>
      </c>
      <c r="E3355" s="134">
        <v>3649.31</v>
      </c>
      <c r="F3355" t="s">
        <v>2816</v>
      </c>
    </row>
    <row r="3356" spans="1:6" x14ac:dyDescent="0.2">
      <c r="A3356" t="s">
        <v>2966</v>
      </c>
      <c r="B3356" t="s">
        <v>2967</v>
      </c>
      <c r="C3356">
        <v>14106368</v>
      </c>
      <c r="D3356" t="s">
        <v>50</v>
      </c>
      <c r="E3356" s="134">
        <v>3649.31</v>
      </c>
      <c r="F3356" t="s">
        <v>2816</v>
      </c>
    </row>
    <row r="3357" spans="1:6" x14ac:dyDescent="0.2">
      <c r="A3357" t="s">
        <v>2966</v>
      </c>
      <c r="B3357" t="s">
        <v>2967</v>
      </c>
      <c r="C3357">
        <v>14106438</v>
      </c>
      <c r="D3357" t="s">
        <v>51</v>
      </c>
      <c r="E3357" s="134">
        <v>3649.31</v>
      </c>
      <c r="F3357" t="s">
        <v>2816</v>
      </c>
    </row>
    <row r="3358" spans="1:6" x14ac:dyDescent="0.2">
      <c r="A3358" t="s">
        <v>2966</v>
      </c>
      <c r="B3358" t="s">
        <v>2967</v>
      </c>
      <c r="C3358">
        <v>14106949</v>
      </c>
      <c r="D3358" t="s">
        <v>53</v>
      </c>
      <c r="E3358" s="134">
        <v>3649.31</v>
      </c>
      <c r="F3358" t="s">
        <v>2816</v>
      </c>
    </row>
    <row r="3359" spans="1:6" x14ac:dyDescent="0.2">
      <c r="A3359" t="s">
        <v>2966</v>
      </c>
      <c r="B3359" t="s">
        <v>2967</v>
      </c>
      <c r="C3359">
        <v>14106980</v>
      </c>
      <c r="D3359" t="s">
        <v>54</v>
      </c>
      <c r="E3359" s="134">
        <v>3649.31</v>
      </c>
      <c r="F3359" t="s">
        <v>2816</v>
      </c>
    </row>
    <row r="3360" spans="1:6" x14ac:dyDescent="0.2">
      <c r="A3360" t="s">
        <v>2966</v>
      </c>
      <c r="B3360" t="s">
        <v>2967</v>
      </c>
      <c r="C3360">
        <v>14107081</v>
      </c>
      <c r="D3360" t="s">
        <v>55</v>
      </c>
      <c r="E3360" s="134">
        <v>3649.31</v>
      </c>
      <c r="F3360" t="s">
        <v>2816</v>
      </c>
    </row>
    <row r="3361" spans="1:6" x14ac:dyDescent="0.2">
      <c r="A3361" t="s">
        <v>2966</v>
      </c>
      <c r="B3361" t="s">
        <v>2967</v>
      </c>
      <c r="C3361">
        <v>14107167</v>
      </c>
      <c r="D3361" t="s">
        <v>56</v>
      </c>
      <c r="E3361" s="134">
        <v>3649.31</v>
      </c>
      <c r="F3361" t="s">
        <v>2816</v>
      </c>
    </row>
    <row r="3362" spans="1:6" x14ac:dyDescent="0.2">
      <c r="A3362" t="s">
        <v>2966</v>
      </c>
      <c r="B3362" t="s">
        <v>2967</v>
      </c>
      <c r="C3362">
        <v>14107206</v>
      </c>
      <c r="D3362" t="s">
        <v>58</v>
      </c>
      <c r="E3362" s="134">
        <v>3649.31</v>
      </c>
      <c r="F3362" t="s">
        <v>2816</v>
      </c>
    </row>
    <row r="3363" spans="1:6" x14ac:dyDescent="0.2">
      <c r="A3363" t="s">
        <v>2966</v>
      </c>
      <c r="B3363" t="s">
        <v>2967</v>
      </c>
      <c r="C3363">
        <v>14107217</v>
      </c>
      <c r="D3363" t="s">
        <v>59</v>
      </c>
      <c r="E3363" s="134">
        <v>3649.31</v>
      </c>
      <c r="F3363" t="s">
        <v>2816</v>
      </c>
    </row>
    <row r="3364" spans="1:6" x14ac:dyDescent="0.2">
      <c r="A3364" t="s">
        <v>2966</v>
      </c>
      <c r="B3364" t="s">
        <v>2967</v>
      </c>
      <c r="C3364">
        <v>14107293</v>
      </c>
      <c r="D3364" t="s">
        <v>191</v>
      </c>
      <c r="E3364" s="134">
        <v>3649.31</v>
      </c>
      <c r="F3364" t="s">
        <v>2816</v>
      </c>
    </row>
    <row r="3365" spans="1:6" x14ac:dyDescent="0.2">
      <c r="A3365" t="s">
        <v>2966</v>
      </c>
      <c r="B3365" t="s">
        <v>2967</v>
      </c>
      <c r="C3365">
        <v>14107393</v>
      </c>
      <c r="D3365" t="s">
        <v>61</v>
      </c>
      <c r="E3365" s="134">
        <v>3649.31</v>
      </c>
      <c r="F3365" t="s">
        <v>2816</v>
      </c>
    </row>
    <row r="3366" spans="1:6" x14ac:dyDescent="0.2">
      <c r="A3366" t="s">
        <v>2966</v>
      </c>
      <c r="B3366" t="s">
        <v>2967</v>
      </c>
      <c r="C3366">
        <v>14107484</v>
      </c>
      <c r="D3366" t="s">
        <v>62</v>
      </c>
      <c r="E3366" s="134">
        <v>3649.31</v>
      </c>
      <c r="F3366" t="s">
        <v>2816</v>
      </c>
    </row>
    <row r="3367" spans="1:6" x14ac:dyDescent="0.2">
      <c r="A3367" t="s">
        <v>2966</v>
      </c>
      <c r="B3367" t="s">
        <v>2967</v>
      </c>
      <c r="C3367">
        <v>14107552</v>
      </c>
      <c r="D3367" t="s">
        <v>63</v>
      </c>
      <c r="E3367" s="134">
        <v>3649.31</v>
      </c>
      <c r="F3367" t="s">
        <v>2816</v>
      </c>
    </row>
    <row r="3368" spans="1:6" x14ac:dyDescent="0.2">
      <c r="A3368" t="s">
        <v>2966</v>
      </c>
      <c r="B3368" t="s">
        <v>2967</v>
      </c>
      <c r="C3368">
        <v>14107735</v>
      </c>
      <c r="D3368" t="s">
        <v>64</v>
      </c>
      <c r="E3368" s="134">
        <v>3649.31</v>
      </c>
      <c r="F3368" t="s">
        <v>2816</v>
      </c>
    </row>
    <row r="3369" spans="1:6" x14ac:dyDescent="0.2">
      <c r="A3369" t="s">
        <v>2966</v>
      </c>
      <c r="B3369" t="s">
        <v>2967</v>
      </c>
      <c r="C3369">
        <v>14107754</v>
      </c>
      <c r="D3369" t="s">
        <v>65</v>
      </c>
      <c r="E3369" s="134">
        <v>3649.31</v>
      </c>
      <c r="F3369" t="s">
        <v>2816</v>
      </c>
    </row>
    <row r="3370" spans="1:6" x14ac:dyDescent="0.2">
      <c r="A3370" t="s">
        <v>2966</v>
      </c>
      <c r="B3370" t="s">
        <v>2967</v>
      </c>
      <c r="C3370">
        <v>14107840</v>
      </c>
      <c r="D3370" t="s">
        <v>66</v>
      </c>
      <c r="E3370" s="134">
        <v>3649.31</v>
      </c>
      <c r="F3370" t="s">
        <v>2816</v>
      </c>
    </row>
    <row r="3371" spans="1:6" x14ac:dyDescent="0.2">
      <c r="A3371" t="s">
        <v>2966</v>
      </c>
      <c r="B3371" t="s">
        <v>2967</v>
      </c>
      <c r="C3371">
        <v>14107967</v>
      </c>
      <c r="D3371" t="s">
        <v>67</v>
      </c>
      <c r="E3371" s="134">
        <v>3649.31</v>
      </c>
      <c r="F3371" t="s">
        <v>2816</v>
      </c>
    </row>
    <row r="3372" spans="1:6" x14ac:dyDescent="0.2">
      <c r="A3372" t="s">
        <v>2966</v>
      </c>
      <c r="B3372" t="s">
        <v>2967</v>
      </c>
      <c r="C3372">
        <v>14107978</v>
      </c>
      <c r="D3372" t="s">
        <v>68</v>
      </c>
      <c r="E3372" s="134">
        <v>3649.31</v>
      </c>
      <c r="F3372" t="s">
        <v>2816</v>
      </c>
    </row>
    <row r="3373" spans="1:6" x14ac:dyDescent="0.2">
      <c r="A3373" t="s">
        <v>2966</v>
      </c>
      <c r="B3373" t="s">
        <v>2967</v>
      </c>
      <c r="C3373">
        <v>14108111</v>
      </c>
      <c r="D3373" t="s">
        <v>69</v>
      </c>
      <c r="E3373" s="134">
        <v>3649.31</v>
      </c>
      <c r="F3373" t="s">
        <v>2816</v>
      </c>
    </row>
    <row r="3374" spans="1:6" x14ac:dyDescent="0.2">
      <c r="A3374" t="s">
        <v>2966</v>
      </c>
      <c r="B3374" t="s">
        <v>2967</v>
      </c>
      <c r="C3374">
        <v>14108150</v>
      </c>
      <c r="D3374" t="s">
        <v>70</v>
      </c>
      <c r="E3374" s="134">
        <v>3649.31</v>
      </c>
      <c r="F3374" t="s">
        <v>2816</v>
      </c>
    </row>
    <row r="3375" spans="1:6" x14ac:dyDescent="0.2">
      <c r="A3375" t="s">
        <v>2966</v>
      </c>
      <c r="B3375" t="s">
        <v>2967</v>
      </c>
      <c r="C3375">
        <v>14108222</v>
      </c>
      <c r="D3375" t="s">
        <v>71</v>
      </c>
      <c r="E3375" s="134">
        <v>3649.31</v>
      </c>
      <c r="F3375" t="s">
        <v>2816</v>
      </c>
    </row>
    <row r="3376" spans="1:6" x14ac:dyDescent="0.2">
      <c r="A3376" t="s">
        <v>2966</v>
      </c>
      <c r="B3376" t="s">
        <v>2967</v>
      </c>
      <c r="C3376">
        <v>14108267</v>
      </c>
      <c r="D3376" t="s">
        <v>72</v>
      </c>
      <c r="E3376" s="134">
        <v>3649.31</v>
      </c>
      <c r="F3376" t="s">
        <v>2816</v>
      </c>
    </row>
    <row r="3377" spans="1:6" x14ac:dyDescent="0.2">
      <c r="A3377" t="s">
        <v>2966</v>
      </c>
      <c r="B3377" t="s">
        <v>2967</v>
      </c>
      <c r="C3377">
        <v>14108271</v>
      </c>
      <c r="D3377" t="s">
        <v>73</v>
      </c>
      <c r="E3377" s="134">
        <v>3649.31</v>
      </c>
      <c r="F3377" t="s">
        <v>2816</v>
      </c>
    </row>
    <row r="3378" spans="1:6" x14ac:dyDescent="0.2">
      <c r="A3378" t="s">
        <v>2966</v>
      </c>
      <c r="B3378" t="s">
        <v>2967</v>
      </c>
      <c r="C3378">
        <v>14108361</v>
      </c>
      <c r="D3378" t="s">
        <v>74</v>
      </c>
      <c r="E3378" s="134">
        <v>3649.31</v>
      </c>
      <c r="F3378" t="s">
        <v>2816</v>
      </c>
    </row>
    <row r="3379" spans="1:6" x14ac:dyDescent="0.2">
      <c r="A3379" t="s">
        <v>2966</v>
      </c>
      <c r="B3379" t="s">
        <v>2967</v>
      </c>
      <c r="C3379">
        <v>14108382</v>
      </c>
      <c r="D3379" t="s">
        <v>75</v>
      </c>
      <c r="E3379" s="134">
        <v>3649.31</v>
      </c>
      <c r="F3379" t="s">
        <v>2816</v>
      </c>
    </row>
    <row r="3380" spans="1:6" x14ac:dyDescent="0.2">
      <c r="A3380" t="s">
        <v>2966</v>
      </c>
      <c r="B3380" t="s">
        <v>2967</v>
      </c>
      <c r="C3380">
        <v>14108483</v>
      </c>
      <c r="D3380" t="s">
        <v>76</v>
      </c>
      <c r="E3380" s="134">
        <v>3649.31</v>
      </c>
      <c r="F3380" t="s">
        <v>2816</v>
      </c>
    </row>
    <row r="3381" spans="1:6" x14ac:dyDescent="0.2">
      <c r="A3381" t="s">
        <v>2966</v>
      </c>
      <c r="B3381" t="s">
        <v>2967</v>
      </c>
      <c r="C3381">
        <v>14108552</v>
      </c>
      <c r="D3381" t="s">
        <v>309</v>
      </c>
      <c r="E3381" s="134">
        <v>3649.31</v>
      </c>
      <c r="F3381" t="s">
        <v>2816</v>
      </c>
    </row>
    <row r="3382" spans="1:6" x14ac:dyDescent="0.2">
      <c r="A3382" t="s">
        <v>2966</v>
      </c>
      <c r="B3382" t="s">
        <v>2967</v>
      </c>
      <c r="C3382">
        <v>14108571</v>
      </c>
      <c r="D3382" t="s">
        <v>77</v>
      </c>
      <c r="E3382" s="134">
        <v>3649.31</v>
      </c>
      <c r="F3382" t="s">
        <v>2816</v>
      </c>
    </row>
    <row r="3383" spans="1:6" x14ac:dyDescent="0.2">
      <c r="A3383" t="s">
        <v>2966</v>
      </c>
      <c r="B3383" t="s">
        <v>2967</v>
      </c>
      <c r="C3383">
        <v>14108916</v>
      </c>
      <c r="D3383" t="s">
        <v>79</v>
      </c>
      <c r="E3383" s="134">
        <v>3649.31</v>
      </c>
      <c r="F3383" t="s">
        <v>2816</v>
      </c>
    </row>
    <row r="3384" spans="1:6" x14ac:dyDescent="0.2">
      <c r="A3384" t="s">
        <v>2966</v>
      </c>
      <c r="B3384" t="s">
        <v>2967</v>
      </c>
      <c r="C3384">
        <v>14109032</v>
      </c>
      <c r="D3384" t="s">
        <v>80</v>
      </c>
      <c r="E3384" s="134">
        <v>3649.31</v>
      </c>
      <c r="F3384" t="s">
        <v>2816</v>
      </c>
    </row>
    <row r="3385" spans="1:6" x14ac:dyDescent="0.2">
      <c r="A3385" t="s">
        <v>2966</v>
      </c>
      <c r="B3385" t="s">
        <v>2967</v>
      </c>
      <c r="C3385">
        <v>14109097</v>
      </c>
      <c r="D3385" t="s">
        <v>81</v>
      </c>
      <c r="E3385" s="134">
        <v>3649.31</v>
      </c>
      <c r="F3385" t="s">
        <v>2816</v>
      </c>
    </row>
    <row r="3386" spans="1:6" x14ac:dyDescent="0.2">
      <c r="A3386" t="s">
        <v>2966</v>
      </c>
      <c r="B3386" t="s">
        <v>2967</v>
      </c>
      <c r="C3386">
        <v>14109131</v>
      </c>
      <c r="D3386" t="s">
        <v>82</v>
      </c>
      <c r="E3386" s="134">
        <v>3649.31</v>
      </c>
      <c r="F3386" t="s">
        <v>2816</v>
      </c>
    </row>
    <row r="3387" spans="1:6" x14ac:dyDescent="0.2">
      <c r="A3387" t="s">
        <v>2966</v>
      </c>
      <c r="B3387" t="s">
        <v>2967</v>
      </c>
      <c r="C3387">
        <v>14109133</v>
      </c>
      <c r="D3387" t="s">
        <v>83</v>
      </c>
      <c r="E3387" s="134">
        <v>3649.31</v>
      </c>
      <c r="F3387" t="s">
        <v>2816</v>
      </c>
    </row>
    <row r="3388" spans="1:6" x14ac:dyDescent="0.2">
      <c r="A3388" t="s">
        <v>2966</v>
      </c>
      <c r="B3388" t="s">
        <v>2967</v>
      </c>
      <c r="C3388">
        <v>14109134</v>
      </c>
      <c r="D3388" t="s">
        <v>84</v>
      </c>
      <c r="E3388" s="134">
        <v>3649.31</v>
      </c>
      <c r="F3388" t="s">
        <v>2816</v>
      </c>
    </row>
    <row r="3389" spans="1:6" x14ac:dyDescent="0.2">
      <c r="A3389" t="s">
        <v>2966</v>
      </c>
      <c r="B3389" t="s">
        <v>2967</v>
      </c>
      <c r="C3389">
        <v>14109378</v>
      </c>
      <c r="D3389" t="s">
        <v>85</v>
      </c>
      <c r="E3389" s="134">
        <v>3649.31</v>
      </c>
      <c r="F3389" t="s">
        <v>2816</v>
      </c>
    </row>
    <row r="3390" spans="1:6" x14ac:dyDescent="0.2">
      <c r="A3390" t="s">
        <v>2966</v>
      </c>
      <c r="B3390" t="s">
        <v>2967</v>
      </c>
      <c r="C3390">
        <v>14109430</v>
      </c>
      <c r="D3390" t="s">
        <v>87</v>
      </c>
      <c r="E3390" s="134">
        <v>3649.31</v>
      </c>
      <c r="F3390" t="s">
        <v>2816</v>
      </c>
    </row>
    <row r="3391" spans="1:6" x14ac:dyDescent="0.2">
      <c r="A3391" t="s">
        <v>2966</v>
      </c>
      <c r="B3391" t="s">
        <v>2967</v>
      </c>
      <c r="C3391">
        <v>14109435</v>
      </c>
      <c r="D3391" t="s">
        <v>88</v>
      </c>
      <c r="E3391" s="134">
        <v>3649.31</v>
      </c>
      <c r="F3391" t="s">
        <v>2816</v>
      </c>
    </row>
    <row r="3392" spans="1:6" x14ac:dyDescent="0.2">
      <c r="A3392" t="s">
        <v>2966</v>
      </c>
      <c r="B3392" t="s">
        <v>2967</v>
      </c>
      <c r="C3392">
        <v>14109436</v>
      </c>
      <c r="D3392" t="s">
        <v>364</v>
      </c>
      <c r="E3392" s="134">
        <v>3649.31</v>
      </c>
      <c r="F3392" t="s">
        <v>2816</v>
      </c>
    </row>
    <row r="3393" spans="1:6" x14ac:dyDescent="0.2">
      <c r="A3393" t="s">
        <v>2966</v>
      </c>
      <c r="B3393" t="s">
        <v>2967</v>
      </c>
      <c r="C3393">
        <v>14109664</v>
      </c>
      <c r="D3393" t="s">
        <v>89</v>
      </c>
      <c r="E3393" s="134">
        <v>3649.31</v>
      </c>
      <c r="F3393" t="s">
        <v>2816</v>
      </c>
    </row>
    <row r="3394" spans="1:6" x14ac:dyDescent="0.2">
      <c r="A3394" t="s">
        <v>2966</v>
      </c>
      <c r="B3394" t="s">
        <v>2967</v>
      </c>
      <c r="C3394">
        <v>14109674</v>
      </c>
      <c r="D3394" t="s">
        <v>90</v>
      </c>
      <c r="E3394" s="134">
        <v>3649.31</v>
      </c>
      <c r="F3394" t="s">
        <v>2816</v>
      </c>
    </row>
    <row r="3395" spans="1:6" x14ac:dyDescent="0.2">
      <c r="A3395" t="s">
        <v>2966</v>
      </c>
      <c r="B3395" t="s">
        <v>2967</v>
      </c>
      <c r="C3395">
        <v>14109707</v>
      </c>
      <c r="D3395" t="s">
        <v>92</v>
      </c>
      <c r="E3395" s="134">
        <v>3649.31</v>
      </c>
      <c r="F3395" t="s">
        <v>2816</v>
      </c>
    </row>
    <row r="3396" spans="1:6" x14ac:dyDescent="0.2">
      <c r="A3396" t="s">
        <v>2966</v>
      </c>
      <c r="B3396" t="s">
        <v>2967</v>
      </c>
      <c r="C3396">
        <v>14109808</v>
      </c>
      <c r="D3396" t="s">
        <v>96</v>
      </c>
      <c r="E3396" s="134">
        <v>1563.99</v>
      </c>
      <c r="F3396" t="s">
        <v>2816</v>
      </c>
    </row>
    <row r="3397" spans="1:6" x14ac:dyDescent="0.2">
      <c r="A3397" t="s">
        <v>2966</v>
      </c>
      <c r="B3397" t="s">
        <v>2967</v>
      </c>
      <c r="C3397">
        <v>14109948</v>
      </c>
      <c r="D3397" t="s">
        <v>165</v>
      </c>
      <c r="E3397" s="134">
        <v>3649.31</v>
      </c>
      <c r="F3397" t="s">
        <v>2816</v>
      </c>
    </row>
    <row r="3398" spans="1:6" x14ac:dyDescent="0.2">
      <c r="A3398" t="s">
        <v>2966</v>
      </c>
      <c r="B3398" t="s">
        <v>2967</v>
      </c>
      <c r="C3398">
        <v>14110039</v>
      </c>
      <c r="D3398" t="s">
        <v>98</v>
      </c>
      <c r="E3398" s="134">
        <v>3649.31</v>
      </c>
      <c r="F3398" t="s">
        <v>2816</v>
      </c>
    </row>
    <row r="3399" spans="1:6" x14ac:dyDescent="0.2">
      <c r="A3399" t="s">
        <v>2966</v>
      </c>
      <c r="B3399" t="s">
        <v>2967</v>
      </c>
      <c r="C3399">
        <v>14110040</v>
      </c>
      <c r="D3399" t="s">
        <v>99</v>
      </c>
      <c r="E3399" s="134">
        <v>3649.31</v>
      </c>
      <c r="F3399" t="s">
        <v>2816</v>
      </c>
    </row>
    <row r="3400" spans="1:6" x14ac:dyDescent="0.2">
      <c r="A3400" t="s">
        <v>2966</v>
      </c>
      <c r="B3400" t="s">
        <v>2967</v>
      </c>
      <c r="C3400">
        <v>14110042</v>
      </c>
      <c r="D3400" t="s">
        <v>329</v>
      </c>
      <c r="E3400" s="134">
        <v>3649.31</v>
      </c>
      <c r="F3400" t="s">
        <v>2816</v>
      </c>
    </row>
    <row r="3401" spans="1:6" x14ac:dyDescent="0.2">
      <c r="A3401" t="s">
        <v>2966</v>
      </c>
      <c r="B3401" t="s">
        <v>2967</v>
      </c>
      <c r="C3401">
        <v>14110044</v>
      </c>
      <c r="D3401" t="s">
        <v>145</v>
      </c>
      <c r="E3401" s="134">
        <v>3649.31</v>
      </c>
      <c r="F3401" t="s">
        <v>2816</v>
      </c>
    </row>
    <row r="3402" spans="1:6" x14ac:dyDescent="0.2">
      <c r="A3402" t="s">
        <v>2966</v>
      </c>
      <c r="B3402" t="s">
        <v>2967</v>
      </c>
      <c r="C3402">
        <v>14110292</v>
      </c>
      <c r="D3402" t="s">
        <v>100</v>
      </c>
      <c r="E3402" s="134">
        <v>3649.31</v>
      </c>
      <c r="F3402" t="s">
        <v>2816</v>
      </c>
    </row>
    <row r="3403" spans="1:6" x14ac:dyDescent="0.2">
      <c r="A3403" t="s">
        <v>2966</v>
      </c>
      <c r="B3403" t="s">
        <v>2967</v>
      </c>
      <c r="C3403">
        <v>14110339</v>
      </c>
      <c r="D3403" t="s">
        <v>101</v>
      </c>
      <c r="E3403" s="134">
        <v>3649.31</v>
      </c>
      <c r="F3403" t="s">
        <v>2816</v>
      </c>
    </row>
    <row r="3404" spans="1:6" x14ac:dyDescent="0.2">
      <c r="A3404" t="s">
        <v>2966</v>
      </c>
      <c r="B3404" t="s">
        <v>2967</v>
      </c>
      <c r="C3404">
        <v>14110465</v>
      </c>
      <c r="D3404" t="s">
        <v>102</v>
      </c>
      <c r="E3404" s="134">
        <v>3649.31</v>
      </c>
      <c r="F3404" t="s">
        <v>2816</v>
      </c>
    </row>
    <row r="3405" spans="1:6" x14ac:dyDescent="0.2">
      <c r="A3405" t="s">
        <v>2966</v>
      </c>
      <c r="B3405" t="s">
        <v>2967</v>
      </c>
      <c r="C3405">
        <v>14110512</v>
      </c>
      <c r="D3405" t="s">
        <v>183</v>
      </c>
      <c r="E3405" s="134">
        <v>3649.31</v>
      </c>
      <c r="F3405" t="s">
        <v>2816</v>
      </c>
    </row>
    <row r="3406" spans="1:6" x14ac:dyDescent="0.2">
      <c r="A3406" t="s">
        <v>2966</v>
      </c>
      <c r="B3406" t="s">
        <v>2967</v>
      </c>
      <c r="C3406">
        <v>14110761</v>
      </c>
      <c r="D3406" t="s">
        <v>104</v>
      </c>
      <c r="E3406" s="134">
        <v>3649.31</v>
      </c>
      <c r="F3406" t="s">
        <v>2816</v>
      </c>
    </row>
    <row r="3407" spans="1:6" x14ac:dyDescent="0.2">
      <c r="A3407" t="s">
        <v>2966</v>
      </c>
      <c r="B3407" t="s">
        <v>2967</v>
      </c>
      <c r="C3407">
        <v>14110929</v>
      </c>
      <c r="D3407" t="s">
        <v>179</v>
      </c>
      <c r="E3407" s="134">
        <v>3649.31</v>
      </c>
      <c r="F3407" t="s">
        <v>2816</v>
      </c>
    </row>
    <row r="3408" spans="1:6" x14ac:dyDescent="0.2">
      <c r="A3408" t="s">
        <v>2966</v>
      </c>
      <c r="B3408" t="s">
        <v>2967</v>
      </c>
      <c r="C3408">
        <v>14110973</v>
      </c>
      <c r="D3408" t="s">
        <v>106</v>
      </c>
      <c r="E3408" s="134">
        <v>3649.31</v>
      </c>
      <c r="F3408" t="s">
        <v>2816</v>
      </c>
    </row>
    <row r="3409" spans="1:6" x14ac:dyDescent="0.2">
      <c r="A3409" t="s">
        <v>2966</v>
      </c>
      <c r="B3409" t="s">
        <v>2967</v>
      </c>
      <c r="C3409">
        <v>14110978</v>
      </c>
      <c r="D3409" t="s">
        <v>108</v>
      </c>
      <c r="E3409" s="134">
        <v>3649.31</v>
      </c>
      <c r="F3409" t="s">
        <v>2816</v>
      </c>
    </row>
    <row r="3410" spans="1:6" x14ac:dyDescent="0.2">
      <c r="A3410" t="s">
        <v>2966</v>
      </c>
      <c r="B3410" t="s">
        <v>2967</v>
      </c>
      <c r="C3410">
        <v>14111143</v>
      </c>
      <c r="D3410" t="s">
        <v>109</v>
      </c>
      <c r="E3410" s="134">
        <v>3649.31</v>
      </c>
      <c r="F3410" t="s">
        <v>2816</v>
      </c>
    </row>
    <row r="3411" spans="1:6" x14ac:dyDescent="0.2">
      <c r="A3411" t="s">
        <v>2966</v>
      </c>
      <c r="B3411" t="s">
        <v>2967</v>
      </c>
      <c r="C3411">
        <v>14111266</v>
      </c>
      <c r="D3411" t="s">
        <v>110</v>
      </c>
      <c r="E3411" s="134">
        <v>3649.31</v>
      </c>
      <c r="F3411" t="s">
        <v>2816</v>
      </c>
    </row>
    <row r="3412" spans="1:6" x14ac:dyDescent="0.2">
      <c r="A3412" t="s">
        <v>2966</v>
      </c>
      <c r="B3412" t="s">
        <v>2967</v>
      </c>
      <c r="C3412">
        <v>14111557</v>
      </c>
      <c r="D3412" t="s">
        <v>111</v>
      </c>
      <c r="E3412" s="134">
        <v>3649.31</v>
      </c>
      <c r="F3412" t="s">
        <v>2816</v>
      </c>
    </row>
    <row r="3413" spans="1:6" x14ac:dyDescent="0.2">
      <c r="A3413" t="s">
        <v>2966</v>
      </c>
      <c r="B3413" t="s">
        <v>2967</v>
      </c>
      <c r="C3413">
        <v>14111754</v>
      </c>
      <c r="D3413" t="s">
        <v>311</v>
      </c>
      <c r="E3413" s="134">
        <v>3649.31</v>
      </c>
      <c r="F3413" t="s">
        <v>2816</v>
      </c>
    </row>
    <row r="3414" spans="1:6" x14ac:dyDescent="0.2">
      <c r="A3414" t="s">
        <v>2966</v>
      </c>
      <c r="B3414" t="s">
        <v>2967</v>
      </c>
      <c r="C3414">
        <v>14112026</v>
      </c>
      <c r="D3414" t="s">
        <v>113</v>
      </c>
      <c r="E3414" s="134">
        <v>3649.31</v>
      </c>
      <c r="F3414" t="s">
        <v>2816</v>
      </c>
    </row>
    <row r="3415" spans="1:6" x14ac:dyDescent="0.2">
      <c r="A3415" t="s">
        <v>2966</v>
      </c>
      <c r="B3415" t="s">
        <v>2967</v>
      </c>
      <c r="C3415">
        <v>14112174</v>
      </c>
      <c r="D3415" t="s">
        <v>114</v>
      </c>
      <c r="E3415" s="134">
        <v>3649.31</v>
      </c>
      <c r="F3415" t="s">
        <v>2816</v>
      </c>
    </row>
    <row r="3416" spans="1:6" x14ac:dyDescent="0.2">
      <c r="A3416" t="s">
        <v>2966</v>
      </c>
      <c r="B3416" t="s">
        <v>2967</v>
      </c>
      <c r="C3416">
        <v>14112292</v>
      </c>
      <c r="D3416" t="s">
        <v>190</v>
      </c>
      <c r="E3416" s="134">
        <v>3649.31</v>
      </c>
      <c r="F3416" t="s">
        <v>2816</v>
      </c>
    </row>
    <row r="3417" spans="1:6" x14ac:dyDescent="0.2">
      <c r="A3417" t="s">
        <v>2966</v>
      </c>
      <c r="B3417" t="s">
        <v>2967</v>
      </c>
      <c r="C3417">
        <v>14112449</v>
      </c>
      <c r="D3417" t="s">
        <v>192</v>
      </c>
      <c r="E3417" s="134">
        <v>3649.31</v>
      </c>
      <c r="F3417" t="s">
        <v>2816</v>
      </c>
    </row>
    <row r="3418" spans="1:6" x14ac:dyDescent="0.2">
      <c r="A3418" t="s">
        <v>2966</v>
      </c>
      <c r="B3418" t="s">
        <v>2967</v>
      </c>
      <c r="C3418">
        <v>14112591</v>
      </c>
      <c r="D3418" t="s">
        <v>115</v>
      </c>
      <c r="E3418" s="134">
        <v>3649.31</v>
      </c>
      <c r="F3418" t="s">
        <v>2816</v>
      </c>
    </row>
    <row r="3419" spans="1:6" x14ac:dyDescent="0.2">
      <c r="A3419" t="s">
        <v>2966</v>
      </c>
      <c r="B3419" t="s">
        <v>2967</v>
      </c>
      <c r="C3419">
        <v>14112595</v>
      </c>
      <c r="D3419" t="s">
        <v>365</v>
      </c>
      <c r="E3419" s="134">
        <v>3649.31</v>
      </c>
      <c r="F3419" t="s">
        <v>2816</v>
      </c>
    </row>
    <row r="3420" spans="1:6" x14ac:dyDescent="0.2">
      <c r="A3420" t="s">
        <v>2966</v>
      </c>
      <c r="B3420" t="s">
        <v>2967</v>
      </c>
      <c r="C3420">
        <v>14112597</v>
      </c>
      <c r="D3420" t="s">
        <v>117</v>
      </c>
      <c r="E3420" s="134">
        <v>3649.31</v>
      </c>
      <c r="F3420" t="s">
        <v>2816</v>
      </c>
    </row>
    <row r="3421" spans="1:6" x14ac:dyDescent="0.2">
      <c r="A3421" t="s">
        <v>2966</v>
      </c>
      <c r="B3421" t="s">
        <v>2967</v>
      </c>
      <c r="C3421">
        <v>14112602</v>
      </c>
      <c r="D3421" t="s">
        <v>118</v>
      </c>
      <c r="E3421" s="134">
        <v>3649.31</v>
      </c>
      <c r="F3421" t="s">
        <v>2816</v>
      </c>
    </row>
    <row r="3422" spans="1:6" x14ac:dyDescent="0.2">
      <c r="A3422" t="s">
        <v>2966</v>
      </c>
      <c r="B3422" t="s">
        <v>2967</v>
      </c>
      <c r="C3422">
        <v>14112603</v>
      </c>
      <c r="D3422" t="s">
        <v>119</v>
      </c>
      <c r="E3422" s="134">
        <v>3649.31</v>
      </c>
      <c r="F3422" t="s">
        <v>2816</v>
      </c>
    </row>
    <row r="3423" spans="1:6" x14ac:dyDescent="0.2">
      <c r="A3423" t="s">
        <v>2966</v>
      </c>
      <c r="B3423" t="s">
        <v>2967</v>
      </c>
      <c r="C3423">
        <v>14112605</v>
      </c>
      <c r="D3423" t="s">
        <v>120</v>
      </c>
      <c r="E3423" s="134">
        <v>3649.31</v>
      </c>
      <c r="F3423" t="s">
        <v>2816</v>
      </c>
    </row>
    <row r="3424" spans="1:6" x14ac:dyDescent="0.2">
      <c r="A3424" t="s">
        <v>2966</v>
      </c>
      <c r="B3424" t="s">
        <v>2967</v>
      </c>
      <c r="C3424">
        <v>14112630</v>
      </c>
      <c r="D3424" t="s">
        <v>121</v>
      </c>
      <c r="E3424" s="134">
        <v>3649.31</v>
      </c>
      <c r="F3424" t="s">
        <v>2816</v>
      </c>
    </row>
    <row r="3425" spans="1:6" x14ac:dyDescent="0.2">
      <c r="A3425" t="s">
        <v>2966</v>
      </c>
      <c r="B3425" t="s">
        <v>2967</v>
      </c>
      <c r="C3425">
        <v>14112757</v>
      </c>
      <c r="D3425" t="s">
        <v>348</v>
      </c>
      <c r="E3425" s="134">
        <v>3649.31</v>
      </c>
      <c r="F3425" t="s">
        <v>2816</v>
      </c>
    </row>
    <row r="3426" spans="1:6" x14ac:dyDescent="0.2">
      <c r="A3426" t="s">
        <v>2966</v>
      </c>
      <c r="B3426" t="s">
        <v>2967</v>
      </c>
      <c r="C3426">
        <v>14113054</v>
      </c>
      <c r="D3426" t="s">
        <v>122</v>
      </c>
      <c r="E3426" s="134">
        <v>3649.31</v>
      </c>
      <c r="F3426" t="s">
        <v>2816</v>
      </c>
    </row>
    <row r="3427" spans="1:6" x14ac:dyDescent="0.2">
      <c r="A3427" t="s">
        <v>2966</v>
      </c>
      <c r="B3427" t="s">
        <v>2967</v>
      </c>
      <c r="C3427">
        <v>14113140</v>
      </c>
      <c r="D3427" t="s">
        <v>123</v>
      </c>
      <c r="E3427" s="134">
        <v>3649.31</v>
      </c>
      <c r="F3427" t="s">
        <v>2816</v>
      </c>
    </row>
    <row r="3428" spans="1:6" x14ac:dyDescent="0.2">
      <c r="A3428" t="s">
        <v>2966</v>
      </c>
      <c r="B3428" t="s">
        <v>2967</v>
      </c>
      <c r="C3428">
        <v>14113200</v>
      </c>
      <c r="D3428" t="s">
        <v>125</v>
      </c>
      <c r="E3428" s="134">
        <v>3649.31</v>
      </c>
      <c r="F3428" t="s">
        <v>2816</v>
      </c>
    </row>
    <row r="3429" spans="1:6" x14ac:dyDescent="0.2">
      <c r="A3429" t="s">
        <v>2966</v>
      </c>
      <c r="B3429" t="s">
        <v>2967</v>
      </c>
      <c r="C3429">
        <v>14113311</v>
      </c>
      <c r="D3429" t="s">
        <v>126</v>
      </c>
      <c r="E3429" s="134">
        <v>3649.31</v>
      </c>
      <c r="F3429" t="s">
        <v>2816</v>
      </c>
    </row>
    <row r="3430" spans="1:6" x14ac:dyDescent="0.2">
      <c r="A3430" t="s">
        <v>2966</v>
      </c>
      <c r="B3430" t="s">
        <v>2967</v>
      </c>
      <c r="C3430">
        <v>14113320</v>
      </c>
      <c r="D3430" t="s">
        <v>127</v>
      </c>
      <c r="E3430" s="134">
        <v>3649.31</v>
      </c>
      <c r="F3430" t="s">
        <v>2816</v>
      </c>
    </row>
    <row r="3431" spans="1:6" x14ac:dyDescent="0.2">
      <c r="A3431" t="s">
        <v>2966</v>
      </c>
      <c r="B3431" t="s">
        <v>2967</v>
      </c>
      <c r="C3431">
        <v>14113349</v>
      </c>
      <c r="D3431" t="s">
        <v>128</v>
      </c>
      <c r="E3431" s="134">
        <v>3649.31</v>
      </c>
      <c r="F3431" t="s">
        <v>2816</v>
      </c>
    </row>
    <row r="3432" spans="1:6" x14ac:dyDescent="0.2">
      <c r="A3432" t="s">
        <v>2966</v>
      </c>
      <c r="B3432" t="s">
        <v>2967</v>
      </c>
      <c r="C3432">
        <v>14113562</v>
      </c>
      <c r="D3432" t="s">
        <v>393</v>
      </c>
      <c r="E3432" s="134">
        <v>3649.31</v>
      </c>
      <c r="F3432" t="s">
        <v>2816</v>
      </c>
    </row>
    <row r="3433" spans="1:6" x14ac:dyDescent="0.2">
      <c r="A3433" t="s">
        <v>2966</v>
      </c>
      <c r="B3433" t="s">
        <v>2967</v>
      </c>
      <c r="C3433">
        <v>14113619</v>
      </c>
      <c r="D3433" t="s">
        <v>130</v>
      </c>
      <c r="E3433" s="134">
        <v>3649.31</v>
      </c>
      <c r="F3433" t="s">
        <v>2816</v>
      </c>
    </row>
    <row r="3434" spans="1:6" x14ac:dyDescent="0.2">
      <c r="A3434" t="s">
        <v>2966</v>
      </c>
      <c r="B3434" t="s">
        <v>2967</v>
      </c>
      <c r="C3434">
        <v>14113837</v>
      </c>
      <c r="D3434" t="s">
        <v>131</v>
      </c>
      <c r="E3434" s="134">
        <v>1563.99</v>
      </c>
      <c r="F3434" t="s">
        <v>2816</v>
      </c>
    </row>
    <row r="3435" spans="1:6" x14ac:dyDescent="0.2">
      <c r="A3435" t="s">
        <v>2966</v>
      </c>
      <c r="B3435" t="s">
        <v>2967</v>
      </c>
      <c r="C3435">
        <v>14114030</v>
      </c>
      <c r="D3435" t="s">
        <v>132</v>
      </c>
      <c r="E3435" s="134">
        <v>3649.31</v>
      </c>
      <c r="F3435" t="s">
        <v>2816</v>
      </c>
    </row>
    <row r="3436" spans="1:6" x14ac:dyDescent="0.2">
      <c r="A3436" t="s">
        <v>2966</v>
      </c>
      <c r="B3436" t="s">
        <v>2967</v>
      </c>
      <c r="C3436">
        <v>14114037</v>
      </c>
      <c r="D3436" t="s">
        <v>180</v>
      </c>
      <c r="E3436" s="134">
        <v>3649.31</v>
      </c>
      <c r="F3436" t="s">
        <v>2816</v>
      </c>
    </row>
    <row r="3437" spans="1:6" x14ac:dyDescent="0.2">
      <c r="A3437" t="s">
        <v>2966</v>
      </c>
      <c r="B3437" t="s">
        <v>2967</v>
      </c>
      <c r="C3437">
        <v>14114062</v>
      </c>
      <c r="D3437" t="s">
        <v>133</v>
      </c>
      <c r="E3437" s="134">
        <v>3649.31</v>
      </c>
      <c r="F3437" t="s">
        <v>2816</v>
      </c>
    </row>
    <row r="3438" spans="1:6" x14ac:dyDescent="0.2">
      <c r="A3438" t="s">
        <v>2966</v>
      </c>
      <c r="B3438" t="s">
        <v>2967</v>
      </c>
      <c r="C3438">
        <v>14114324</v>
      </c>
      <c r="D3438" t="s">
        <v>341</v>
      </c>
      <c r="E3438" s="134">
        <v>3649.31</v>
      </c>
      <c r="F3438" t="s">
        <v>2816</v>
      </c>
    </row>
    <row r="3439" spans="1:6" x14ac:dyDescent="0.2">
      <c r="A3439" t="s">
        <v>2966</v>
      </c>
      <c r="B3439" t="s">
        <v>2967</v>
      </c>
      <c r="C3439">
        <v>14114330</v>
      </c>
      <c r="D3439" t="s">
        <v>134</v>
      </c>
      <c r="E3439" s="134">
        <v>3649.31</v>
      </c>
      <c r="F3439" t="s">
        <v>2816</v>
      </c>
    </row>
    <row r="3440" spans="1:6" x14ac:dyDescent="0.2">
      <c r="A3440" t="s">
        <v>2966</v>
      </c>
      <c r="B3440" t="s">
        <v>2967</v>
      </c>
      <c r="C3440">
        <v>14114431</v>
      </c>
      <c r="D3440" t="s">
        <v>135</v>
      </c>
      <c r="E3440" s="134">
        <v>3649.31</v>
      </c>
      <c r="F3440" t="s">
        <v>2816</v>
      </c>
    </row>
    <row r="3441" spans="1:6" x14ac:dyDescent="0.2">
      <c r="A3441" t="s">
        <v>2966</v>
      </c>
      <c r="B3441" t="s">
        <v>2967</v>
      </c>
      <c r="C3441">
        <v>14114665</v>
      </c>
      <c r="D3441" t="s">
        <v>136</v>
      </c>
      <c r="E3441" s="134">
        <v>3649.31</v>
      </c>
      <c r="F3441" t="s">
        <v>2816</v>
      </c>
    </row>
    <row r="3442" spans="1:6" x14ac:dyDescent="0.2">
      <c r="A3442" t="s">
        <v>2966</v>
      </c>
      <c r="B3442" t="s">
        <v>2967</v>
      </c>
      <c r="C3442">
        <v>14114667</v>
      </c>
      <c r="D3442" t="s">
        <v>137</v>
      </c>
      <c r="E3442" s="134">
        <v>3649.31</v>
      </c>
      <c r="F3442" t="s">
        <v>2816</v>
      </c>
    </row>
    <row r="3443" spans="1:6" x14ac:dyDescent="0.2">
      <c r="A3443" t="s">
        <v>2966</v>
      </c>
      <c r="B3443" t="s">
        <v>2967</v>
      </c>
      <c r="C3443">
        <v>14114709</v>
      </c>
      <c r="D3443" t="s">
        <v>138</v>
      </c>
      <c r="E3443" s="134">
        <v>3649.31</v>
      </c>
      <c r="F3443" t="s">
        <v>2816</v>
      </c>
    </row>
    <row r="3444" spans="1:6" x14ac:dyDescent="0.2">
      <c r="A3444" t="s">
        <v>2966</v>
      </c>
      <c r="B3444" t="s">
        <v>2967</v>
      </c>
      <c r="C3444">
        <v>14115136</v>
      </c>
      <c r="D3444" t="s">
        <v>140</v>
      </c>
      <c r="E3444" s="134">
        <v>3649.31</v>
      </c>
      <c r="F3444" t="s">
        <v>2816</v>
      </c>
    </row>
    <row r="3445" spans="1:6" x14ac:dyDescent="0.2">
      <c r="A3445" t="s">
        <v>2966</v>
      </c>
      <c r="B3445" t="s">
        <v>2967</v>
      </c>
      <c r="C3445">
        <v>14115536</v>
      </c>
      <c r="D3445" t="s">
        <v>144</v>
      </c>
      <c r="E3445" s="134">
        <v>3649.31</v>
      </c>
      <c r="F3445" t="s">
        <v>2816</v>
      </c>
    </row>
    <row r="3446" spans="1:6" x14ac:dyDescent="0.2">
      <c r="A3446" t="s">
        <v>2966</v>
      </c>
      <c r="B3446" t="s">
        <v>2967</v>
      </c>
      <c r="C3446">
        <v>14115630</v>
      </c>
      <c r="D3446" t="s">
        <v>146</v>
      </c>
      <c r="E3446" s="134">
        <v>3649.31</v>
      </c>
      <c r="F3446" t="s">
        <v>2816</v>
      </c>
    </row>
    <row r="3447" spans="1:6" x14ac:dyDescent="0.2">
      <c r="A3447" t="s">
        <v>2966</v>
      </c>
      <c r="B3447" t="s">
        <v>2967</v>
      </c>
      <c r="C3447">
        <v>14115830</v>
      </c>
      <c r="D3447" t="s">
        <v>149</v>
      </c>
      <c r="E3447" s="134">
        <v>3649.31</v>
      </c>
      <c r="F3447" t="s">
        <v>2816</v>
      </c>
    </row>
    <row r="3448" spans="1:6" x14ac:dyDescent="0.2">
      <c r="A3448" t="s">
        <v>2966</v>
      </c>
      <c r="B3448" t="s">
        <v>2967</v>
      </c>
      <c r="C3448">
        <v>14115908</v>
      </c>
      <c r="D3448" t="s">
        <v>150</v>
      </c>
      <c r="E3448" s="134">
        <v>3649.31</v>
      </c>
      <c r="F3448" t="s">
        <v>2816</v>
      </c>
    </row>
    <row r="3449" spans="1:6" x14ac:dyDescent="0.2">
      <c r="A3449" t="s">
        <v>2966</v>
      </c>
      <c r="B3449" t="s">
        <v>2967</v>
      </c>
      <c r="C3449">
        <v>14115909</v>
      </c>
      <c r="D3449" t="s">
        <v>335</v>
      </c>
      <c r="E3449" s="134">
        <v>3649.31</v>
      </c>
      <c r="F3449" t="s">
        <v>2816</v>
      </c>
    </row>
    <row r="3450" spans="1:6" x14ac:dyDescent="0.2">
      <c r="A3450" t="s">
        <v>2966</v>
      </c>
      <c r="B3450" t="s">
        <v>2967</v>
      </c>
      <c r="C3450">
        <v>14115917</v>
      </c>
      <c r="D3450" t="s">
        <v>151</v>
      </c>
      <c r="E3450" s="134">
        <v>3649.31</v>
      </c>
      <c r="F3450" t="s">
        <v>2816</v>
      </c>
    </row>
    <row r="3451" spans="1:6" x14ac:dyDescent="0.2">
      <c r="A3451" t="s">
        <v>2966</v>
      </c>
      <c r="B3451" t="s">
        <v>2967</v>
      </c>
      <c r="C3451">
        <v>14116000</v>
      </c>
      <c r="D3451" t="s">
        <v>152</v>
      </c>
      <c r="E3451" s="134">
        <v>3649.31</v>
      </c>
      <c r="F3451" t="s">
        <v>2816</v>
      </c>
    </row>
    <row r="3452" spans="1:6" x14ac:dyDescent="0.2">
      <c r="A3452" t="s">
        <v>2966</v>
      </c>
      <c r="B3452" t="s">
        <v>2967</v>
      </c>
      <c r="C3452">
        <v>14116046</v>
      </c>
      <c r="D3452" t="s">
        <v>153</v>
      </c>
      <c r="E3452" s="134">
        <v>3649.31</v>
      </c>
      <c r="F3452" t="s">
        <v>2816</v>
      </c>
    </row>
    <row r="3453" spans="1:6" x14ac:dyDescent="0.2">
      <c r="A3453" t="s">
        <v>2966</v>
      </c>
      <c r="B3453" t="s">
        <v>2967</v>
      </c>
      <c r="C3453">
        <v>14116058</v>
      </c>
      <c r="D3453" t="s">
        <v>154</v>
      </c>
      <c r="E3453" s="134">
        <v>3649.31</v>
      </c>
      <c r="F3453" t="s">
        <v>2816</v>
      </c>
    </row>
    <row r="3454" spans="1:6" x14ac:dyDescent="0.2">
      <c r="A3454" t="s">
        <v>2966</v>
      </c>
      <c r="B3454" t="s">
        <v>2967</v>
      </c>
      <c r="C3454">
        <v>14116295</v>
      </c>
      <c r="D3454" t="s">
        <v>158</v>
      </c>
      <c r="E3454" s="134">
        <v>3649.31</v>
      </c>
      <c r="F3454" t="s">
        <v>2816</v>
      </c>
    </row>
    <row r="3455" spans="1:6" x14ac:dyDescent="0.2">
      <c r="A3455" t="s">
        <v>2966</v>
      </c>
      <c r="B3455" t="s">
        <v>2967</v>
      </c>
      <c r="C3455">
        <v>14116373</v>
      </c>
      <c r="D3455" t="s">
        <v>161</v>
      </c>
      <c r="E3455" s="134">
        <v>3649.31</v>
      </c>
      <c r="F3455" t="s">
        <v>2816</v>
      </c>
    </row>
    <row r="3456" spans="1:6" x14ac:dyDescent="0.2">
      <c r="A3456" t="s">
        <v>2966</v>
      </c>
      <c r="B3456" t="s">
        <v>2967</v>
      </c>
      <c r="C3456">
        <v>14116431</v>
      </c>
      <c r="D3456" t="s">
        <v>162</v>
      </c>
      <c r="E3456" s="134">
        <v>3649.31</v>
      </c>
      <c r="F3456" t="s">
        <v>2816</v>
      </c>
    </row>
    <row r="3457" spans="1:6" x14ac:dyDescent="0.2">
      <c r="A3457" t="s">
        <v>2966</v>
      </c>
      <c r="B3457" t="s">
        <v>2967</v>
      </c>
      <c r="C3457">
        <v>14116433</v>
      </c>
      <c r="D3457" t="s">
        <v>163</v>
      </c>
      <c r="E3457" s="134">
        <v>3649.31</v>
      </c>
      <c r="F3457" t="s">
        <v>2816</v>
      </c>
    </row>
    <row r="3458" spans="1:6" x14ac:dyDescent="0.2">
      <c r="A3458" t="s">
        <v>2966</v>
      </c>
      <c r="B3458" t="s">
        <v>2967</v>
      </c>
      <c r="C3458">
        <v>14116504</v>
      </c>
      <c r="D3458" t="s">
        <v>164</v>
      </c>
      <c r="E3458" s="134">
        <v>3649.31</v>
      </c>
      <c r="F3458" t="s">
        <v>2816</v>
      </c>
    </row>
    <row r="3459" spans="1:6" x14ac:dyDescent="0.2">
      <c r="A3459" t="s">
        <v>2966</v>
      </c>
      <c r="B3459" t="s">
        <v>2967</v>
      </c>
      <c r="C3459">
        <v>14116564</v>
      </c>
      <c r="D3459" t="s">
        <v>166</v>
      </c>
      <c r="E3459" s="134">
        <v>3649.31</v>
      </c>
      <c r="F3459" t="s">
        <v>2816</v>
      </c>
    </row>
    <row r="3460" spans="1:6" x14ac:dyDescent="0.2">
      <c r="A3460" t="s">
        <v>2966</v>
      </c>
      <c r="B3460" t="s">
        <v>2967</v>
      </c>
      <c r="C3460">
        <v>14116600</v>
      </c>
      <c r="D3460" t="s">
        <v>167</v>
      </c>
      <c r="E3460" s="134">
        <v>3649.31</v>
      </c>
      <c r="F3460" t="s">
        <v>2816</v>
      </c>
    </row>
    <row r="3461" spans="1:6" x14ac:dyDescent="0.2">
      <c r="A3461" t="s">
        <v>2966</v>
      </c>
      <c r="B3461" t="s">
        <v>2967</v>
      </c>
      <c r="C3461">
        <v>14116723</v>
      </c>
      <c r="D3461" t="s">
        <v>168</v>
      </c>
      <c r="E3461" s="134">
        <v>3649.31</v>
      </c>
      <c r="F3461" t="s">
        <v>2816</v>
      </c>
    </row>
    <row r="3462" spans="1:6" x14ac:dyDescent="0.2">
      <c r="A3462" t="s">
        <v>2966</v>
      </c>
      <c r="B3462" t="s">
        <v>2967</v>
      </c>
      <c r="C3462">
        <v>14116917</v>
      </c>
      <c r="D3462" t="s">
        <v>171</v>
      </c>
      <c r="E3462" s="134">
        <v>3649.31</v>
      </c>
      <c r="F3462" t="s">
        <v>2816</v>
      </c>
    </row>
    <row r="3463" spans="1:6" x14ac:dyDescent="0.2">
      <c r="A3463" t="s">
        <v>2966</v>
      </c>
      <c r="B3463" t="s">
        <v>2967</v>
      </c>
      <c r="C3463">
        <v>14116929</v>
      </c>
      <c r="D3463" t="s">
        <v>366</v>
      </c>
      <c r="E3463" s="134">
        <v>3649.31</v>
      </c>
      <c r="F3463" t="s">
        <v>2816</v>
      </c>
    </row>
    <row r="3464" spans="1:6" x14ac:dyDescent="0.2">
      <c r="A3464" t="s">
        <v>2966</v>
      </c>
      <c r="B3464" t="s">
        <v>2967</v>
      </c>
      <c r="C3464">
        <v>14117160</v>
      </c>
      <c r="D3464" t="s">
        <v>173</v>
      </c>
      <c r="E3464" s="134">
        <v>3649.31</v>
      </c>
      <c r="F3464" t="s">
        <v>2816</v>
      </c>
    </row>
    <row r="3465" spans="1:6" x14ac:dyDescent="0.2">
      <c r="A3465" t="s">
        <v>2966</v>
      </c>
      <c r="B3465" t="s">
        <v>2967</v>
      </c>
      <c r="C3465">
        <v>14117297</v>
      </c>
      <c r="D3465" t="s">
        <v>174</v>
      </c>
      <c r="E3465" s="134">
        <v>3649.31</v>
      </c>
      <c r="F3465" t="s">
        <v>2816</v>
      </c>
    </row>
    <row r="3466" spans="1:6" x14ac:dyDescent="0.2">
      <c r="A3466" t="s">
        <v>2966</v>
      </c>
      <c r="B3466" t="s">
        <v>2967</v>
      </c>
      <c r="C3466">
        <v>14117400</v>
      </c>
      <c r="D3466" t="s">
        <v>175</v>
      </c>
      <c r="E3466" s="134">
        <v>3649.31</v>
      </c>
      <c r="F3466" t="s">
        <v>2816</v>
      </c>
    </row>
    <row r="3467" spans="1:6" x14ac:dyDescent="0.2">
      <c r="A3467" t="s">
        <v>2966</v>
      </c>
      <c r="B3467" t="s">
        <v>2967</v>
      </c>
      <c r="C3467">
        <v>14117542</v>
      </c>
      <c r="D3467" t="s">
        <v>176</v>
      </c>
      <c r="E3467" s="134">
        <v>3649.31</v>
      </c>
      <c r="F3467" t="s">
        <v>2816</v>
      </c>
    </row>
    <row r="3468" spans="1:6" x14ac:dyDescent="0.2">
      <c r="A3468" t="s">
        <v>2966</v>
      </c>
      <c r="B3468" t="s">
        <v>2967</v>
      </c>
      <c r="C3468">
        <v>14117905</v>
      </c>
      <c r="D3468" t="s">
        <v>398</v>
      </c>
      <c r="E3468" s="134">
        <v>3649.31</v>
      </c>
      <c r="F3468" t="s">
        <v>2816</v>
      </c>
    </row>
    <row r="3469" spans="1:6" x14ac:dyDescent="0.2">
      <c r="A3469" t="s">
        <v>2966</v>
      </c>
      <c r="B3469" t="s">
        <v>2967</v>
      </c>
      <c r="C3469">
        <v>14117967</v>
      </c>
      <c r="D3469" t="s">
        <v>182</v>
      </c>
      <c r="E3469" s="134">
        <v>3649.31</v>
      </c>
      <c r="F3469" t="s">
        <v>2816</v>
      </c>
    </row>
    <row r="3470" spans="1:6" x14ac:dyDescent="0.2">
      <c r="A3470" t="s">
        <v>2966</v>
      </c>
      <c r="B3470" t="s">
        <v>2967</v>
      </c>
      <c r="C3470">
        <v>14117986</v>
      </c>
      <c r="D3470" t="s">
        <v>184</v>
      </c>
      <c r="E3470" s="134">
        <v>3649.31</v>
      </c>
      <c r="F3470" t="s">
        <v>2816</v>
      </c>
    </row>
    <row r="3471" spans="1:6" x14ac:dyDescent="0.2">
      <c r="A3471" t="s">
        <v>2966</v>
      </c>
      <c r="B3471" t="s">
        <v>2967</v>
      </c>
      <c r="C3471">
        <v>14118186</v>
      </c>
      <c r="D3471" t="s">
        <v>187</v>
      </c>
      <c r="E3471" s="134">
        <v>3649.31</v>
      </c>
      <c r="F3471" t="s">
        <v>2816</v>
      </c>
    </row>
    <row r="3472" spans="1:6" x14ac:dyDescent="0.2">
      <c r="A3472" t="s">
        <v>2966</v>
      </c>
      <c r="B3472" t="s">
        <v>2967</v>
      </c>
      <c r="C3472">
        <v>14118196</v>
      </c>
      <c r="D3472" t="s">
        <v>188</v>
      </c>
      <c r="E3472" s="134">
        <v>3649.31</v>
      </c>
      <c r="F3472" t="s">
        <v>2816</v>
      </c>
    </row>
    <row r="3473" spans="1:6" x14ac:dyDescent="0.2">
      <c r="A3473" t="s">
        <v>2966</v>
      </c>
      <c r="B3473" t="s">
        <v>2967</v>
      </c>
      <c r="C3473">
        <v>14118210</v>
      </c>
      <c r="D3473" t="s">
        <v>189</v>
      </c>
      <c r="E3473" s="134">
        <v>3649.31</v>
      </c>
      <c r="F3473" t="s">
        <v>2816</v>
      </c>
    </row>
    <row r="3474" spans="1:6" x14ac:dyDescent="0.2">
      <c r="A3474" t="s">
        <v>2966</v>
      </c>
      <c r="B3474" t="s">
        <v>2967</v>
      </c>
      <c r="C3474">
        <v>14118397</v>
      </c>
      <c r="D3474" t="s">
        <v>196</v>
      </c>
      <c r="E3474" s="134">
        <v>3649.31</v>
      </c>
      <c r="F3474" t="s">
        <v>2816</v>
      </c>
    </row>
    <row r="3475" spans="1:6" x14ac:dyDescent="0.2">
      <c r="A3475" t="s">
        <v>2966</v>
      </c>
      <c r="B3475" t="s">
        <v>2967</v>
      </c>
      <c r="C3475">
        <v>14118440</v>
      </c>
      <c r="D3475" t="s">
        <v>197</v>
      </c>
      <c r="E3475" s="134">
        <v>3649.31</v>
      </c>
      <c r="F3475" t="s">
        <v>2816</v>
      </c>
    </row>
    <row r="3476" spans="1:6" x14ac:dyDescent="0.2">
      <c r="A3476" t="s">
        <v>2966</v>
      </c>
      <c r="B3476" t="s">
        <v>2967</v>
      </c>
      <c r="C3476">
        <v>14118499</v>
      </c>
      <c r="D3476" t="s">
        <v>198</v>
      </c>
      <c r="E3476" s="134">
        <v>3649.31</v>
      </c>
      <c r="F3476" t="s">
        <v>2816</v>
      </c>
    </row>
    <row r="3477" spans="1:6" x14ac:dyDescent="0.2">
      <c r="A3477" t="s">
        <v>2966</v>
      </c>
      <c r="B3477" t="s">
        <v>2967</v>
      </c>
      <c r="C3477">
        <v>14118518</v>
      </c>
      <c r="D3477" t="s">
        <v>200</v>
      </c>
      <c r="E3477" s="134">
        <v>3649.31</v>
      </c>
      <c r="F3477" t="s">
        <v>2816</v>
      </c>
    </row>
    <row r="3478" spans="1:6" x14ac:dyDescent="0.2">
      <c r="A3478" t="s">
        <v>2966</v>
      </c>
      <c r="B3478" t="s">
        <v>2967</v>
      </c>
      <c r="C3478">
        <v>14118640</v>
      </c>
      <c r="D3478" t="s">
        <v>205</v>
      </c>
      <c r="E3478" s="134">
        <v>3649.31</v>
      </c>
      <c r="F3478" t="s">
        <v>2816</v>
      </c>
    </row>
    <row r="3479" spans="1:6" x14ac:dyDescent="0.2">
      <c r="A3479" t="s">
        <v>2966</v>
      </c>
      <c r="B3479" t="s">
        <v>2967</v>
      </c>
      <c r="C3479">
        <v>14121571</v>
      </c>
      <c r="D3479" t="s">
        <v>336</v>
      </c>
      <c r="E3479" s="134">
        <v>3649.31</v>
      </c>
      <c r="F3479" t="s">
        <v>2816</v>
      </c>
    </row>
    <row r="3480" spans="1:6" x14ac:dyDescent="0.2">
      <c r="A3480" t="s">
        <v>2966</v>
      </c>
      <c r="B3480" t="s">
        <v>2967</v>
      </c>
      <c r="C3480">
        <v>14121582</v>
      </c>
      <c r="D3480" t="s">
        <v>337</v>
      </c>
      <c r="E3480" s="134">
        <v>3649.31</v>
      </c>
      <c r="F3480" t="s">
        <v>2816</v>
      </c>
    </row>
    <row r="3481" spans="1:6" x14ac:dyDescent="0.2">
      <c r="A3481" t="s">
        <v>2966</v>
      </c>
      <c r="B3481" t="s">
        <v>2967</v>
      </c>
      <c r="C3481">
        <v>14121672</v>
      </c>
      <c r="D3481" t="s">
        <v>342</v>
      </c>
      <c r="E3481" s="134">
        <v>3649.31</v>
      </c>
      <c r="F3481" t="s">
        <v>2816</v>
      </c>
    </row>
    <row r="3482" spans="1:6" x14ac:dyDescent="0.2">
      <c r="A3482" t="s">
        <v>2966</v>
      </c>
      <c r="B3482" t="s">
        <v>2967</v>
      </c>
      <c r="C3482">
        <v>14121766</v>
      </c>
      <c r="D3482" t="s">
        <v>351</v>
      </c>
      <c r="E3482" s="134">
        <v>3649.31</v>
      </c>
      <c r="F3482" t="s">
        <v>2816</v>
      </c>
    </row>
    <row r="3483" spans="1:6" x14ac:dyDescent="0.2">
      <c r="A3483" t="s">
        <v>2966</v>
      </c>
      <c r="B3483" t="s">
        <v>2967</v>
      </c>
      <c r="C3483">
        <v>14121896</v>
      </c>
      <c r="D3483" t="s">
        <v>362</v>
      </c>
      <c r="E3483" s="134">
        <v>3649.31</v>
      </c>
      <c r="F3483" t="s">
        <v>2816</v>
      </c>
    </row>
    <row r="3484" spans="1:6" x14ac:dyDescent="0.2">
      <c r="A3484" t="s">
        <v>2966</v>
      </c>
      <c r="B3484" t="s">
        <v>2967</v>
      </c>
      <c r="C3484">
        <v>14121917</v>
      </c>
      <c r="D3484" t="s">
        <v>363</v>
      </c>
      <c r="E3484" s="134">
        <v>3649.31</v>
      </c>
      <c r="F3484" t="s">
        <v>2816</v>
      </c>
    </row>
    <row r="3485" spans="1:6" x14ac:dyDescent="0.2">
      <c r="A3485" t="s">
        <v>2966</v>
      </c>
      <c r="B3485" t="s">
        <v>2967</v>
      </c>
      <c r="C3485">
        <v>14122034</v>
      </c>
      <c r="D3485" t="s">
        <v>372</v>
      </c>
      <c r="E3485" s="134">
        <v>3649.31</v>
      </c>
      <c r="F3485" t="s">
        <v>2816</v>
      </c>
    </row>
    <row r="3486" spans="1:6" x14ac:dyDescent="0.2">
      <c r="A3486" t="s">
        <v>2966</v>
      </c>
      <c r="B3486" t="s">
        <v>2967</v>
      </c>
      <c r="C3486">
        <v>14122083</v>
      </c>
      <c r="D3486" t="s">
        <v>378</v>
      </c>
      <c r="E3486" s="134">
        <v>3649.31</v>
      </c>
      <c r="F3486" t="s">
        <v>2816</v>
      </c>
    </row>
    <row r="3487" spans="1:6" x14ac:dyDescent="0.2">
      <c r="A3487" t="s">
        <v>2966</v>
      </c>
      <c r="B3487" t="s">
        <v>2967</v>
      </c>
      <c r="C3487">
        <v>14122094</v>
      </c>
      <c r="D3487" t="s">
        <v>379</v>
      </c>
      <c r="E3487" s="134">
        <v>3649.31</v>
      </c>
      <c r="F3487" t="s">
        <v>2816</v>
      </c>
    </row>
    <row r="3488" spans="1:6" x14ac:dyDescent="0.2">
      <c r="A3488" t="s">
        <v>2966</v>
      </c>
      <c r="B3488" t="s">
        <v>2968</v>
      </c>
      <c r="C3488">
        <v>14124028</v>
      </c>
      <c r="D3488" t="s">
        <v>1008</v>
      </c>
      <c r="E3488" s="134">
        <v>2348.9</v>
      </c>
      <c r="F3488" t="s">
        <v>2816</v>
      </c>
    </row>
    <row r="3489" spans="1:6" x14ac:dyDescent="0.2">
      <c r="A3489" t="s">
        <v>2966</v>
      </c>
      <c r="B3489" t="s">
        <v>2968</v>
      </c>
      <c r="C3489">
        <v>14124031</v>
      </c>
      <c r="D3489" t="s">
        <v>1010</v>
      </c>
      <c r="E3489" s="134">
        <v>2348.9</v>
      </c>
      <c r="F3489" t="s">
        <v>2816</v>
      </c>
    </row>
    <row r="3490" spans="1:6" x14ac:dyDescent="0.2">
      <c r="A3490" t="s">
        <v>2966</v>
      </c>
      <c r="B3490" t="s">
        <v>2968</v>
      </c>
      <c r="C3490">
        <v>14124041</v>
      </c>
      <c r="D3490" t="s">
        <v>1011</v>
      </c>
      <c r="E3490" s="134">
        <v>1879.12</v>
      </c>
      <c r="F3490" t="s">
        <v>2816</v>
      </c>
    </row>
    <row r="3491" spans="1:6" x14ac:dyDescent="0.2">
      <c r="A3491" t="s">
        <v>2966</v>
      </c>
      <c r="B3491" t="s">
        <v>2968</v>
      </c>
      <c r="C3491">
        <v>14124060</v>
      </c>
      <c r="D3491" t="s">
        <v>2925</v>
      </c>
      <c r="E3491" s="134">
        <v>939.56</v>
      </c>
      <c r="F3491" t="s">
        <v>2816</v>
      </c>
    </row>
    <row r="3492" spans="1:6" x14ac:dyDescent="0.2">
      <c r="A3492" t="s">
        <v>2966</v>
      </c>
      <c r="B3492" t="s">
        <v>2968</v>
      </c>
      <c r="C3492">
        <v>14124061</v>
      </c>
      <c r="D3492" t="s">
        <v>2926</v>
      </c>
      <c r="E3492" s="134">
        <v>939.56</v>
      </c>
      <c r="F3492" t="s">
        <v>2816</v>
      </c>
    </row>
    <row r="3493" spans="1:6" x14ac:dyDescent="0.2">
      <c r="A3493" t="s">
        <v>2966</v>
      </c>
      <c r="B3493" t="s">
        <v>2968</v>
      </c>
      <c r="C3493">
        <v>14124062</v>
      </c>
      <c r="D3493" t="s">
        <v>2927</v>
      </c>
      <c r="E3493" s="134">
        <v>939.56</v>
      </c>
      <c r="F3493" t="s">
        <v>2816</v>
      </c>
    </row>
    <row r="3494" spans="1:6" x14ac:dyDescent="0.2">
      <c r="A3494" t="s">
        <v>2966</v>
      </c>
      <c r="B3494" t="s">
        <v>2968</v>
      </c>
      <c r="C3494">
        <v>16124047</v>
      </c>
      <c r="D3494" t="s">
        <v>2962</v>
      </c>
      <c r="E3494" s="134">
        <v>1278.75</v>
      </c>
      <c r="F3494" t="s">
        <v>2816</v>
      </c>
    </row>
    <row r="3495" spans="1:6" x14ac:dyDescent="0.2">
      <c r="A3495" t="s">
        <v>2814</v>
      </c>
      <c r="B3495" t="s">
        <v>2969</v>
      </c>
      <c r="C3495">
        <v>16101286</v>
      </c>
      <c r="D3495" t="s">
        <v>2817</v>
      </c>
      <c r="E3495" s="134">
        <v>2983.75</v>
      </c>
      <c r="F3495" t="s">
        <v>2816</v>
      </c>
    </row>
    <row r="3496" spans="1:6" x14ac:dyDescent="0.2">
      <c r="A3496" t="s">
        <v>2814</v>
      </c>
      <c r="B3496" t="s">
        <v>2969</v>
      </c>
      <c r="C3496">
        <v>16115586</v>
      </c>
      <c r="D3496" t="s">
        <v>2855</v>
      </c>
      <c r="E3496" s="134">
        <v>426.25</v>
      </c>
      <c r="F3496" t="s">
        <v>2816</v>
      </c>
    </row>
    <row r="3497" spans="1:6" x14ac:dyDescent="0.2">
      <c r="A3497" t="s">
        <v>2814</v>
      </c>
      <c r="B3497" t="s">
        <v>2969</v>
      </c>
      <c r="C3497">
        <v>16116290</v>
      </c>
      <c r="D3497" t="s">
        <v>2860</v>
      </c>
      <c r="E3497" s="134">
        <v>2983.75</v>
      </c>
      <c r="F3497" t="s">
        <v>2816</v>
      </c>
    </row>
    <row r="3498" spans="1:6" x14ac:dyDescent="0.2">
      <c r="A3498" t="s">
        <v>2814</v>
      </c>
      <c r="B3498" t="s">
        <v>2969</v>
      </c>
      <c r="C3498">
        <v>16120465</v>
      </c>
      <c r="D3498" t="s">
        <v>2879</v>
      </c>
      <c r="E3498" s="134">
        <v>2983.75</v>
      </c>
      <c r="F3498" t="s">
        <v>2816</v>
      </c>
    </row>
    <row r="3499" spans="1:6" x14ac:dyDescent="0.2">
      <c r="A3499" t="s">
        <v>2814</v>
      </c>
      <c r="B3499" t="s">
        <v>2969</v>
      </c>
      <c r="C3499">
        <v>14120788</v>
      </c>
      <c r="D3499" t="s">
        <v>297</v>
      </c>
      <c r="E3499" s="134">
        <v>966.02</v>
      </c>
      <c r="F3499" t="s">
        <v>2816</v>
      </c>
    </row>
    <row r="3500" spans="1:6" x14ac:dyDescent="0.2">
      <c r="A3500" t="s">
        <v>2814</v>
      </c>
      <c r="B3500" t="s">
        <v>2969</v>
      </c>
      <c r="C3500">
        <v>14116853</v>
      </c>
      <c r="D3500" t="s">
        <v>255</v>
      </c>
      <c r="E3500" s="134">
        <v>3504.41</v>
      </c>
      <c r="F3500" t="s">
        <v>2816</v>
      </c>
    </row>
    <row r="3501" spans="1:6" x14ac:dyDescent="0.2">
      <c r="A3501" t="s">
        <v>2814</v>
      </c>
      <c r="B3501" t="s">
        <v>2969</v>
      </c>
      <c r="C3501">
        <v>14118065</v>
      </c>
      <c r="D3501" t="s">
        <v>186</v>
      </c>
      <c r="E3501" s="134">
        <v>3504.41</v>
      </c>
      <c r="F3501" t="s">
        <v>2816</v>
      </c>
    </row>
    <row r="3502" spans="1:6" x14ac:dyDescent="0.2">
      <c r="A3502" t="s">
        <v>2814</v>
      </c>
      <c r="B3502" t="s">
        <v>2969</v>
      </c>
      <c r="C3502">
        <v>14119323</v>
      </c>
      <c r="D3502" t="s">
        <v>240</v>
      </c>
      <c r="E3502" s="134">
        <v>3504.41</v>
      </c>
      <c r="F3502" t="s">
        <v>2816</v>
      </c>
    </row>
    <row r="3503" spans="1:6" x14ac:dyDescent="0.2">
      <c r="A3503" t="s">
        <v>2814</v>
      </c>
      <c r="B3503" t="s">
        <v>2969</v>
      </c>
      <c r="C3503">
        <v>14119357</v>
      </c>
      <c r="D3503" t="s">
        <v>243</v>
      </c>
      <c r="E3503" s="134">
        <v>500.63</v>
      </c>
      <c r="F3503" t="s">
        <v>2816</v>
      </c>
    </row>
    <row r="3504" spans="1:6" x14ac:dyDescent="0.2">
      <c r="A3504" t="s">
        <v>2814</v>
      </c>
      <c r="B3504" t="s">
        <v>2969</v>
      </c>
      <c r="C3504">
        <v>14100725</v>
      </c>
      <c r="D3504" t="s">
        <v>11</v>
      </c>
      <c r="E3504" s="134">
        <v>1563.99</v>
      </c>
      <c r="F3504" t="s">
        <v>2816</v>
      </c>
    </row>
    <row r="3505" spans="1:6" x14ac:dyDescent="0.2">
      <c r="A3505" t="s">
        <v>2814</v>
      </c>
      <c r="B3505" t="s">
        <v>2969</v>
      </c>
      <c r="C3505">
        <v>14100777</v>
      </c>
      <c r="D3505" t="s">
        <v>19</v>
      </c>
      <c r="E3505" s="134">
        <v>3649.31</v>
      </c>
      <c r="F3505" t="s">
        <v>2816</v>
      </c>
    </row>
    <row r="3506" spans="1:6" x14ac:dyDescent="0.2">
      <c r="A3506" t="s">
        <v>2814</v>
      </c>
      <c r="B3506" t="s">
        <v>2969</v>
      </c>
      <c r="C3506">
        <v>14100842</v>
      </c>
      <c r="D3506" t="s">
        <v>24</v>
      </c>
      <c r="E3506" s="134">
        <v>3649.31</v>
      </c>
      <c r="F3506" t="s">
        <v>2816</v>
      </c>
    </row>
    <row r="3507" spans="1:6" x14ac:dyDescent="0.2">
      <c r="A3507" t="s">
        <v>2814</v>
      </c>
      <c r="B3507" t="s">
        <v>2969</v>
      </c>
      <c r="C3507">
        <v>14106778</v>
      </c>
      <c r="D3507" t="s">
        <v>52</v>
      </c>
      <c r="E3507" s="134">
        <v>3649.31</v>
      </c>
      <c r="F3507" t="s">
        <v>2816</v>
      </c>
    </row>
    <row r="3508" spans="1:6" x14ac:dyDescent="0.2">
      <c r="A3508" t="s">
        <v>2814</v>
      </c>
      <c r="B3508" t="s">
        <v>2969</v>
      </c>
      <c r="C3508">
        <v>14107202</v>
      </c>
      <c r="D3508" t="s">
        <v>57</v>
      </c>
      <c r="E3508" s="134">
        <v>3649.31</v>
      </c>
      <c r="F3508" t="s">
        <v>2816</v>
      </c>
    </row>
    <row r="3509" spans="1:6" x14ac:dyDescent="0.2">
      <c r="A3509" t="s">
        <v>2814</v>
      </c>
      <c r="B3509" t="s">
        <v>2969</v>
      </c>
      <c r="C3509">
        <v>14109408</v>
      </c>
      <c r="D3509" t="s">
        <v>86</v>
      </c>
      <c r="E3509" s="134">
        <v>3649.31</v>
      </c>
      <c r="F3509" t="s">
        <v>2816</v>
      </c>
    </row>
    <row r="3510" spans="1:6" x14ac:dyDescent="0.2">
      <c r="A3510" t="s">
        <v>2814</v>
      </c>
      <c r="B3510" t="s">
        <v>2969</v>
      </c>
      <c r="C3510">
        <v>14109808</v>
      </c>
      <c r="D3510" t="s">
        <v>96</v>
      </c>
      <c r="E3510" s="134">
        <v>2085.3200000000002</v>
      </c>
      <c r="F3510" t="s">
        <v>2816</v>
      </c>
    </row>
    <row r="3511" spans="1:6" x14ac:dyDescent="0.2">
      <c r="A3511" t="s">
        <v>2814</v>
      </c>
      <c r="B3511" t="s">
        <v>2969</v>
      </c>
      <c r="C3511">
        <v>14112592</v>
      </c>
      <c r="D3511" t="s">
        <v>116</v>
      </c>
      <c r="E3511" s="134">
        <v>3649.31</v>
      </c>
      <c r="F3511" t="s">
        <v>2816</v>
      </c>
    </row>
    <row r="3512" spans="1:6" x14ac:dyDescent="0.2">
      <c r="A3512" t="s">
        <v>2814</v>
      </c>
      <c r="B3512" t="s">
        <v>2969</v>
      </c>
      <c r="C3512">
        <v>14116262</v>
      </c>
      <c r="D3512" t="s">
        <v>157</v>
      </c>
      <c r="E3512" s="134">
        <v>3649.31</v>
      </c>
      <c r="F3512" t="s">
        <v>2816</v>
      </c>
    </row>
    <row r="3513" spans="1:6" x14ac:dyDescent="0.2">
      <c r="A3513" t="s">
        <v>2814</v>
      </c>
      <c r="B3513" t="s">
        <v>2969</v>
      </c>
      <c r="C3513">
        <v>14116855</v>
      </c>
      <c r="D3513" t="s">
        <v>169</v>
      </c>
      <c r="E3513" s="134">
        <v>3649.31</v>
      </c>
      <c r="F3513" t="s">
        <v>2816</v>
      </c>
    </row>
    <row r="3514" spans="1:6" x14ac:dyDescent="0.2">
      <c r="A3514" t="s">
        <v>2814</v>
      </c>
      <c r="B3514" t="s">
        <v>2969</v>
      </c>
      <c r="C3514">
        <v>14117647</v>
      </c>
      <c r="D3514" t="s">
        <v>177</v>
      </c>
      <c r="E3514" s="134">
        <v>3649.31</v>
      </c>
      <c r="F3514" t="s">
        <v>2816</v>
      </c>
    </row>
    <row r="3515" spans="1:6" x14ac:dyDescent="0.2">
      <c r="A3515" t="s">
        <v>2814</v>
      </c>
      <c r="B3515" t="s">
        <v>2970</v>
      </c>
      <c r="C3515">
        <v>14123145</v>
      </c>
      <c r="D3515" t="s">
        <v>482</v>
      </c>
      <c r="E3515" s="134">
        <v>100</v>
      </c>
      <c r="F3515" t="s">
        <v>2816</v>
      </c>
    </row>
    <row r="3516" spans="1:6" x14ac:dyDescent="0.2">
      <c r="A3516" t="s">
        <v>2814</v>
      </c>
      <c r="B3516" t="s">
        <v>2970</v>
      </c>
      <c r="C3516">
        <v>14103470</v>
      </c>
      <c r="D3516" t="s">
        <v>518</v>
      </c>
      <c r="E3516" s="134">
        <v>100</v>
      </c>
      <c r="F3516" t="s">
        <v>2816</v>
      </c>
    </row>
    <row r="3517" spans="1:6" x14ac:dyDescent="0.2">
      <c r="A3517" t="s">
        <v>2814</v>
      </c>
      <c r="B3517" t="s">
        <v>2970</v>
      </c>
      <c r="C3517">
        <v>14116250</v>
      </c>
      <c r="D3517" t="s">
        <v>425</v>
      </c>
      <c r="E3517" s="134">
        <v>1300</v>
      </c>
      <c r="F3517" t="s">
        <v>2816</v>
      </c>
    </row>
    <row r="3518" spans="1:6" x14ac:dyDescent="0.2">
      <c r="A3518" t="s">
        <v>2814</v>
      </c>
      <c r="B3518" t="s">
        <v>2970</v>
      </c>
      <c r="C3518">
        <v>14120199</v>
      </c>
      <c r="D3518" t="s">
        <v>400</v>
      </c>
      <c r="E3518" s="134">
        <v>900</v>
      </c>
      <c r="F3518" t="s">
        <v>2816</v>
      </c>
    </row>
    <row r="3519" spans="1:6" x14ac:dyDescent="0.2">
      <c r="A3519" t="s">
        <v>2814</v>
      </c>
      <c r="B3519" t="s">
        <v>2970</v>
      </c>
      <c r="C3519">
        <v>14122194</v>
      </c>
      <c r="D3519" t="s">
        <v>395</v>
      </c>
      <c r="E3519" s="134">
        <v>300</v>
      </c>
      <c r="F3519" t="s">
        <v>2816</v>
      </c>
    </row>
    <row r="3520" spans="1:6" x14ac:dyDescent="0.2">
      <c r="A3520" t="s">
        <v>2814</v>
      </c>
      <c r="B3520" t="s">
        <v>2970</v>
      </c>
      <c r="C3520">
        <v>14122221</v>
      </c>
      <c r="D3520" t="s">
        <v>396</v>
      </c>
      <c r="E3520" s="134">
        <v>700</v>
      </c>
      <c r="F3520" t="s">
        <v>2816</v>
      </c>
    </row>
    <row r="3521" spans="1:6" x14ac:dyDescent="0.2">
      <c r="A3521" t="s">
        <v>2814</v>
      </c>
      <c r="B3521" t="s">
        <v>2970</v>
      </c>
      <c r="C3521">
        <v>14122230</v>
      </c>
      <c r="D3521" t="s">
        <v>397</v>
      </c>
      <c r="E3521" s="134">
        <v>500</v>
      </c>
      <c r="F3521" t="s">
        <v>2816</v>
      </c>
    </row>
    <row r="3522" spans="1:6" x14ac:dyDescent="0.2">
      <c r="A3522" t="s">
        <v>2814</v>
      </c>
      <c r="B3522" t="s">
        <v>2970</v>
      </c>
      <c r="C3522">
        <v>14122263</v>
      </c>
      <c r="D3522" t="s">
        <v>401</v>
      </c>
      <c r="E3522" s="134">
        <v>100</v>
      </c>
      <c r="F3522" t="s">
        <v>2816</v>
      </c>
    </row>
    <row r="3523" spans="1:6" x14ac:dyDescent="0.2">
      <c r="A3523" t="s">
        <v>2814</v>
      </c>
      <c r="B3523" t="s">
        <v>2970</v>
      </c>
      <c r="C3523">
        <v>14122416</v>
      </c>
      <c r="D3523" t="s">
        <v>414</v>
      </c>
      <c r="E3523" s="134">
        <v>2100</v>
      </c>
      <c r="F3523" t="s">
        <v>2816</v>
      </c>
    </row>
    <row r="3524" spans="1:6" x14ac:dyDescent="0.2">
      <c r="A3524" t="s">
        <v>2814</v>
      </c>
      <c r="B3524" t="s">
        <v>2970</v>
      </c>
      <c r="C3524">
        <v>14122419</v>
      </c>
      <c r="D3524" t="s">
        <v>416</v>
      </c>
      <c r="E3524" s="134">
        <v>100</v>
      </c>
      <c r="F3524" t="s">
        <v>2816</v>
      </c>
    </row>
    <row r="3525" spans="1:6" x14ac:dyDescent="0.2">
      <c r="A3525" t="s">
        <v>2814</v>
      </c>
      <c r="B3525" t="s">
        <v>2970</v>
      </c>
      <c r="C3525">
        <v>14122429</v>
      </c>
      <c r="D3525" t="s">
        <v>418</v>
      </c>
      <c r="E3525" s="134">
        <v>100</v>
      </c>
      <c r="F3525" t="s">
        <v>2816</v>
      </c>
    </row>
    <row r="3526" spans="1:6" x14ac:dyDescent="0.2">
      <c r="A3526" t="s">
        <v>2814</v>
      </c>
      <c r="B3526" t="s">
        <v>2970</v>
      </c>
      <c r="C3526">
        <v>14122495</v>
      </c>
      <c r="D3526" t="s">
        <v>423</v>
      </c>
      <c r="E3526" s="134">
        <v>900</v>
      </c>
      <c r="F3526" t="s">
        <v>2816</v>
      </c>
    </row>
    <row r="3527" spans="1:6" x14ac:dyDescent="0.2">
      <c r="A3527" t="s">
        <v>2814</v>
      </c>
      <c r="B3527" t="s">
        <v>2970</v>
      </c>
      <c r="C3527">
        <v>14122510</v>
      </c>
      <c r="D3527" t="s">
        <v>424</v>
      </c>
      <c r="E3527" s="134">
        <v>100</v>
      </c>
      <c r="F3527" t="s">
        <v>2816</v>
      </c>
    </row>
    <row r="3528" spans="1:6" x14ac:dyDescent="0.2">
      <c r="A3528" t="s">
        <v>2814</v>
      </c>
      <c r="B3528" t="s">
        <v>2970</v>
      </c>
      <c r="C3528">
        <v>14122546</v>
      </c>
      <c r="D3528" t="s">
        <v>428</v>
      </c>
      <c r="E3528" s="134">
        <v>100</v>
      </c>
      <c r="F3528" t="s">
        <v>2816</v>
      </c>
    </row>
    <row r="3529" spans="1:6" x14ac:dyDescent="0.2">
      <c r="A3529" t="s">
        <v>2814</v>
      </c>
      <c r="B3529" t="s">
        <v>2970</v>
      </c>
      <c r="C3529">
        <v>14122673</v>
      </c>
      <c r="D3529" t="s">
        <v>432</v>
      </c>
      <c r="E3529" s="134">
        <v>100</v>
      </c>
      <c r="F3529" t="s">
        <v>2816</v>
      </c>
    </row>
    <row r="3530" spans="1:6" x14ac:dyDescent="0.2">
      <c r="A3530" t="s">
        <v>2814</v>
      </c>
      <c r="B3530" t="s">
        <v>2970</v>
      </c>
      <c r="C3530">
        <v>14122683</v>
      </c>
      <c r="D3530" t="s">
        <v>435</v>
      </c>
      <c r="E3530" s="134">
        <v>700</v>
      </c>
      <c r="F3530" t="s">
        <v>2816</v>
      </c>
    </row>
    <row r="3531" spans="1:6" x14ac:dyDescent="0.2">
      <c r="A3531" t="s">
        <v>2814</v>
      </c>
      <c r="B3531" t="s">
        <v>2970</v>
      </c>
      <c r="C3531">
        <v>14122709</v>
      </c>
      <c r="D3531" t="s">
        <v>441</v>
      </c>
      <c r="E3531" s="134">
        <v>100</v>
      </c>
      <c r="F3531" t="s">
        <v>2816</v>
      </c>
    </row>
    <row r="3532" spans="1:6" x14ac:dyDescent="0.2">
      <c r="A3532" t="s">
        <v>2814</v>
      </c>
      <c r="B3532" t="s">
        <v>2970</v>
      </c>
      <c r="C3532">
        <v>14122809</v>
      </c>
      <c r="D3532" t="s">
        <v>446</v>
      </c>
      <c r="E3532" s="134">
        <v>100</v>
      </c>
      <c r="F3532" t="s">
        <v>2816</v>
      </c>
    </row>
    <row r="3533" spans="1:6" x14ac:dyDescent="0.2">
      <c r="A3533" t="s">
        <v>2814</v>
      </c>
      <c r="B3533" t="s">
        <v>2970</v>
      </c>
      <c r="C3533">
        <v>14122855</v>
      </c>
      <c r="D3533" t="s">
        <v>451</v>
      </c>
      <c r="E3533" s="134">
        <v>200</v>
      </c>
      <c r="F3533" t="s">
        <v>2816</v>
      </c>
    </row>
    <row r="3534" spans="1:6" x14ac:dyDescent="0.2">
      <c r="A3534" t="s">
        <v>2814</v>
      </c>
      <c r="B3534" t="s">
        <v>2970</v>
      </c>
      <c r="C3534">
        <v>14122871</v>
      </c>
      <c r="D3534" t="s">
        <v>453</v>
      </c>
      <c r="E3534" s="134">
        <v>900</v>
      </c>
      <c r="F3534" t="s">
        <v>2816</v>
      </c>
    </row>
    <row r="3535" spans="1:6" x14ac:dyDescent="0.2">
      <c r="A3535" t="s">
        <v>2814</v>
      </c>
      <c r="B3535" t="s">
        <v>2970</v>
      </c>
      <c r="C3535">
        <v>14122904</v>
      </c>
      <c r="D3535" t="s">
        <v>457</v>
      </c>
      <c r="E3535" s="134">
        <v>300</v>
      </c>
      <c r="F3535" t="s">
        <v>2816</v>
      </c>
    </row>
    <row r="3536" spans="1:6" x14ac:dyDescent="0.2">
      <c r="A3536" t="s">
        <v>2814</v>
      </c>
      <c r="B3536" t="s">
        <v>2970</v>
      </c>
      <c r="C3536">
        <v>14122929</v>
      </c>
      <c r="D3536" t="s">
        <v>463</v>
      </c>
      <c r="E3536" s="134">
        <v>300</v>
      </c>
      <c r="F3536" t="s">
        <v>2816</v>
      </c>
    </row>
    <row r="3537" spans="1:6" x14ac:dyDescent="0.2">
      <c r="A3537" t="s">
        <v>2814</v>
      </c>
      <c r="B3537" t="s">
        <v>2970</v>
      </c>
      <c r="C3537">
        <v>14122992</v>
      </c>
      <c r="D3537" t="s">
        <v>465</v>
      </c>
      <c r="E3537" s="134">
        <v>1700</v>
      </c>
      <c r="F3537" t="s">
        <v>2816</v>
      </c>
    </row>
    <row r="3538" spans="1:6" x14ac:dyDescent="0.2">
      <c r="A3538" t="s">
        <v>2814</v>
      </c>
      <c r="B3538" t="s">
        <v>2970</v>
      </c>
      <c r="C3538">
        <v>14123063</v>
      </c>
      <c r="D3538" t="s">
        <v>473</v>
      </c>
      <c r="E3538" s="134">
        <v>400</v>
      </c>
      <c r="F3538" t="s">
        <v>2816</v>
      </c>
    </row>
    <row r="3539" spans="1:6" x14ac:dyDescent="0.2">
      <c r="A3539" t="s">
        <v>2814</v>
      </c>
      <c r="B3539" t="s">
        <v>2970</v>
      </c>
      <c r="C3539">
        <v>14123107</v>
      </c>
      <c r="D3539" t="s">
        <v>480</v>
      </c>
      <c r="E3539" s="134">
        <v>200</v>
      </c>
      <c r="F3539" t="s">
        <v>2816</v>
      </c>
    </row>
    <row r="3540" spans="1:6" x14ac:dyDescent="0.2">
      <c r="A3540" t="s">
        <v>2814</v>
      </c>
      <c r="B3540" t="s">
        <v>2970</v>
      </c>
      <c r="C3540">
        <v>14123246</v>
      </c>
      <c r="D3540" t="s">
        <v>489</v>
      </c>
      <c r="E3540" s="134">
        <v>700</v>
      </c>
      <c r="F3540" t="s">
        <v>2816</v>
      </c>
    </row>
    <row r="3541" spans="1:6" x14ac:dyDescent="0.2">
      <c r="A3541" t="s">
        <v>2814</v>
      </c>
      <c r="B3541" t="s">
        <v>2970</v>
      </c>
      <c r="C3541">
        <v>14123254</v>
      </c>
      <c r="D3541" t="s">
        <v>490</v>
      </c>
      <c r="E3541" s="134">
        <v>200</v>
      </c>
      <c r="F3541" t="s">
        <v>2816</v>
      </c>
    </row>
    <row r="3542" spans="1:6" x14ac:dyDescent="0.2">
      <c r="A3542" t="s">
        <v>2814</v>
      </c>
      <c r="B3542" t="s">
        <v>2970</v>
      </c>
      <c r="C3542">
        <v>14123334</v>
      </c>
      <c r="D3542" t="s">
        <v>502</v>
      </c>
      <c r="E3542" s="134">
        <v>100</v>
      </c>
      <c r="F3542" t="s">
        <v>2816</v>
      </c>
    </row>
    <row r="3543" spans="1:6" x14ac:dyDescent="0.2">
      <c r="A3543" t="s">
        <v>2814</v>
      </c>
      <c r="B3543" t="s">
        <v>2970</v>
      </c>
      <c r="C3543">
        <v>14123377</v>
      </c>
      <c r="D3543" t="s">
        <v>505</v>
      </c>
      <c r="E3543" s="134">
        <v>300</v>
      </c>
      <c r="F3543" t="s">
        <v>2816</v>
      </c>
    </row>
    <row r="3544" spans="1:6" x14ac:dyDescent="0.2">
      <c r="A3544" t="s">
        <v>2814</v>
      </c>
      <c r="B3544" t="s">
        <v>2970</v>
      </c>
      <c r="C3544">
        <v>14123446</v>
      </c>
      <c r="D3544" t="s">
        <v>507</v>
      </c>
      <c r="E3544" s="134">
        <v>400</v>
      </c>
      <c r="F3544" t="s">
        <v>2816</v>
      </c>
    </row>
    <row r="3545" spans="1:6" x14ac:dyDescent="0.2">
      <c r="A3545" t="s">
        <v>2814</v>
      </c>
      <c r="B3545" t="s">
        <v>2970</v>
      </c>
      <c r="C3545">
        <v>14123447</v>
      </c>
      <c r="D3545" t="s">
        <v>508</v>
      </c>
      <c r="E3545" s="134">
        <v>200</v>
      </c>
      <c r="F3545" t="s">
        <v>2816</v>
      </c>
    </row>
    <row r="3546" spans="1:6" x14ac:dyDescent="0.2">
      <c r="A3546" t="s">
        <v>2814</v>
      </c>
      <c r="B3546" t="s">
        <v>2970</v>
      </c>
      <c r="C3546">
        <v>14123463</v>
      </c>
      <c r="D3546" t="s">
        <v>512</v>
      </c>
      <c r="E3546" s="134">
        <v>100</v>
      </c>
      <c r="F3546" t="s">
        <v>2816</v>
      </c>
    </row>
    <row r="3547" spans="1:6" x14ac:dyDescent="0.2">
      <c r="A3547" t="s">
        <v>2814</v>
      </c>
      <c r="B3547" t="s">
        <v>2970</v>
      </c>
      <c r="C3547">
        <v>14123471</v>
      </c>
      <c r="D3547" t="s">
        <v>513</v>
      </c>
      <c r="E3547" s="134">
        <v>300</v>
      </c>
      <c r="F3547" t="s">
        <v>2816</v>
      </c>
    </row>
    <row r="3548" spans="1:6" x14ac:dyDescent="0.2">
      <c r="A3548" t="s">
        <v>2814</v>
      </c>
      <c r="B3548" t="s">
        <v>2970</v>
      </c>
      <c r="C3548">
        <v>14123488</v>
      </c>
      <c r="D3548" t="s">
        <v>515</v>
      </c>
      <c r="E3548" s="134">
        <v>100</v>
      </c>
      <c r="F3548" t="s">
        <v>2816</v>
      </c>
    </row>
    <row r="3549" spans="1:6" x14ac:dyDescent="0.2">
      <c r="A3549" t="s">
        <v>2814</v>
      </c>
      <c r="B3549" t="s">
        <v>2970</v>
      </c>
      <c r="C3549">
        <v>14123514</v>
      </c>
      <c r="D3549" t="s">
        <v>519</v>
      </c>
      <c r="E3549" s="134">
        <v>500</v>
      </c>
      <c r="F3549" t="s">
        <v>2816</v>
      </c>
    </row>
    <row r="3550" spans="1:6" x14ac:dyDescent="0.2">
      <c r="A3550" t="s">
        <v>2814</v>
      </c>
      <c r="B3550" t="s">
        <v>2970</v>
      </c>
      <c r="C3550">
        <v>14123516</v>
      </c>
      <c r="D3550" t="s">
        <v>520</v>
      </c>
      <c r="E3550" s="134">
        <v>400</v>
      </c>
      <c r="F3550" t="s">
        <v>2816</v>
      </c>
    </row>
    <row r="3551" spans="1:6" x14ac:dyDescent="0.2">
      <c r="A3551" t="s">
        <v>2814</v>
      </c>
      <c r="B3551" t="s">
        <v>2970</v>
      </c>
      <c r="C3551">
        <v>14123526</v>
      </c>
      <c r="D3551" t="s">
        <v>524</v>
      </c>
      <c r="E3551" s="134">
        <v>100</v>
      </c>
      <c r="F3551" t="s">
        <v>2816</v>
      </c>
    </row>
    <row r="3552" spans="1:6" x14ac:dyDescent="0.2">
      <c r="A3552" t="s">
        <v>2814</v>
      </c>
      <c r="B3552" t="s">
        <v>2970</v>
      </c>
      <c r="C3552">
        <v>14123527</v>
      </c>
      <c r="D3552" t="s">
        <v>525</v>
      </c>
      <c r="E3552" s="134">
        <v>200</v>
      </c>
      <c r="F3552" t="s">
        <v>2816</v>
      </c>
    </row>
    <row r="3553" spans="1:6" x14ac:dyDescent="0.2">
      <c r="A3553" t="s">
        <v>2814</v>
      </c>
      <c r="B3553" t="s">
        <v>2970</v>
      </c>
      <c r="C3553">
        <v>14123530</v>
      </c>
      <c r="D3553" t="s">
        <v>527</v>
      </c>
      <c r="E3553" s="134">
        <v>200</v>
      </c>
      <c r="F3553" t="s">
        <v>2816</v>
      </c>
    </row>
    <row r="3554" spans="1:6" x14ac:dyDescent="0.2">
      <c r="A3554" t="s">
        <v>2814</v>
      </c>
      <c r="B3554" t="s">
        <v>2970</v>
      </c>
      <c r="C3554">
        <v>14123541</v>
      </c>
      <c r="D3554" t="s">
        <v>529</v>
      </c>
      <c r="E3554" s="134">
        <v>200</v>
      </c>
      <c r="F3554" t="s">
        <v>2816</v>
      </c>
    </row>
    <row r="3555" spans="1:6" x14ac:dyDescent="0.2">
      <c r="A3555" t="s">
        <v>2814</v>
      </c>
      <c r="B3555" t="s">
        <v>2970</v>
      </c>
      <c r="C3555">
        <v>14123557</v>
      </c>
      <c r="D3555" t="s">
        <v>530</v>
      </c>
      <c r="E3555" s="134">
        <v>400</v>
      </c>
      <c r="F3555" t="s">
        <v>2816</v>
      </c>
    </row>
    <row r="3556" spans="1:6" x14ac:dyDescent="0.2">
      <c r="A3556" t="s">
        <v>2814</v>
      </c>
      <c r="B3556" t="s">
        <v>2970</v>
      </c>
      <c r="C3556">
        <v>14123559</v>
      </c>
      <c r="D3556" t="s">
        <v>531</v>
      </c>
      <c r="E3556" s="134">
        <v>1200</v>
      </c>
      <c r="F3556" t="s">
        <v>2816</v>
      </c>
    </row>
    <row r="3557" spans="1:6" x14ac:dyDescent="0.2">
      <c r="A3557" t="s">
        <v>2814</v>
      </c>
      <c r="B3557" t="s">
        <v>2970</v>
      </c>
      <c r="C3557">
        <v>14123568</v>
      </c>
      <c r="D3557" t="s">
        <v>533</v>
      </c>
      <c r="E3557" s="134">
        <v>100</v>
      </c>
      <c r="F3557" t="s">
        <v>2816</v>
      </c>
    </row>
    <row r="3558" spans="1:6" x14ac:dyDescent="0.2">
      <c r="A3558" t="s">
        <v>2814</v>
      </c>
      <c r="B3558" t="s">
        <v>2970</v>
      </c>
      <c r="C3558">
        <v>14123569</v>
      </c>
      <c r="D3558" t="s">
        <v>534</v>
      </c>
      <c r="E3558" s="134">
        <v>700</v>
      </c>
      <c r="F3558" t="s">
        <v>2816</v>
      </c>
    </row>
    <row r="3559" spans="1:6" x14ac:dyDescent="0.2">
      <c r="A3559" t="s">
        <v>2814</v>
      </c>
      <c r="B3559" t="s">
        <v>2970</v>
      </c>
      <c r="C3559">
        <v>14123571</v>
      </c>
      <c r="D3559" t="s">
        <v>536</v>
      </c>
      <c r="E3559" s="134">
        <v>200</v>
      </c>
      <c r="F3559" t="s">
        <v>2816</v>
      </c>
    </row>
    <row r="3560" spans="1:6" x14ac:dyDescent="0.2">
      <c r="A3560" t="s">
        <v>2814</v>
      </c>
      <c r="B3560" t="s">
        <v>2970</v>
      </c>
      <c r="C3560">
        <v>14123651</v>
      </c>
      <c r="D3560" t="s">
        <v>904</v>
      </c>
      <c r="E3560" s="134">
        <v>400</v>
      </c>
      <c r="F3560" t="s">
        <v>2816</v>
      </c>
    </row>
    <row r="3561" spans="1:6" x14ac:dyDescent="0.2">
      <c r="A3561" t="s">
        <v>2814</v>
      </c>
      <c r="B3561" t="s">
        <v>2970</v>
      </c>
      <c r="C3561">
        <v>14123652</v>
      </c>
      <c r="D3561" t="s">
        <v>905</v>
      </c>
      <c r="E3561" s="134">
        <v>400</v>
      </c>
      <c r="F3561" t="s">
        <v>2816</v>
      </c>
    </row>
    <row r="3562" spans="1:6" x14ac:dyDescent="0.2">
      <c r="A3562" t="s">
        <v>2814</v>
      </c>
      <c r="B3562" t="s">
        <v>2970</v>
      </c>
      <c r="C3562">
        <v>14123656</v>
      </c>
      <c r="D3562" t="s">
        <v>936</v>
      </c>
      <c r="E3562" s="134">
        <v>100</v>
      </c>
      <c r="F3562" t="s">
        <v>2816</v>
      </c>
    </row>
    <row r="3563" spans="1:6" x14ac:dyDescent="0.2">
      <c r="A3563" t="s">
        <v>2814</v>
      </c>
      <c r="B3563" t="s">
        <v>2970</v>
      </c>
      <c r="C3563">
        <v>14123770</v>
      </c>
      <c r="D3563" t="s">
        <v>959</v>
      </c>
      <c r="E3563" s="134">
        <v>500</v>
      </c>
      <c r="F3563" t="s">
        <v>2816</v>
      </c>
    </row>
    <row r="3564" spans="1:6" x14ac:dyDescent="0.2">
      <c r="A3564" t="s">
        <v>2814</v>
      </c>
      <c r="B3564" t="s">
        <v>2970</v>
      </c>
      <c r="C3564">
        <v>14123787</v>
      </c>
      <c r="D3564" t="s">
        <v>963</v>
      </c>
      <c r="E3564" s="134">
        <v>100</v>
      </c>
      <c r="F3564" t="s">
        <v>2816</v>
      </c>
    </row>
    <row r="3565" spans="1:6" x14ac:dyDescent="0.2">
      <c r="A3565" t="s">
        <v>2814</v>
      </c>
      <c r="B3565" t="s">
        <v>2970</v>
      </c>
      <c r="C3565">
        <v>14123808</v>
      </c>
      <c r="D3565" t="s">
        <v>965</v>
      </c>
      <c r="E3565" s="134">
        <v>400</v>
      </c>
      <c r="F3565" t="s">
        <v>2816</v>
      </c>
    </row>
    <row r="3566" spans="1:6" x14ac:dyDescent="0.2">
      <c r="A3566" t="s">
        <v>2814</v>
      </c>
      <c r="B3566" t="s">
        <v>2970</v>
      </c>
      <c r="C3566">
        <v>14123884</v>
      </c>
      <c r="D3566" t="s">
        <v>976</v>
      </c>
      <c r="E3566" s="134">
        <v>100</v>
      </c>
      <c r="F3566" t="s">
        <v>2816</v>
      </c>
    </row>
    <row r="3567" spans="1:6" x14ac:dyDescent="0.2">
      <c r="A3567" t="s">
        <v>2814</v>
      </c>
      <c r="B3567" t="s">
        <v>2970</v>
      </c>
      <c r="C3567">
        <v>14123885</v>
      </c>
      <c r="D3567" t="s">
        <v>978</v>
      </c>
      <c r="E3567" s="134">
        <v>400</v>
      </c>
      <c r="F3567" t="s">
        <v>2816</v>
      </c>
    </row>
    <row r="3568" spans="1:6" x14ac:dyDescent="0.2">
      <c r="A3568" t="s">
        <v>2814</v>
      </c>
      <c r="B3568" t="s">
        <v>2970</v>
      </c>
      <c r="C3568">
        <v>14123894</v>
      </c>
      <c r="D3568" t="s">
        <v>981</v>
      </c>
      <c r="E3568" s="134">
        <v>200</v>
      </c>
      <c r="F3568" t="s">
        <v>2816</v>
      </c>
    </row>
    <row r="3569" spans="1:6" x14ac:dyDescent="0.2">
      <c r="A3569" t="s">
        <v>2814</v>
      </c>
      <c r="B3569" t="s">
        <v>2970</v>
      </c>
      <c r="C3569">
        <v>14123925</v>
      </c>
      <c r="D3569" t="s">
        <v>994</v>
      </c>
      <c r="E3569" s="134">
        <v>300</v>
      </c>
      <c r="F3569" t="s">
        <v>2816</v>
      </c>
    </row>
    <row r="3570" spans="1:6" x14ac:dyDescent="0.2">
      <c r="A3570" t="s">
        <v>2814</v>
      </c>
      <c r="B3570" t="s">
        <v>2970</v>
      </c>
      <c r="C3570">
        <v>14123986</v>
      </c>
      <c r="D3570" t="s">
        <v>1002</v>
      </c>
      <c r="E3570" s="134">
        <v>200</v>
      </c>
      <c r="F3570" t="s">
        <v>2816</v>
      </c>
    </row>
    <row r="3571" spans="1:6" x14ac:dyDescent="0.2">
      <c r="A3571" t="s">
        <v>2814</v>
      </c>
      <c r="B3571" t="s">
        <v>2970</v>
      </c>
      <c r="C3571">
        <v>14124002</v>
      </c>
      <c r="D3571" t="s">
        <v>1005</v>
      </c>
      <c r="E3571" s="134">
        <v>200</v>
      </c>
      <c r="F3571" t="s">
        <v>2816</v>
      </c>
    </row>
    <row r="3572" spans="1:6" x14ac:dyDescent="0.2">
      <c r="A3572" t="s">
        <v>2814</v>
      </c>
      <c r="B3572" t="s">
        <v>2970</v>
      </c>
      <c r="C3572">
        <v>16101324</v>
      </c>
      <c r="D3572" t="s">
        <v>2821</v>
      </c>
      <c r="E3572" s="134">
        <v>1500</v>
      </c>
      <c r="F3572" t="s">
        <v>2816</v>
      </c>
    </row>
    <row r="3573" spans="1:6" x14ac:dyDescent="0.2">
      <c r="A3573" t="s">
        <v>2814</v>
      </c>
      <c r="B3573" t="s">
        <v>2970</v>
      </c>
      <c r="C3573">
        <v>16101382</v>
      </c>
      <c r="D3573" t="s">
        <v>2824</v>
      </c>
      <c r="E3573" s="134">
        <v>300</v>
      </c>
      <c r="F3573" t="s">
        <v>2816</v>
      </c>
    </row>
    <row r="3574" spans="1:6" x14ac:dyDescent="0.2">
      <c r="A3574" t="s">
        <v>2814</v>
      </c>
      <c r="B3574" t="s">
        <v>2970</v>
      </c>
      <c r="C3574">
        <v>16103733</v>
      </c>
      <c r="D3574" t="s">
        <v>2831</v>
      </c>
      <c r="E3574" s="134">
        <v>600</v>
      </c>
      <c r="F3574" t="s">
        <v>2816</v>
      </c>
    </row>
    <row r="3575" spans="1:6" x14ac:dyDescent="0.2">
      <c r="A3575" t="s">
        <v>2814</v>
      </c>
      <c r="B3575" t="s">
        <v>2970</v>
      </c>
      <c r="C3575">
        <v>16112068</v>
      </c>
      <c r="D3575" t="s">
        <v>2847</v>
      </c>
      <c r="E3575" s="134">
        <v>1350</v>
      </c>
      <c r="F3575" t="s">
        <v>2816</v>
      </c>
    </row>
    <row r="3576" spans="1:6" x14ac:dyDescent="0.2">
      <c r="A3576" t="s">
        <v>2814</v>
      </c>
      <c r="B3576" t="s">
        <v>2970</v>
      </c>
      <c r="C3576">
        <v>16114063</v>
      </c>
      <c r="D3576" t="s">
        <v>2850</v>
      </c>
      <c r="E3576" s="134">
        <v>675</v>
      </c>
      <c r="F3576" t="s">
        <v>2816</v>
      </c>
    </row>
    <row r="3577" spans="1:6" x14ac:dyDescent="0.2">
      <c r="A3577" t="s">
        <v>2814</v>
      </c>
      <c r="B3577" t="s">
        <v>2970</v>
      </c>
      <c r="C3577">
        <v>16114991</v>
      </c>
      <c r="D3577" t="s">
        <v>2852</v>
      </c>
      <c r="E3577" s="134">
        <v>750</v>
      </c>
      <c r="F3577" t="s">
        <v>2816</v>
      </c>
    </row>
    <row r="3578" spans="1:6" x14ac:dyDescent="0.2">
      <c r="A3578" t="s">
        <v>2814</v>
      </c>
      <c r="B3578" t="s">
        <v>2970</v>
      </c>
      <c r="C3578">
        <v>16118421</v>
      </c>
      <c r="D3578" t="s">
        <v>2865</v>
      </c>
      <c r="E3578" s="134">
        <v>300</v>
      </c>
      <c r="F3578" t="s">
        <v>2816</v>
      </c>
    </row>
    <row r="3579" spans="1:6" x14ac:dyDescent="0.2">
      <c r="A3579" t="s">
        <v>2814</v>
      </c>
      <c r="B3579" t="s">
        <v>2970</v>
      </c>
      <c r="C3579">
        <v>16118963</v>
      </c>
      <c r="D3579" t="s">
        <v>2870</v>
      </c>
      <c r="E3579" s="134">
        <v>1800</v>
      </c>
      <c r="F3579" t="s">
        <v>2816</v>
      </c>
    </row>
    <row r="3580" spans="1:6" x14ac:dyDescent="0.2">
      <c r="A3580" t="s">
        <v>2814</v>
      </c>
      <c r="B3580" t="s">
        <v>2970</v>
      </c>
      <c r="C3580">
        <v>14102081</v>
      </c>
      <c r="D3580" t="s">
        <v>28</v>
      </c>
      <c r="E3580" s="134">
        <v>100</v>
      </c>
      <c r="F3580" t="s">
        <v>2816</v>
      </c>
    </row>
    <row r="3581" spans="1:6" x14ac:dyDescent="0.2">
      <c r="A3581" t="s">
        <v>2814</v>
      </c>
      <c r="B3581" t="s">
        <v>2970</v>
      </c>
      <c r="C3581">
        <v>14104853</v>
      </c>
      <c r="D3581" t="s">
        <v>181</v>
      </c>
      <c r="E3581" s="134">
        <v>100</v>
      </c>
      <c r="F3581" t="s">
        <v>2816</v>
      </c>
    </row>
    <row r="3582" spans="1:6" x14ac:dyDescent="0.2">
      <c r="A3582" t="s">
        <v>2814</v>
      </c>
      <c r="B3582" t="s">
        <v>2970</v>
      </c>
      <c r="C3582">
        <v>14114320</v>
      </c>
      <c r="D3582" t="s">
        <v>312</v>
      </c>
      <c r="E3582" s="134">
        <v>400</v>
      </c>
      <c r="F3582" t="s">
        <v>2816</v>
      </c>
    </row>
    <row r="3583" spans="1:6" x14ac:dyDescent="0.2">
      <c r="A3583" t="s">
        <v>2814</v>
      </c>
      <c r="B3583" t="s">
        <v>2970</v>
      </c>
      <c r="C3583">
        <v>14115304</v>
      </c>
      <c r="D3583" t="s">
        <v>142</v>
      </c>
      <c r="E3583" s="134">
        <v>100</v>
      </c>
      <c r="F3583" t="s">
        <v>2816</v>
      </c>
    </row>
    <row r="3584" spans="1:6" x14ac:dyDescent="0.2">
      <c r="A3584" t="s">
        <v>2814</v>
      </c>
      <c r="B3584" t="s">
        <v>2970</v>
      </c>
      <c r="C3584">
        <v>14115435</v>
      </c>
      <c r="D3584" t="s">
        <v>143</v>
      </c>
      <c r="E3584" s="134">
        <v>300</v>
      </c>
      <c r="F3584" t="s">
        <v>2816</v>
      </c>
    </row>
    <row r="3585" spans="1:6" x14ac:dyDescent="0.2">
      <c r="A3585" t="s">
        <v>2814</v>
      </c>
      <c r="B3585" t="s">
        <v>2970</v>
      </c>
      <c r="C3585">
        <v>14116860</v>
      </c>
      <c r="D3585" t="s">
        <v>170</v>
      </c>
      <c r="E3585" s="134">
        <v>200</v>
      </c>
      <c r="F3585" t="s">
        <v>2816</v>
      </c>
    </row>
    <row r="3586" spans="1:6" x14ac:dyDescent="0.2">
      <c r="A3586" t="s">
        <v>2814</v>
      </c>
      <c r="B3586" t="s">
        <v>2970</v>
      </c>
      <c r="C3586">
        <v>14117158</v>
      </c>
      <c r="D3586" t="s">
        <v>172</v>
      </c>
      <c r="E3586" s="134">
        <v>600</v>
      </c>
      <c r="F3586" t="s">
        <v>2816</v>
      </c>
    </row>
    <row r="3587" spans="1:6" x14ac:dyDescent="0.2">
      <c r="A3587" t="s">
        <v>2814</v>
      </c>
      <c r="B3587" t="s">
        <v>2970</v>
      </c>
      <c r="C3587">
        <v>14117508</v>
      </c>
      <c r="D3587" t="s">
        <v>313</v>
      </c>
      <c r="E3587" s="134">
        <v>100</v>
      </c>
      <c r="F3587" t="s">
        <v>2816</v>
      </c>
    </row>
    <row r="3588" spans="1:6" x14ac:dyDescent="0.2">
      <c r="A3588" t="s">
        <v>2814</v>
      </c>
      <c r="B3588" t="s">
        <v>2970</v>
      </c>
      <c r="C3588">
        <v>14118773</v>
      </c>
      <c r="D3588" t="s">
        <v>210</v>
      </c>
      <c r="E3588" s="134">
        <v>100</v>
      </c>
      <c r="F3588" t="s">
        <v>2816</v>
      </c>
    </row>
    <row r="3589" spans="1:6" x14ac:dyDescent="0.2">
      <c r="A3589" t="s">
        <v>2814</v>
      </c>
      <c r="B3589" t="s">
        <v>2970</v>
      </c>
      <c r="C3589">
        <v>14118958</v>
      </c>
      <c r="D3589" t="s">
        <v>367</v>
      </c>
      <c r="E3589" s="134">
        <v>100</v>
      </c>
      <c r="F3589" t="s">
        <v>2816</v>
      </c>
    </row>
    <row r="3590" spans="1:6" x14ac:dyDescent="0.2">
      <c r="A3590" t="s">
        <v>2814</v>
      </c>
      <c r="B3590" t="s">
        <v>2970</v>
      </c>
      <c r="C3590">
        <v>14119958</v>
      </c>
      <c r="D3590" t="s">
        <v>270</v>
      </c>
      <c r="E3590" s="134">
        <v>600</v>
      </c>
      <c r="F3590" t="s">
        <v>2816</v>
      </c>
    </row>
    <row r="3591" spans="1:6" x14ac:dyDescent="0.2">
      <c r="A3591" t="s">
        <v>2814</v>
      </c>
      <c r="B3591" t="s">
        <v>2970</v>
      </c>
      <c r="C3591">
        <v>14120611</v>
      </c>
      <c r="D3591" t="s">
        <v>289</v>
      </c>
      <c r="E3591" s="134">
        <v>1000</v>
      </c>
      <c r="F3591" t="s">
        <v>2816</v>
      </c>
    </row>
    <row r="3592" spans="1:6" x14ac:dyDescent="0.2">
      <c r="A3592" t="s">
        <v>2814</v>
      </c>
      <c r="B3592" t="s">
        <v>2970</v>
      </c>
      <c r="C3592">
        <v>14120788</v>
      </c>
      <c r="D3592" t="s">
        <v>297</v>
      </c>
      <c r="E3592" s="134">
        <v>300</v>
      </c>
      <c r="F3592" t="s">
        <v>2816</v>
      </c>
    </row>
    <row r="3593" spans="1:6" x14ac:dyDescent="0.2">
      <c r="A3593" t="s">
        <v>2814</v>
      </c>
      <c r="B3593" t="s">
        <v>2970</v>
      </c>
      <c r="C3593">
        <v>14120925</v>
      </c>
      <c r="D3593" t="s">
        <v>304</v>
      </c>
      <c r="E3593" s="134">
        <v>200</v>
      </c>
      <c r="F3593" t="s">
        <v>2816</v>
      </c>
    </row>
    <row r="3594" spans="1:6" x14ac:dyDescent="0.2">
      <c r="A3594" t="s">
        <v>2814</v>
      </c>
      <c r="B3594" t="s">
        <v>2970</v>
      </c>
      <c r="C3594">
        <v>14121013</v>
      </c>
      <c r="D3594" t="s">
        <v>305</v>
      </c>
      <c r="E3594" s="134">
        <v>600</v>
      </c>
      <c r="F3594" t="s">
        <v>2816</v>
      </c>
    </row>
    <row r="3595" spans="1:6" x14ac:dyDescent="0.2">
      <c r="A3595" t="s">
        <v>2814</v>
      </c>
      <c r="B3595" t="s">
        <v>2970</v>
      </c>
      <c r="C3595">
        <v>14121015</v>
      </c>
      <c r="D3595" t="s">
        <v>306</v>
      </c>
      <c r="E3595" s="134">
        <v>800</v>
      </c>
      <c r="F3595" t="s">
        <v>2816</v>
      </c>
    </row>
    <row r="3596" spans="1:6" x14ac:dyDescent="0.2">
      <c r="A3596" t="s">
        <v>2814</v>
      </c>
      <c r="B3596" t="s">
        <v>2970</v>
      </c>
      <c r="C3596">
        <v>14121104</v>
      </c>
      <c r="D3596" t="s">
        <v>308</v>
      </c>
      <c r="E3596" s="134">
        <v>500</v>
      </c>
      <c r="F3596" t="s">
        <v>2816</v>
      </c>
    </row>
    <row r="3597" spans="1:6" x14ac:dyDescent="0.2">
      <c r="A3597" t="s">
        <v>2814</v>
      </c>
      <c r="B3597" t="s">
        <v>2970</v>
      </c>
      <c r="C3597">
        <v>14121159</v>
      </c>
      <c r="D3597" t="s">
        <v>318</v>
      </c>
      <c r="E3597" s="134">
        <v>100</v>
      </c>
      <c r="F3597" t="s">
        <v>2816</v>
      </c>
    </row>
    <row r="3598" spans="1:6" x14ac:dyDescent="0.2">
      <c r="A3598" t="s">
        <v>2814</v>
      </c>
      <c r="B3598" t="s">
        <v>2970</v>
      </c>
      <c r="C3598">
        <v>14121239</v>
      </c>
      <c r="D3598" t="s">
        <v>323</v>
      </c>
      <c r="E3598" s="134">
        <v>200</v>
      </c>
      <c r="F3598" t="s">
        <v>2816</v>
      </c>
    </row>
    <row r="3599" spans="1:6" x14ac:dyDescent="0.2">
      <c r="A3599" t="s">
        <v>2814</v>
      </c>
      <c r="B3599" t="s">
        <v>2970</v>
      </c>
      <c r="C3599">
        <v>14121398</v>
      </c>
      <c r="D3599" t="s">
        <v>327</v>
      </c>
      <c r="E3599" s="134">
        <v>400</v>
      </c>
      <c r="F3599" t="s">
        <v>2816</v>
      </c>
    </row>
    <row r="3600" spans="1:6" x14ac:dyDescent="0.2">
      <c r="A3600" t="s">
        <v>2814</v>
      </c>
      <c r="B3600" t="s">
        <v>2970</v>
      </c>
      <c r="C3600">
        <v>14121522</v>
      </c>
      <c r="D3600" t="s">
        <v>331</v>
      </c>
      <c r="E3600" s="134">
        <v>700</v>
      </c>
      <c r="F3600" t="s">
        <v>2816</v>
      </c>
    </row>
    <row r="3601" spans="1:6" x14ac:dyDescent="0.2">
      <c r="A3601" t="s">
        <v>2814</v>
      </c>
      <c r="B3601" t="s">
        <v>2970</v>
      </c>
      <c r="C3601">
        <v>14121523</v>
      </c>
      <c r="D3601" t="s">
        <v>332</v>
      </c>
      <c r="E3601" s="134">
        <v>800</v>
      </c>
      <c r="F3601" t="s">
        <v>2816</v>
      </c>
    </row>
    <row r="3602" spans="1:6" x14ac:dyDescent="0.2">
      <c r="A3602" t="s">
        <v>2814</v>
      </c>
      <c r="B3602" t="s">
        <v>2970</v>
      </c>
      <c r="C3602">
        <v>14121733</v>
      </c>
      <c r="D3602" t="s">
        <v>346</v>
      </c>
      <c r="E3602" s="134">
        <v>1100</v>
      </c>
      <c r="F3602" t="s">
        <v>2816</v>
      </c>
    </row>
    <row r="3603" spans="1:6" x14ac:dyDescent="0.2">
      <c r="A3603" t="s">
        <v>2814</v>
      </c>
      <c r="B3603" t="s">
        <v>2970</v>
      </c>
      <c r="C3603">
        <v>14121784</v>
      </c>
      <c r="D3603" t="s">
        <v>352</v>
      </c>
      <c r="E3603" s="134">
        <v>100</v>
      </c>
      <c r="F3603" t="s">
        <v>2816</v>
      </c>
    </row>
    <row r="3604" spans="1:6" x14ac:dyDescent="0.2">
      <c r="A3604" t="s">
        <v>2814</v>
      </c>
      <c r="B3604" t="s">
        <v>2970</v>
      </c>
      <c r="C3604">
        <v>14121869</v>
      </c>
      <c r="D3604" t="s">
        <v>361</v>
      </c>
      <c r="E3604" s="134">
        <v>500</v>
      </c>
      <c r="F3604" t="s">
        <v>2816</v>
      </c>
    </row>
    <row r="3605" spans="1:6" x14ac:dyDescent="0.2">
      <c r="A3605" t="s">
        <v>2814</v>
      </c>
      <c r="B3605" t="s">
        <v>2970</v>
      </c>
      <c r="C3605">
        <v>14122035</v>
      </c>
      <c r="D3605" t="s">
        <v>373</v>
      </c>
      <c r="E3605" s="134">
        <v>200</v>
      </c>
      <c r="F3605" t="s">
        <v>2816</v>
      </c>
    </row>
    <row r="3606" spans="1:6" x14ac:dyDescent="0.2">
      <c r="A3606" t="s">
        <v>2814</v>
      </c>
      <c r="B3606" t="s">
        <v>2970</v>
      </c>
      <c r="C3606">
        <v>14122067</v>
      </c>
      <c r="D3606" t="s">
        <v>374</v>
      </c>
      <c r="E3606" s="134">
        <v>300</v>
      </c>
      <c r="F3606" t="s">
        <v>2816</v>
      </c>
    </row>
    <row r="3607" spans="1:6" x14ac:dyDescent="0.2">
      <c r="A3607" t="s">
        <v>2814</v>
      </c>
      <c r="B3607" t="s">
        <v>2970</v>
      </c>
      <c r="C3607">
        <v>14122072</v>
      </c>
      <c r="D3607" t="s">
        <v>375</v>
      </c>
      <c r="E3607" s="134">
        <v>400</v>
      </c>
      <c r="F3607" t="s">
        <v>2816</v>
      </c>
    </row>
    <row r="3608" spans="1:6" x14ac:dyDescent="0.2">
      <c r="A3608" t="s">
        <v>2814</v>
      </c>
      <c r="B3608" t="s">
        <v>2970</v>
      </c>
      <c r="C3608">
        <v>14122136</v>
      </c>
      <c r="D3608" t="s">
        <v>386</v>
      </c>
      <c r="E3608" s="134">
        <v>900</v>
      </c>
      <c r="F3608" t="s">
        <v>2816</v>
      </c>
    </row>
    <row r="3609" spans="1:6" x14ac:dyDescent="0.2">
      <c r="A3609" t="s">
        <v>2814</v>
      </c>
      <c r="B3609" t="s">
        <v>2970</v>
      </c>
      <c r="C3609">
        <v>14122148</v>
      </c>
      <c r="D3609" t="s">
        <v>388</v>
      </c>
      <c r="E3609" s="134">
        <v>400</v>
      </c>
      <c r="F3609" t="s">
        <v>2816</v>
      </c>
    </row>
    <row r="3610" spans="1:6" x14ac:dyDescent="0.2">
      <c r="A3610" t="s">
        <v>2814</v>
      </c>
      <c r="B3610" t="s">
        <v>2970</v>
      </c>
      <c r="C3610">
        <v>14122158</v>
      </c>
      <c r="D3610" t="s">
        <v>390</v>
      </c>
      <c r="E3610" s="134">
        <v>200</v>
      </c>
      <c r="F3610" t="s">
        <v>2816</v>
      </c>
    </row>
    <row r="3611" spans="1:6" x14ac:dyDescent="0.2">
      <c r="A3611" t="s">
        <v>2814</v>
      </c>
      <c r="B3611" t="s">
        <v>2970</v>
      </c>
      <c r="C3611">
        <v>14122160</v>
      </c>
      <c r="D3611" t="s">
        <v>391</v>
      </c>
      <c r="E3611" s="134">
        <v>300</v>
      </c>
      <c r="F3611" t="s">
        <v>2816</v>
      </c>
    </row>
    <row r="3612" spans="1:6" x14ac:dyDescent="0.2">
      <c r="A3612" t="s">
        <v>2814</v>
      </c>
      <c r="B3612" t="s">
        <v>2970</v>
      </c>
      <c r="C3612">
        <v>14100858</v>
      </c>
      <c r="D3612" t="s">
        <v>261</v>
      </c>
      <c r="E3612" s="134">
        <v>700</v>
      </c>
      <c r="F3612" t="s">
        <v>2816</v>
      </c>
    </row>
    <row r="3613" spans="1:6" x14ac:dyDescent="0.2">
      <c r="A3613" t="s">
        <v>2814</v>
      </c>
      <c r="B3613" t="s">
        <v>2970</v>
      </c>
      <c r="C3613">
        <v>14104839</v>
      </c>
      <c r="D3613" t="s">
        <v>224</v>
      </c>
      <c r="E3613" s="134">
        <v>200</v>
      </c>
      <c r="F3613" t="s">
        <v>2816</v>
      </c>
    </row>
    <row r="3614" spans="1:6" x14ac:dyDescent="0.2">
      <c r="A3614" t="s">
        <v>2814</v>
      </c>
      <c r="B3614" t="s">
        <v>2970</v>
      </c>
      <c r="C3614">
        <v>14108828</v>
      </c>
      <c r="D3614" t="s">
        <v>225</v>
      </c>
      <c r="E3614" s="134">
        <v>200</v>
      </c>
      <c r="F3614" t="s">
        <v>2816</v>
      </c>
    </row>
    <row r="3615" spans="1:6" x14ac:dyDescent="0.2">
      <c r="A3615" t="s">
        <v>2814</v>
      </c>
      <c r="B3615" t="s">
        <v>2970</v>
      </c>
      <c r="C3615">
        <v>14111678</v>
      </c>
      <c r="D3615" t="s">
        <v>283</v>
      </c>
      <c r="E3615" s="134">
        <v>100</v>
      </c>
      <c r="F3615" t="s">
        <v>2816</v>
      </c>
    </row>
    <row r="3616" spans="1:6" x14ac:dyDescent="0.2">
      <c r="A3616" t="s">
        <v>2814</v>
      </c>
      <c r="B3616" t="s">
        <v>2970</v>
      </c>
      <c r="C3616">
        <v>14113056</v>
      </c>
      <c r="D3616" t="s">
        <v>234</v>
      </c>
      <c r="E3616" s="134">
        <v>200</v>
      </c>
      <c r="F3616" t="s">
        <v>2816</v>
      </c>
    </row>
    <row r="3617" spans="1:6" x14ac:dyDescent="0.2">
      <c r="A3617" t="s">
        <v>2814</v>
      </c>
      <c r="B3617" t="s">
        <v>2970</v>
      </c>
      <c r="C3617">
        <v>14113198</v>
      </c>
      <c r="D3617" t="s">
        <v>212</v>
      </c>
      <c r="E3617" s="134">
        <v>800</v>
      </c>
      <c r="F3617" t="s">
        <v>2816</v>
      </c>
    </row>
    <row r="3618" spans="1:6" x14ac:dyDescent="0.2">
      <c r="A3618" t="s">
        <v>2814</v>
      </c>
      <c r="B3618" t="s">
        <v>2970</v>
      </c>
      <c r="C3618">
        <v>14117509</v>
      </c>
      <c r="D3618" t="s">
        <v>235</v>
      </c>
      <c r="E3618" s="134">
        <v>400</v>
      </c>
      <c r="F3618" t="s">
        <v>2816</v>
      </c>
    </row>
    <row r="3619" spans="1:6" x14ac:dyDescent="0.2">
      <c r="A3619" t="s">
        <v>2814</v>
      </c>
      <c r="B3619" t="s">
        <v>2970</v>
      </c>
      <c r="C3619">
        <v>14118660</v>
      </c>
      <c r="D3619" t="s">
        <v>206</v>
      </c>
      <c r="E3619" s="134">
        <v>2200</v>
      </c>
      <c r="F3619" t="s">
        <v>2816</v>
      </c>
    </row>
    <row r="3620" spans="1:6" x14ac:dyDescent="0.2">
      <c r="A3620" t="s">
        <v>2814</v>
      </c>
      <c r="B3620" t="s">
        <v>2970</v>
      </c>
      <c r="C3620">
        <v>14118663</v>
      </c>
      <c r="D3620" t="s">
        <v>207</v>
      </c>
      <c r="E3620" s="134">
        <v>400</v>
      </c>
      <c r="F3620" t="s">
        <v>2816</v>
      </c>
    </row>
    <row r="3621" spans="1:6" x14ac:dyDescent="0.2">
      <c r="A3621" t="s">
        <v>2814</v>
      </c>
      <c r="B3621" t="s">
        <v>2970</v>
      </c>
      <c r="C3621">
        <v>14118892</v>
      </c>
      <c r="D3621" t="s">
        <v>219</v>
      </c>
      <c r="E3621" s="134">
        <v>100</v>
      </c>
      <c r="F3621" t="s">
        <v>2816</v>
      </c>
    </row>
    <row r="3622" spans="1:6" x14ac:dyDescent="0.2">
      <c r="A3622" t="s">
        <v>2814</v>
      </c>
      <c r="B3622" t="s">
        <v>2970</v>
      </c>
      <c r="C3622">
        <v>14119057</v>
      </c>
      <c r="D3622" t="s">
        <v>229</v>
      </c>
      <c r="E3622" s="134">
        <v>400</v>
      </c>
      <c r="F3622" t="s">
        <v>2816</v>
      </c>
    </row>
    <row r="3623" spans="1:6" x14ac:dyDescent="0.2">
      <c r="A3623" t="s">
        <v>2814</v>
      </c>
      <c r="B3623" t="s">
        <v>2970</v>
      </c>
      <c r="C3623">
        <v>14119154</v>
      </c>
      <c r="D3623" t="s">
        <v>232</v>
      </c>
      <c r="E3623" s="134">
        <v>100</v>
      </c>
      <c r="F3623" t="s">
        <v>2816</v>
      </c>
    </row>
    <row r="3624" spans="1:6" x14ac:dyDescent="0.2">
      <c r="A3624" t="s">
        <v>2814</v>
      </c>
      <c r="B3624" t="s">
        <v>2970</v>
      </c>
      <c r="C3624">
        <v>14119155</v>
      </c>
      <c r="D3624" t="s">
        <v>233</v>
      </c>
      <c r="E3624" s="134">
        <v>900</v>
      </c>
      <c r="F3624" t="s">
        <v>2816</v>
      </c>
    </row>
    <row r="3625" spans="1:6" x14ac:dyDescent="0.2">
      <c r="A3625" t="s">
        <v>2814</v>
      </c>
      <c r="B3625" t="s">
        <v>2970</v>
      </c>
      <c r="C3625">
        <v>14119175</v>
      </c>
      <c r="D3625" t="s">
        <v>236</v>
      </c>
      <c r="E3625" s="134">
        <v>100</v>
      </c>
      <c r="F3625" t="s">
        <v>2816</v>
      </c>
    </row>
    <row r="3626" spans="1:6" x14ac:dyDescent="0.2">
      <c r="A3626" t="s">
        <v>2814</v>
      </c>
      <c r="B3626" t="s">
        <v>2970</v>
      </c>
      <c r="C3626">
        <v>14119271</v>
      </c>
      <c r="D3626" t="s">
        <v>238</v>
      </c>
      <c r="E3626" s="134">
        <v>400</v>
      </c>
      <c r="F3626" t="s">
        <v>2816</v>
      </c>
    </row>
    <row r="3627" spans="1:6" x14ac:dyDescent="0.2">
      <c r="A3627" t="s">
        <v>2814</v>
      </c>
      <c r="B3627" t="s">
        <v>2970</v>
      </c>
      <c r="C3627">
        <v>14119437</v>
      </c>
      <c r="D3627" t="s">
        <v>245</v>
      </c>
      <c r="E3627" s="134">
        <v>300</v>
      </c>
      <c r="F3627" t="s">
        <v>2816</v>
      </c>
    </row>
    <row r="3628" spans="1:6" x14ac:dyDescent="0.2">
      <c r="A3628" t="s">
        <v>2814</v>
      </c>
      <c r="B3628" t="s">
        <v>2970</v>
      </c>
      <c r="C3628">
        <v>14119481</v>
      </c>
      <c r="D3628" t="s">
        <v>246</v>
      </c>
      <c r="E3628" s="134">
        <v>200</v>
      </c>
      <c r="F3628" t="s">
        <v>2816</v>
      </c>
    </row>
    <row r="3629" spans="1:6" x14ac:dyDescent="0.2">
      <c r="A3629" t="s">
        <v>2814</v>
      </c>
      <c r="B3629" t="s">
        <v>2970</v>
      </c>
      <c r="C3629">
        <v>14119482</v>
      </c>
      <c r="D3629" t="s">
        <v>247</v>
      </c>
      <c r="E3629" s="134">
        <v>1000</v>
      </c>
      <c r="F3629" t="s">
        <v>2816</v>
      </c>
    </row>
    <row r="3630" spans="1:6" x14ac:dyDescent="0.2">
      <c r="A3630" t="s">
        <v>2814</v>
      </c>
      <c r="B3630" t="s">
        <v>2970</v>
      </c>
      <c r="C3630">
        <v>14119751</v>
      </c>
      <c r="D3630" t="s">
        <v>257</v>
      </c>
      <c r="E3630" s="134">
        <v>200</v>
      </c>
      <c r="F3630" t="s">
        <v>2816</v>
      </c>
    </row>
    <row r="3631" spans="1:6" x14ac:dyDescent="0.2">
      <c r="A3631" t="s">
        <v>2814</v>
      </c>
      <c r="B3631" t="s">
        <v>2970</v>
      </c>
      <c r="C3631">
        <v>14119787</v>
      </c>
      <c r="D3631" t="s">
        <v>260</v>
      </c>
      <c r="E3631" s="134">
        <v>200</v>
      </c>
      <c r="F3631" t="s">
        <v>2816</v>
      </c>
    </row>
    <row r="3632" spans="1:6" x14ac:dyDescent="0.2">
      <c r="A3632" t="s">
        <v>2814</v>
      </c>
      <c r="B3632" t="s">
        <v>2970</v>
      </c>
      <c r="C3632">
        <v>14119825</v>
      </c>
      <c r="D3632" t="s">
        <v>262</v>
      </c>
      <c r="E3632" s="134">
        <v>200</v>
      </c>
      <c r="F3632" t="s">
        <v>2816</v>
      </c>
    </row>
    <row r="3633" spans="1:6" x14ac:dyDescent="0.2">
      <c r="A3633" t="s">
        <v>2814</v>
      </c>
      <c r="B3633" t="s">
        <v>2970</v>
      </c>
      <c r="C3633">
        <v>14119839</v>
      </c>
      <c r="D3633" t="s">
        <v>265</v>
      </c>
      <c r="E3633" s="134">
        <v>100</v>
      </c>
      <c r="F3633" t="s">
        <v>2816</v>
      </c>
    </row>
    <row r="3634" spans="1:6" x14ac:dyDescent="0.2">
      <c r="A3634" t="s">
        <v>2814</v>
      </c>
      <c r="B3634" t="s">
        <v>2970</v>
      </c>
      <c r="C3634">
        <v>14120041</v>
      </c>
      <c r="D3634" t="s">
        <v>272</v>
      </c>
      <c r="E3634" s="134">
        <v>100</v>
      </c>
      <c r="F3634" t="s">
        <v>2816</v>
      </c>
    </row>
    <row r="3635" spans="1:6" x14ac:dyDescent="0.2">
      <c r="A3635" t="s">
        <v>2814</v>
      </c>
      <c r="B3635" t="s">
        <v>2970</v>
      </c>
      <c r="C3635">
        <v>14120044</v>
      </c>
      <c r="D3635" t="s">
        <v>273</v>
      </c>
      <c r="E3635" s="134">
        <v>3000</v>
      </c>
      <c r="F3635" t="s">
        <v>2816</v>
      </c>
    </row>
    <row r="3636" spans="1:6" x14ac:dyDescent="0.2">
      <c r="A3636" t="s">
        <v>2814</v>
      </c>
      <c r="B3636" t="s">
        <v>2970</v>
      </c>
      <c r="C3636">
        <v>14120106</v>
      </c>
      <c r="D3636" t="s">
        <v>277</v>
      </c>
      <c r="E3636" s="134">
        <v>400</v>
      </c>
      <c r="F3636" t="s">
        <v>2816</v>
      </c>
    </row>
    <row r="3637" spans="1:6" x14ac:dyDescent="0.2">
      <c r="A3637" t="s">
        <v>2814</v>
      </c>
      <c r="B3637" t="s">
        <v>2970</v>
      </c>
      <c r="C3637">
        <v>14120196</v>
      </c>
      <c r="D3637" t="s">
        <v>279</v>
      </c>
      <c r="E3637" s="134">
        <v>700</v>
      </c>
      <c r="F3637" t="s">
        <v>2816</v>
      </c>
    </row>
    <row r="3638" spans="1:6" x14ac:dyDescent="0.2">
      <c r="A3638" t="s">
        <v>2814</v>
      </c>
      <c r="B3638" t="s">
        <v>2970</v>
      </c>
      <c r="C3638">
        <v>14120276</v>
      </c>
      <c r="D3638" t="s">
        <v>282</v>
      </c>
      <c r="E3638" s="134">
        <v>1600</v>
      </c>
      <c r="F3638" t="s">
        <v>2816</v>
      </c>
    </row>
    <row r="3639" spans="1:6" x14ac:dyDescent="0.2">
      <c r="A3639" t="s">
        <v>2814</v>
      </c>
      <c r="B3639" t="s">
        <v>2970</v>
      </c>
      <c r="C3639">
        <v>14109276</v>
      </c>
      <c r="D3639" t="s">
        <v>914</v>
      </c>
      <c r="E3639" s="134">
        <v>400</v>
      </c>
      <c r="F3639" t="s">
        <v>2816</v>
      </c>
    </row>
    <row r="3640" spans="1:6" x14ac:dyDescent="0.2">
      <c r="A3640" t="s">
        <v>2814</v>
      </c>
      <c r="B3640" t="s">
        <v>2970</v>
      </c>
      <c r="C3640">
        <v>14100714</v>
      </c>
      <c r="D3640" t="s">
        <v>6</v>
      </c>
      <c r="E3640" s="134">
        <v>100</v>
      </c>
      <c r="F3640" t="s">
        <v>2816</v>
      </c>
    </row>
    <row r="3641" spans="1:6" x14ac:dyDescent="0.2">
      <c r="A3641" t="s">
        <v>2814</v>
      </c>
      <c r="B3641" t="s">
        <v>2970</v>
      </c>
      <c r="C3641">
        <v>14100721</v>
      </c>
      <c r="D3641" t="s">
        <v>9</v>
      </c>
      <c r="E3641" s="134">
        <v>300</v>
      </c>
      <c r="F3641" t="s">
        <v>2816</v>
      </c>
    </row>
    <row r="3642" spans="1:6" x14ac:dyDescent="0.2">
      <c r="A3642" t="s">
        <v>2814</v>
      </c>
      <c r="B3642" t="s">
        <v>2970</v>
      </c>
      <c r="C3642">
        <v>14100724</v>
      </c>
      <c r="D3642" t="s">
        <v>10</v>
      </c>
      <c r="E3642" s="134">
        <v>700</v>
      </c>
      <c r="F3642" t="s">
        <v>2816</v>
      </c>
    </row>
    <row r="3643" spans="1:6" x14ac:dyDescent="0.2">
      <c r="A3643" t="s">
        <v>2814</v>
      </c>
      <c r="B3643" t="s">
        <v>2970</v>
      </c>
      <c r="C3643">
        <v>14100725</v>
      </c>
      <c r="D3643" t="s">
        <v>11</v>
      </c>
      <c r="E3643" s="134">
        <v>800</v>
      </c>
      <c r="F3643" t="s">
        <v>2816</v>
      </c>
    </row>
    <row r="3644" spans="1:6" x14ac:dyDescent="0.2">
      <c r="A3644" t="s">
        <v>2814</v>
      </c>
      <c r="B3644" t="s">
        <v>2970</v>
      </c>
      <c r="C3644">
        <v>14100726</v>
      </c>
      <c r="D3644" t="s">
        <v>12</v>
      </c>
      <c r="E3644" s="134">
        <v>400</v>
      </c>
      <c r="F3644" t="s">
        <v>2816</v>
      </c>
    </row>
    <row r="3645" spans="1:6" x14ac:dyDescent="0.2">
      <c r="A3645" t="s">
        <v>2814</v>
      </c>
      <c r="B3645" t="s">
        <v>2970</v>
      </c>
      <c r="C3645">
        <v>14100729</v>
      </c>
      <c r="D3645" t="s">
        <v>14</v>
      </c>
      <c r="E3645" s="134">
        <v>800</v>
      </c>
      <c r="F3645" t="s">
        <v>2816</v>
      </c>
    </row>
    <row r="3646" spans="1:6" x14ac:dyDescent="0.2">
      <c r="A3646" t="s">
        <v>2814</v>
      </c>
      <c r="B3646" t="s">
        <v>2970</v>
      </c>
      <c r="C3646">
        <v>14100731</v>
      </c>
      <c r="D3646" t="s">
        <v>15</v>
      </c>
      <c r="E3646" s="134">
        <v>400</v>
      </c>
      <c r="F3646" t="s">
        <v>2816</v>
      </c>
    </row>
    <row r="3647" spans="1:6" x14ac:dyDescent="0.2">
      <c r="A3647" t="s">
        <v>2814</v>
      </c>
      <c r="B3647" t="s">
        <v>2970</v>
      </c>
      <c r="C3647">
        <v>14100733</v>
      </c>
      <c r="D3647" t="s">
        <v>17</v>
      </c>
      <c r="E3647" s="134">
        <v>500</v>
      </c>
      <c r="F3647" t="s">
        <v>2816</v>
      </c>
    </row>
    <row r="3648" spans="1:6" x14ac:dyDescent="0.2">
      <c r="A3648" t="s">
        <v>2814</v>
      </c>
      <c r="B3648" t="s">
        <v>2970</v>
      </c>
      <c r="C3648">
        <v>14100740</v>
      </c>
      <c r="D3648" t="s">
        <v>18</v>
      </c>
      <c r="E3648" s="134">
        <v>500</v>
      </c>
      <c r="F3648" t="s">
        <v>2816</v>
      </c>
    </row>
    <row r="3649" spans="1:6" x14ac:dyDescent="0.2">
      <c r="A3649" t="s">
        <v>2814</v>
      </c>
      <c r="B3649" t="s">
        <v>2970</v>
      </c>
      <c r="C3649">
        <v>14100798</v>
      </c>
      <c r="D3649" t="s">
        <v>22</v>
      </c>
      <c r="E3649" s="134">
        <v>400</v>
      </c>
      <c r="F3649" t="s">
        <v>2816</v>
      </c>
    </row>
    <row r="3650" spans="1:6" x14ac:dyDescent="0.2">
      <c r="A3650" t="s">
        <v>2814</v>
      </c>
      <c r="B3650" t="s">
        <v>2970</v>
      </c>
      <c r="C3650">
        <v>14100807</v>
      </c>
      <c r="D3650" t="s">
        <v>23</v>
      </c>
      <c r="E3650" s="134">
        <v>700</v>
      </c>
      <c r="F3650" t="s">
        <v>2816</v>
      </c>
    </row>
    <row r="3651" spans="1:6" x14ac:dyDescent="0.2">
      <c r="A3651" t="s">
        <v>2814</v>
      </c>
      <c r="B3651" t="s">
        <v>2970</v>
      </c>
      <c r="C3651">
        <v>14100842</v>
      </c>
      <c r="D3651" t="s">
        <v>24</v>
      </c>
      <c r="E3651" s="134">
        <v>100</v>
      </c>
      <c r="F3651" t="s">
        <v>2816</v>
      </c>
    </row>
    <row r="3652" spans="1:6" x14ac:dyDescent="0.2">
      <c r="A3652" t="s">
        <v>2814</v>
      </c>
      <c r="B3652" t="s">
        <v>2970</v>
      </c>
      <c r="C3652">
        <v>14100863</v>
      </c>
      <c r="D3652" t="s">
        <v>25</v>
      </c>
      <c r="E3652" s="134">
        <v>200</v>
      </c>
      <c r="F3652" t="s">
        <v>2816</v>
      </c>
    </row>
    <row r="3653" spans="1:6" x14ac:dyDescent="0.2">
      <c r="A3653" t="s">
        <v>2814</v>
      </c>
      <c r="B3653" t="s">
        <v>2970</v>
      </c>
      <c r="C3653">
        <v>14100902</v>
      </c>
      <c r="D3653" t="s">
        <v>347</v>
      </c>
      <c r="E3653" s="134">
        <v>200</v>
      </c>
      <c r="F3653" t="s">
        <v>2816</v>
      </c>
    </row>
    <row r="3654" spans="1:6" x14ac:dyDescent="0.2">
      <c r="A3654" t="s">
        <v>2814</v>
      </c>
      <c r="B3654" t="s">
        <v>2970</v>
      </c>
      <c r="C3654">
        <v>14102730</v>
      </c>
      <c r="D3654" t="s">
        <v>31</v>
      </c>
      <c r="E3654" s="134">
        <v>100</v>
      </c>
      <c r="F3654" t="s">
        <v>2816</v>
      </c>
    </row>
    <row r="3655" spans="1:6" x14ac:dyDescent="0.2">
      <c r="A3655" t="s">
        <v>2814</v>
      </c>
      <c r="B3655" t="s">
        <v>2970</v>
      </c>
      <c r="C3655">
        <v>14103106</v>
      </c>
      <c r="D3655" t="s">
        <v>34</v>
      </c>
      <c r="E3655" s="134">
        <v>100</v>
      </c>
      <c r="F3655" t="s">
        <v>2816</v>
      </c>
    </row>
    <row r="3656" spans="1:6" x14ac:dyDescent="0.2">
      <c r="A3656" t="s">
        <v>2814</v>
      </c>
      <c r="B3656" t="s">
        <v>2970</v>
      </c>
      <c r="C3656">
        <v>14103335</v>
      </c>
      <c r="D3656" t="s">
        <v>36</v>
      </c>
      <c r="E3656" s="134">
        <v>600</v>
      </c>
      <c r="F3656" t="s">
        <v>2816</v>
      </c>
    </row>
    <row r="3657" spans="1:6" x14ac:dyDescent="0.2">
      <c r="A3657" t="s">
        <v>2814</v>
      </c>
      <c r="B3657" t="s">
        <v>2970</v>
      </c>
      <c r="C3657">
        <v>14103679</v>
      </c>
      <c r="D3657" t="s">
        <v>37</v>
      </c>
      <c r="E3657" s="134">
        <v>1100</v>
      </c>
      <c r="F3657" t="s">
        <v>2816</v>
      </c>
    </row>
    <row r="3658" spans="1:6" x14ac:dyDescent="0.2">
      <c r="A3658" t="s">
        <v>2814</v>
      </c>
      <c r="B3658" t="s">
        <v>2970</v>
      </c>
      <c r="C3658">
        <v>14103952</v>
      </c>
      <c r="D3658" t="s">
        <v>38</v>
      </c>
      <c r="E3658" s="134">
        <v>400</v>
      </c>
      <c r="F3658" t="s">
        <v>2816</v>
      </c>
    </row>
    <row r="3659" spans="1:6" x14ac:dyDescent="0.2">
      <c r="A3659" t="s">
        <v>2814</v>
      </c>
      <c r="B3659" t="s">
        <v>2970</v>
      </c>
      <c r="C3659">
        <v>14104316</v>
      </c>
      <c r="D3659" t="s">
        <v>39</v>
      </c>
      <c r="E3659" s="134">
        <v>300</v>
      </c>
      <c r="F3659" t="s">
        <v>2816</v>
      </c>
    </row>
    <row r="3660" spans="1:6" x14ac:dyDescent="0.2">
      <c r="A3660" t="s">
        <v>2814</v>
      </c>
      <c r="B3660" t="s">
        <v>2970</v>
      </c>
      <c r="C3660">
        <v>14104599</v>
      </c>
      <c r="D3660" t="s">
        <v>40</v>
      </c>
      <c r="E3660" s="134">
        <v>100</v>
      </c>
      <c r="F3660" t="s">
        <v>2816</v>
      </c>
    </row>
    <row r="3661" spans="1:6" x14ac:dyDescent="0.2">
      <c r="A3661" t="s">
        <v>2814</v>
      </c>
      <c r="B3661" t="s">
        <v>2970</v>
      </c>
      <c r="C3661">
        <v>14105437</v>
      </c>
      <c r="D3661" t="s">
        <v>44</v>
      </c>
      <c r="E3661" s="134">
        <v>1400</v>
      </c>
      <c r="F3661" t="s">
        <v>2816</v>
      </c>
    </row>
    <row r="3662" spans="1:6" x14ac:dyDescent="0.2">
      <c r="A3662" t="s">
        <v>2814</v>
      </c>
      <c r="B3662" t="s">
        <v>2970</v>
      </c>
      <c r="C3662">
        <v>14105645</v>
      </c>
      <c r="D3662" t="s">
        <v>160</v>
      </c>
      <c r="E3662" s="134">
        <v>200</v>
      </c>
      <c r="F3662" t="s">
        <v>2816</v>
      </c>
    </row>
    <row r="3663" spans="1:6" x14ac:dyDescent="0.2">
      <c r="A3663" t="s">
        <v>2814</v>
      </c>
      <c r="B3663" t="s">
        <v>2970</v>
      </c>
      <c r="C3663">
        <v>14106033</v>
      </c>
      <c r="D3663" t="s">
        <v>47</v>
      </c>
      <c r="E3663" s="134">
        <v>100</v>
      </c>
      <c r="F3663" t="s">
        <v>2816</v>
      </c>
    </row>
    <row r="3664" spans="1:6" x14ac:dyDescent="0.2">
      <c r="A3664" t="s">
        <v>2814</v>
      </c>
      <c r="B3664" t="s">
        <v>2970</v>
      </c>
      <c r="C3664">
        <v>14106233</v>
      </c>
      <c r="D3664" t="s">
        <v>340</v>
      </c>
      <c r="E3664" s="134">
        <v>100</v>
      </c>
      <c r="F3664" t="s">
        <v>2816</v>
      </c>
    </row>
    <row r="3665" spans="1:6" x14ac:dyDescent="0.2">
      <c r="A3665" t="s">
        <v>2814</v>
      </c>
      <c r="B3665" t="s">
        <v>2970</v>
      </c>
      <c r="C3665">
        <v>14106368</v>
      </c>
      <c r="D3665" t="s">
        <v>50</v>
      </c>
      <c r="E3665" s="134">
        <v>400</v>
      </c>
      <c r="F3665" t="s">
        <v>2816</v>
      </c>
    </row>
    <row r="3666" spans="1:6" x14ac:dyDescent="0.2">
      <c r="A3666" t="s">
        <v>2814</v>
      </c>
      <c r="B3666" t="s">
        <v>2970</v>
      </c>
      <c r="C3666">
        <v>14107202</v>
      </c>
      <c r="D3666" t="s">
        <v>57</v>
      </c>
      <c r="E3666" s="134">
        <v>400</v>
      </c>
      <c r="F3666" t="s">
        <v>2816</v>
      </c>
    </row>
    <row r="3667" spans="1:6" x14ac:dyDescent="0.2">
      <c r="A3667" t="s">
        <v>2814</v>
      </c>
      <c r="B3667" t="s">
        <v>2970</v>
      </c>
      <c r="C3667">
        <v>14107206</v>
      </c>
      <c r="D3667" t="s">
        <v>58</v>
      </c>
      <c r="E3667" s="134">
        <v>3700</v>
      </c>
      <c r="F3667" t="s">
        <v>2816</v>
      </c>
    </row>
    <row r="3668" spans="1:6" x14ac:dyDescent="0.2">
      <c r="A3668" t="s">
        <v>2814</v>
      </c>
      <c r="B3668" t="s">
        <v>2970</v>
      </c>
      <c r="C3668">
        <v>14107293</v>
      </c>
      <c r="D3668" t="s">
        <v>191</v>
      </c>
      <c r="E3668" s="134">
        <v>100</v>
      </c>
      <c r="F3668" t="s">
        <v>2816</v>
      </c>
    </row>
    <row r="3669" spans="1:6" x14ac:dyDescent="0.2">
      <c r="A3669" t="s">
        <v>2814</v>
      </c>
      <c r="B3669" t="s">
        <v>2970</v>
      </c>
      <c r="C3669">
        <v>14107393</v>
      </c>
      <c r="D3669" t="s">
        <v>61</v>
      </c>
      <c r="E3669" s="134">
        <v>200</v>
      </c>
      <c r="F3669" t="s">
        <v>2816</v>
      </c>
    </row>
    <row r="3670" spans="1:6" x14ac:dyDescent="0.2">
      <c r="A3670" t="s">
        <v>2814</v>
      </c>
      <c r="B3670" t="s">
        <v>2970</v>
      </c>
      <c r="C3670">
        <v>14107484</v>
      </c>
      <c r="D3670" t="s">
        <v>62</v>
      </c>
      <c r="E3670" s="134">
        <v>300</v>
      </c>
      <c r="F3670" t="s">
        <v>2816</v>
      </c>
    </row>
    <row r="3671" spans="1:6" x14ac:dyDescent="0.2">
      <c r="A3671" t="s">
        <v>2814</v>
      </c>
      <c r="B3671" t="s">
        <v>2970</v>
      </c>
      <c r="C3671">
        <v>14107967</v>
      </c>
      <c r="D3671" t="s">
        <v>67</v>
      </c>
      <c r="E3671" s="134">
        <v>200</v>
      </c>
      <c r="F3671" t="s">
        <v>2816</v>
      </c>
    </row>
    <row r="3672" spans="1:6" x14ac:dyDescent="0.2">
      <c r="A3672" t="s">
        <v>2814</v>
      </c>
      <c r="B3672" t="s">
        <v>2970</v>
      </c>
      <c r="C3672">
        <v>14107978</v>
      </c>
      <c r="D3672" t="s">
        <v>68</v>
      </c>
      <c r="E3672" s="134">
        <v>700</v>
      </c>
      <c r="F3672" t="s">
        <v>2816</v>
      </c>
    </row>
    <row r="3673" spans="1:6" x14ac:dyDescent="0.2">
      <c r="A3673" t="s">
        <v>2814</v>
      </c>
      <c r="B3673" t="s">
        <v>2970</v>
      </c>
      <c r="C3673">
        <v>14108111</v>
      </c>
      <c r="D3673" t="s">
        <v>69</v>
      </c>
      <c r="E3673" s="134">
        <v>900</v>
      </c>
      <c r="F3673" t="s">
        <v>2816</v>
      </c>
    </row>
    <row r="3674" spans="1:6" x14ac:dyDescent="0.2">
      <c r="A3674" t="s">
        <v>2814</v>
      </c>
      <c r="B3674" t="s">
        <v>2970</v>
      </c>
      <c r="C3674">
        <v>14108150</v>
      </c>
      <c r="D3674" t="s">
        <v>70</v>
      </c>
      <c r="E3674" s="134">
        <v>300</v>
      </c>
      <c r="F3674" t="s">
        <v>2816</v>
      </c>
    </row>
    <row r="3675" spans="1:6" x14ac:dyDescent="0.2">
      <c r="A3675" t="s">
        <v>2814</v>
      </c>
      <c r="B3675" t="s">
        <v>2970</v>
      </c>
      <c r="C3675">
        <v>14108222</v>
      </c>
      <c r="D3675" t="s">
        <v>71</v>
      </c>
      <c r="E3675" s="134">
        <v>200</v>
      </c>
      <c r="F3675" t="s">
        <v>2816</v>
      </c>
    </row>
    <row r="3676" spans="1:6" x14ac:dyDescent="0.2">
      <c r="A3676" t="s">
        <v>2814</v>
      </c>
      <c r="B3676" t="s">
        <v>2970</v>
      </c>
      <c r="C3676">
        <v>14108271</v>
      </c>
      <c r="D3676" t="s">
        <v>73</v>
      </c>
      <c r="E3676" s="134">
        <v>100</v>
      </c>
      <c r="F3676" t="s">
        <v>2816</v>
      </c>
    </row>
    <row r="3677" spans="1:6" x14ac:dyDescent="0.2">
      <c r="A3677" t="s">
        <v>2814</v>
      </c>
      <c r="B3677" t="s">
        <v>2970</v>
      </c>
      <c r="C3677">
        <v>14108916</v>
      </c>
      <c r="D3677" t="s">
        <v>79</v>
      </c>
      <c r="E3677" s="134">
        <v>100</v>
      </c>
      <c r="F3677" t="s">
        <v>2816</v>
      </c>
    </row>
    <row r="3678" spans="1:6" x14ac:dyDescent="0.2">
      <c r="A3678" t="s">
        <v>2814</v>
      </c>
      <c r="B3678" t="s">
        <v>2970</v>
      </c>
      <c r="C3678">
        <v>14109097</v>
      </c>
      <c r="D3678" t="s">
        <v>81</v>
      </c>
      <c r="E3678" s="134">
        <v>200</v>
      </c>
      <c r="F3678" t="s">
        <v>2816</v>
      </c>
    </row>
    <row r="3679" spans="1:6" x14ac:dyDescent="0.2">
      <c r="A3679" t="s">
        <v>2814</v>
      </c>
      <c r="B3679" t="s">
        <v>2970</v>
      </c>
      <c r="C3679">
        <v>14109131</v>
      </c>
      <c r="D3679" t="s">
        <v>82</v>
      </c>
      <c r="E3679" s="134">
        <v>100</v>
      </c>
      <c r="F3679" t="s">
        <v>2816</v>
      </c>
    </row>
    <row r="3680" spans="1:6" x14ac:dyDescent="0.2">
      <c r="A3680" t="s">
        <v>2814</v>
      </c>
      <c r="B3680" t="s">
        <v>2970</v>
      </c>
      <c r="C3680">
        <v>14109133</v>
      </c>
      <c r="D3680" t="s">
        <v>83</v>
      </c>
      <c r="E3680" s="134">
        <v>100</v>
      </c>
      <c r="F3680" t="s">
        <v>2816</v>
      </c>
    </row>
    <row r="3681" spans="1:6" x14ac:dyDescent="0.2">
      <c r="A3681" t="s">
        <v>2814</v>
      </c>
      <c r="B3681" t="s">
        <v>2970</v>
      </c>
      <c r="C3681">
        <v>14109134</v>
      </c>
      <c r="D3681" t="s">
        <v>84</v>
      </c>
      <c r="E3681" s="134">
        <v>200</v>
      </c>
      <c r="F3681" t="s">
        <v>2816</v>
      </c>
    </row>
    <row r="3682" spans="1:6" x14ac:dyDescent="0.2">
      <c r="A3682" t="s">
        <v>2814</v>
      </c>
      <c r="B3682" t="s">
        <v>2970</v>
      </c>
      <c r="C3682">
        <v>14109408</v>
      </c>
      <c r="D3682" t="s">
        <v>86</v>
      </c>
      <c r="E3682" s="134">
        <v>200</v>
      </c>
      <c r="F3682" t="s">
        <v>2816</v>
      </c>
    </row>
    <row r="3683" spans="1:6" x14ac:dyDescent="0.2">
      <c r="A3683" t="s">
        <v>2814</v>
      </c>
      <c r="B3683" t="s">
        <v>2970</v>
      </c>
      <c r="C3683">
        <v>14109436</v>
      </c>
      <c r="D3683" t="s">
        <v>364</v>
      </c>
      <c r="E3683" s="134">
        <v>400</v>
      </c>
      <c r="F3683" t="s">
        <v>2816</v>
      </c>
    </row>
    <row r="3684" spans="1:6" x14ac:dyDescent="0.2">
      <c r="A3684" t="s">
        <v>2814</v>
      </c>
      <c r="B3684" t="s">
        <v>2970</v>
      </c>
      <c r="C3684">
        <v>14109674</v>
      </c>
      <c r="D3684" t="s">
        <v>90</v>
      </c>
      <c r="E3684" s="134">
        <v>300</v>
      </c>
      <c r="F3684" t="s">
        <v>2816</v>
      </c>
    </row>
    <row r="3685" spans="1:6" x14ac:dyDescent="0.2">
      <c r="A3685" t="s">
        <v>2814</v>
      </c>
      <c r="B3685" t="s">
        <v>2970</v>
      </c>
      <c r="C3685">
        <v>14109808</v>
      </c>
      <c r="D3685" t="s">
        <v>96</v>
      </c>
      <c r="E3685" s="134">
        <v>200</v>
      </c>
      <c r="F3685" t="s">
        <v>2816</v>
      </c>
    </row>
    <row r="3686" spans="1:6" x14ac:dyDescent="0.2">
      <c r="A3686" t="s">
        <v>2814</v>
      </c>
      <c r="B3686" t="s">
        <v>2970</v>
      </c>
      <c r="C3686">
        <v>14110039</v>
      </c>
      <c r="D3686" t="s">
        <v>98</v>
      </c>
      <c r="E3686" s="134">
        <v>900</v>
      </c>
      <c r="F3686" t="s">
        <v>2816</v>
      </c>
    </row>
    <row r="3687" spans="1:6" x14ac:dyDescent="0.2">
      <c r="A3687" t="s">
        <v>2814</v>
      </c>
      <c r="B3687" t="s">
        <v>2970</v>
      </c>
      <c r="C3687">
        <v>14110761</v>
      </c>
      <c r="D3687" t="s">
        <v>104</v>
      </c>
      <c r="E3687" s="134">
        <v>1200</v>
      </c>
      <c r="F3687" t="s">
        <v>2816</v>
      </c>
    </row>
    <row r="3688" spans="1:6" x14ac:dyDescent="0.2">
      <c r="A3688" t="s">
        <v>2814</v>
      </c>
      <c r="B3688" t="s">
        <v>2970</v>
      </c>
      <c r="C3688">
        <v>14110929</v>
      </c>
      <c r="D3688" t="s">
        <v>179</v>
      </c>
      <c r="E3688" s="134">
        <v>100</v>
      </c>
      <c r="F3688" t="s">
        <v>2816</v>
      </c>
    </row>
    <row r="3689" spans="1:6" x14ac:dyDescent="0.2">
      <c r="A3689" t="s">
        <v>2814</v>
      </c>
      <c r="B3689" t="s">
        <v>2970</v>
      </c>
      <c r="C3689">
        <v>14110973</v>
      </c>
      <c r="D3689" t="s">
        <v>106</v>
      </c>
      <c r="E3689" s="134">
        <v>200</v>
      </c>
      <c r="F3689" t="s">
        <v>2816</v>
      </c>
    </row>
    <row r="3690" spans="1:6" x14ac:dyDescent="0.2">
      <c r="A3690" t="s">
        <v>2814</v>
      </c>
      <c r="B3690" t="s">
        <v>2970</v>
      </c>
      <c r="C3690">
        <v>14111143</v>
      </c>
      <c r="D3690" t="s">
        <v>109</v>
      </c>
      <c r="E3690" s="134">
        <v>100</v>
      </c>
      <c r="F3690" t="s">
        <v>2816</v>
      </c>
    </row>
    <row r="3691" spans="1:6" x14ac:dyDescent="0.2">
      <c r="A3691" t="s">
        <v>2814</v>
      </c>
      <c r="B3691" t="s">
        <v>2970</v>
      </c>
      <c r="C3691">
        <v>14111754</v>
      </c>
      <c r="D3691" t="s">
        <v>311</v>
      </c>
      <c r="E3691" s="134">
        <v>600</v>
      </c>
      <c r="F3691" t="s">
        <v>2816</v>
      </c>
    </row>
    <row r="3692" spans="1:6" x14ac:dyDescent="0.2">
      <c r="A3692" t="s">
        <v>2814</v>
      </c>
      <c r="B3692" t="s">
        <v>2970</v>
      </c>
      <c r="C3692">
        <v>14112026</v>
      </c>
      <c r="D3692" t="s">
        <v>113</v>
      </c>
      <c r="E3692" s="134">
        <v>300</v>
      </c>
      <c r="F3692" t="s">
        <v>2816</v>
      </c>
    </row>
    <row r="3693" spans="1:6" x14ac:dyDescent="0.2">
      <c r="A3693" t="s">
        <v>2814</v>
      </c>
      <c r="B3693" t="s">
        <v>2970</v>
      </c>
      <c r="C3693">
        <v>14112292</v>
      </c>
      <c r="D3693" t="s">
        <v>190</v>
      </c>
      <c r="E3693" s="134">
        <v>200</v>
      </c>
      <c r="F3693" t="s">
        <v>2816</v>
      </c>
    </row>
    <row r="3694" spans="1:6" x14ac:dyDescent="0.2">
      <c r="A3694" t="s">
        <v>2814</v>
      </c>
      <c r="B3694" t="s">
        <v>2970</v>
      </c>
      <c r="C3694">
        <v>14112449</v>
      </c>
      <c r="D3694" t="s">
        <v>192</v>
      </c>
      <c r="E3694" s="134">
        <v>700</v>
      </c>
      <c r="F3694" t="s">
        <v>2816</v>
      </c>
    </row>
    <row r="3695" spans="1:6" x14ac:dyDescent="0.2">
      <c r="A3695" t="s">
        <v>2814</v>
      </c>
      <c r="B3695" t="s">
        <v>2970</v>
      </c>
      <c r="C3695">
        <v>14112591</v>
      </c>
      <c r="D3695" t="s">
        <v>115</v>
      </c>
      <c r="E3695" s="134">
        <v>100</v>
      </c>
      <c r="F3695" t="s">
        <v>2816</v>
      </c>
    </row>
    <row r="3696" spans="1:6" x14ac:dyDescent="0.2">
      <c r="A3696" t="s">
        <v>2814</v>
      </c>
      <c r="B3696" t="s">
        <v>2970</v>
      </c>
      <c r="C3696">
        <v>14112592</v>
      </c>
      <c r="D3696" t="s">
        <v>116</v>
      </c>
      <c r="E3696" s="134">
        <v>100</v>
      </c>
      <c r="F3696" t="s">
        <v>2816</v>
      </c>
    </row>
    <row r="3697" spans="1:6" x14ac:dyDescent="0.2">
      <c r="A3697" t="s">
        <v>2814</v>
      </c>
      <c r="B3697" t="s">
        <v>2970</v>
      </c>
      <c r="C3697">
        <v>14112597</v>
      </c>
      <c r="D3697" t="s">
        <v>117</v>
      </c>
      <c r="E3697" s="134">
        <v>800</v>
      </c>
      <c r="F3697" t="s">
        <v>2816</v>
      </c>
    </row>
    <row r="3698" spans="1:6" x14ac:dyDescent="0.2">
      <c r="A3698" t="s">
        <v>2814</v>
      </c>
      <c r="B3698" t="s">
        <v>2970</v>
      </c>
      <c r="C3698">
        <v>14112605</v>
      </c>
      <c r="D3698" t="s">
        <v>120</v>
      </c>
      <c r="E3698" s="134">
        <v>1000</v>
      </c>
      <c r="F3698" t="s">
        <v>2816</v>
      </c>
    </row>
    <row r="3699" spans="1:6" x14ac:dyDescent="0.2">
      <c r="A3699" t="s">
        <v>2814</v>
      </c>
      <c r="B3699" t="s">
        <v>2970</v>
      </c>
      <c r="C3699">
        <v>14112757</v>
      </c>
      <c r="D3699" t="s">
        <v>348</v>
      </c>
      <c r="E3699" s="134">
        <v>1300</v>
      </c>
      <c r="F3699" t="s">
        <v>2816</v>
      </c>
    </row>
    <row r="3700" spans="1:6" x14ac:dyDescent="0.2">
      <c r="A3700" t="s">
        <v>2814</v>
      </c>
      <c r="B3700" t="s">
        <v>2970</v>
      </c>
      <c r="C3700">
        <v>14113200</v>
      </c>
      <c r="D3700" t="s">
        <v>125</v>
      </c>
      <c r="E3700" s="134">
        <v>700</v>
      </c>
      <c r="F3700" t="s">
        <v>2816</v>
      </c>
    </row>
    <row r="3701" spans="1:6" x14ac:dyDescent="0.2">
      <c r="A3701" t="s">
        <v>2814</v>
      </c>
      <c r="B3701" t="s">
        <v>2970</v>
      </c>
      <c r="C3701">
        <v>14113837</v>
      </c>
      <c r="D3701" t="s">
        <v>131</v>
      </c>
      <c r="E3701" s="134">
        <v>100</v>
      </c>
      <c r="F3701" t="s">
        <v>2816</v>
      </c>
    </row>
    <row r="3702" spans="1:6" x14ac:dyDescent="0.2">
      <c r="A3702" t="s">
        <v>2814</v>
      </c>
      <c r="B3702" t="s">
        <v>2970</v>
      </c>
      <c r="C3702">
        <v>14114062</v>
      </c>
      <c r="D3702" t="s">
        <v>133</v>
      </c>
      <c r="E3702" s="134">
        <v>600</v>
      </c>
      <c r="F3702" t="s">
        <v>2816</v>
      </c>
    </row>
    <row r="3703" spans="1:6" x14ac:dyDescent="0.2">
      <c r="A3703" t="s">
        <v>2814</v>
      </c>
      <c r="B3703" t="s">
        <v>2970</v>
      </c>
      <c r="C3703">
        <v>14115136</v>
      </c>
      <c r="D3703" t="s">
        <v>140</v>
      </c>
      <c r="E3703" s="134">
        <v>1100</v>
      </c>
      <c r="F3703" t="s">
        <v>2816</v>
      </c>
    </row>
    <row r="3704" spans="1:6" x14ac:dyDescent="0.2">
      <c r="A3704" t="s">
        <v>2814</v>
      </c>
      <c r="B3704" t="s">
        <v>2970</v>
      </c>
      <c r="C3704">
        <v>14115917</v>
      </c>
      <c r="D3704" t="s">
        <v>151</v>
      </c>
      <c r="E3704" s="134">
        <v>100</v>
      </c>
      <c r="F3704" t="s">
        <v>2816</v>
      </c>
    </row>
    <row r="3705" spans="1:6" x14ac:dyDescent="0.2">
      <c r="A3705" t="s">
        <v>2814</v>
      </c>
      <c r="B3705" t="s">
        <v>2970</v>
      </c>
      <c r="C3705">
        <v>14116000</v>
      </c>
      <c r="D3705" t="s">
        <v>152</v>
      </c>
      <c r="E3705" s="134">
        <v>100</v>
      </c>
      <c r="F3705" t="s">
        <v>2816</v>
      </c>
    </row>
    <row r="3706" spans="1:6" x14ac:dyDescent="0.2">
      <c r="A3706" t="s">
        <v>2814</v>
      </c>
      <c r="B3706" t="s">
        <v>2970</v>
      </c>
      <c r="C3706">
        <v>14116431</v>
      </c>
      <c r="D3706" t="s">
        <v>162</v>
      </c>
      <c r="E3706" s="134">
        <v>400</v>
      </c>
      <c r="F3706" t="s">
        <v>2816</v>
      </c>
    </row>
    <row r="3707" spans="1:6" x14ac:dyDescent="0.2">
      <c r="A3707" t="s">
        <v>2814</v>
      </c>
      <c r="B3707" t="s">
        <v>2970</v>
      </c>
      <c r="C3707">
        <v>14116564</v>
      </c>
      <c r="D3707" t="s">
        <v>166</v>
      </c>
      <c r="E3707" s="134">
        <v>600</v>
      </c>
      <c r="F3707" t="s">
        <v>2816</v>
      </c>
    </row>
    <row r="3708" spans="1:6" x14ac:dyDescent="0.2">
      <c r="A3708" t="s">
        <v>2814</v>
      </c>
      <c r="B3708" t="s">
        <v>2970</v>
      </c>
      <c r="C3708">
        <v>14116917</v>
      </c>
      <c r="D3708" t="s">
        <v>171</v>
      </c>
      <c r="E3708" s="134">
        <v>200</v>
      </c>
      <c r="F3708" t="s">
        <v>2816</v>
      </c>
    </row>
    <row r="3709" spans="1:6" x14ac:dyDescent="0.2">
      <c r="A3709" t="s">
        <v>2814</v>
      </c>
      <c r="B3709" t="s">
        <v>2970</v>
      </c>
      <c r="C3709">
        <v>14117297</v>
      </c>
      <c r="D3709" t="s">
        <v>174</v>
      </c>
      <c r="E3709" s="134">
        <v>700</v>
      </c>
      <c r="F3709" t="s">
        <v>2816</v>
      </c>
    </row>
    <row r="3710" spans="1:6" x14ac:dyDescent="0.2">
      <c r="A3710" t="s">
        <v>2814</v>
      </c>
      <c r="B3710" t="s">
        <v>2970</v>
      </c>
      <c r="C3710">
        <v>14117967</v>
      </c>
      <c r="D3710" t="s">
        <v>182</v>
      </c>
      <c r="E3710" s="134">
        <v>700</v>
      </c>
      <c r="F3710" t="s">
        <v>2816</v>
      </c>
    </row>
    <row r="3711" spans="1:6" x14ac:dyDescent="0.2">
      <c r="A3711" t="s">
        <v>2814</v>
      </c>
      <c r="B3711" t="s">
        <v>2970</v>
      </c>
      <c r="C3711">
        <v>14118397</v>
      </c>
      <c r="D3711" t="s">
        <v>196</v>
      </c>
      <c r="E3711" s="134">
        <v>300</v>
      </c>
      <c r="F3711" t="s">
        <v>2816</v>
      </c>
    </row>
    <row r="3712" spans="1:6" x14ac:dyDescent="0.2">
      <c r="A3712" t="s">
        <v>2814</v>
      </c>
      <c r="B3712" t="s">
        <v>2970</v>
      </c>
      <c r="C3712">
        <v>14118440</v>
      </c>
      <c r="D3712" t="s">
        <v>197</v>
      </c>
      <c r="E3712" s="134">
        <v>200</v>
      </c>
      <c r="F3712" t="s">
        <v>2816</v>
      </c>
    </row>
    <row r="3713" spans="1:6" x14ac:dyDescent="0.2">
      <c r="A3713" t="s">
        <v>2814</v>
      </c>
      <c r="B3713" t="s">
        <v>2970</v>
      </c>
      <c r="C3713">
        <v>14121571</v>
      </c>
      <c r="D3713" t="s">
        <v>336</v>
      </c>
      <c r="E3713" s="134">
        <v>800</v>
      </c>
      <c r="F3713" t="s">
        <v>2816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9BC0-2AF3-48DC-BE5E-E30AE9F54334}">
  <dimension ref="A1:I598"/>
  <sheetViews>
    <sheetView topLeftCell="A49" workbookViewId="0">
      <selection activeCell="A64" sqref="A64"/>
    </sheetView>
  </sheetViews>
  <sheetFormatPr baseColWidth="10" defaultRowHeight="15" x14ac:dyDescent="0.25"/>
  <cols>
    <col min="1" max="1" width="11.42578125" style="106"/>
    <col min="2" max="2" width="56.5703125" style="106" customWidth="1"/>
    <col min="3" max="4" width="22.42578125" style="107" customWidth="1"/>
    <col min="5" max="5" width="22.5703125" style="1" customWidth="1"/>
    <col min="6" max="7" width="22.5703125" customWidth="1"/>
    <col min="8" max="8" width="22.5703125" style="57" customWidth="1"/>
  </cols>
  <sheetData>
    <row r="1" spans="1:8" x14ac:dyDescent="0.25">
      <c r="E1"/>
    </row>
    <row r="2" spans="1:8" ht="31.5" x14ac:dyDescent="0.2">
      <c r="A2" s="37" t="s">
        <v>553</v>
      </c>
      <c r="B2" s="37" t="s">
        <v>554</v>
      </c>
      <c r="C2" s="37" t="s">
        <v>555</v>
      </c>
      <c r="D2" s="37" t="s">
        <v>556</v>
      </c>
      <c r="E2" s="37" t="s">
        <v>916</v>
      </c>
      <c r="F2" s="37" t="s">
        <v>917</v>
      </c>
      <c r="G2" s="37" t="s">
        <v>918</v>
      </c>
      <c r="H2" s="58" t="s">
        <v>919</v>
      </c>
    </row>
    <row r="3" spans="1:8" ht="17.25" x14ac:dyDescent="0.3">
      <c r="A3" s="39">
        <v>14100714</v>
      </c>
      <c r="B3" s="40" t="s">
        <v>6</v>
      </c>
      <c r="C3" s="41" t="s">
        <v>566</v>
      </c>
      <c r="D3" s="41" t="s">
        <v>3</v>
      </c>
      <c r="E3" s="59">
        <v>3.5126733541666666</v>
      </c>
      <c r="F3" s="59">
        <v>3.5967004999999994</v>
      </c>
      <c r="G3" s="60">
        <v>355.58</v>
      </c>
      <c r="H3" s="61"/>
    </row>
    <row r="4" spans="1:8" ht="17.25" x14ac:dyDescent="0.3">
      <c r="A4" s="39">
        <v>14100718</v>
      </c>
      <c r="B4" s="40" t="s">
        <v>8</v>
      </c>
      <c r="C4" s="41" t="s">
        <v>570</v>
      </c>
      <c r="D4" s="41" t="s">
        <v>3</v>
      </c>
      <c r="E4" s="59">
        <v>11.418646076923077</v>
      </c>
      <c r="F4" s="59">
        <v>11.379</v>
      </c>
      <c r="G4" s="60">
        <v>0</v>
      </c>
      <c r="H4" s="61"/>
    </row>
    <row r="5" spans="1:8" ht="17.25" x14ac:dyDescent="0.3">
      <c r="A5" s="39">
        <v>14100721</v>
      </c>
      <c r="B5" s="40" t="s">
        <v>9</v>
      </c>
      <c r="C5" s="41" t="s">
        <v>572</v>
      </c>
      <c r="D5" s="41" t="s">
        <v>3</v>
      </c>
      <c r="E5" s="59">
        <v>4.3532521638888904</v>
      </c>
      <c r="F5" s="59">
        <v>3.9910251333333329</v>
      </c>
      <c r="G5" s="60">
        <v>0</v>
      </c>
      <c r="H5" s="61"/>
    </row>
    <row r="6" spans="1:8" ht="17.25" x14ac:dyDescent="0.3">
      <c r="A6" s="39">
        <v>14100724</v>
      </c>
      <c r="B6" s="40" t="s">
        <v>10</v>
      </c>
      <c r="C6" s="41" t="s">
        <v>570</v>
      </c>
      <c r="D6" s="41" t="s">
        <v>3</v>
      </c>
      <c r="E6" s="59">
        <v>4.5080441902777775</v>
      </c>
      <c r="F6" s="59">
        <v>5.32529085</v>
      </c>
      <c r="G6" s="60">
        <v>355.58</v>
      </c>
      <c r="H6" s="61"/>
    </row>
    <row r="7" spans="1:8" ht="17.25" x14ac:dyDescent="0.3">
      <c r="A7" s="39">
        <v>14100725</v>
      </c>
      <c r="B7" s="40" t="s">
        <v>11</v>
      </c>
      <c r="C7" s="41" t="s">
        <v>570</v>
      </c>
      <c r="D7" s="41" t="s">
        <v>3</v>
      </c>
      <c r="E7" s="59">
        <v>4.4367820346153843</v>
      </c>
      <c r="F7" s="59">
        <v>4.7495760000000002</v>
      </c>
      <c r="G7" s="60">
        <v>355.58</v>
      </c>
      <c r="H7" s="61"/>
    </row>
    <row r="8" spans="1:8" ht="17.25" x14ac:dyDescent="0.3">
      <c r="A8" s="39">
        <v>14100726</v>
      </c>
      <c r="B8" s="40" t="s">
        <v>12</v>
      </c>
      <c r="C8" s="41" t="s">
        <v>570</v>
      </c>
      <c r="D8" s="41" t="s">
        <v>3</v>
      </c>
      <c r="E8" s="59">
        <v>3.9618199888888888</v>
      </c>
      <c r="F8" s="59">
        <v>4.7084275999999994</v>
      </c>
      <c r="G8" s="60">
        <v>355.58</v>
      </c>
      <c r="H8" s="61"/>
    </row>
    <row r="9" spans="1:8" ht="17.25" x14ac:dyDescent="0.3">
      <c r="A9" s="39">
        <v>14100727</v>
      </c>
      <c r="B9" s="40" t="s">
        <v>13</v>
      </c>
      <c r="C9" s="41" t="s">
        <v>570</v>
      </c>
      <c r="D9" s="41" t="s">
        <v>3</v>
      </c>
      <c r="E9" s="59">
        <v>4.9834408846153853</v>
      </c>
      <c r="F9" s="59">
        <v>6.7414353333333326</v>
      </c>
      <c r="G9" s="60">
        <v>355.58</v>
      </c>
      <c r="H9" s="61"/>
    </row>
    <row r="10" spans="1:8" ht="17.25" x14ac:dyDescent="0.3">
      <c r="A10" s="39">
        <v>14100729</v>
      </c>
      <c r="B10" s="40" t="s">
        <v>14</v>
      </c>
      <c r="C10" s="41" t="s">
        <v>570</v>
      </c>
      <c r="D10" s="41" t="s">
        <v>3</v>
      </c>
      <c r="E10" s="59" t="s">
        <v>920</v>
      </c>
      <c r="F10" s="59" t="s">
        <v>920</v>
      </c>
      <c r="G10" s="60">
        <v>355.58</v>
      </c>
      <c r="H10" s="61"/>
    </row>
    <row r="11" spans="1:8" ht="17.25" x14ac:dyDescent="0.3">
      <c r="A11" s="39">
        <v>14100731</v>
      </c>
      <c r="B11" s="40" t="s">
        <v>15</v>
      </c>
      <c r="C11" s="41" t="s">
        <v>574</v>
      </c>
      <c r="D11" s="41" t="s">
        <v>3</v>
      </c>
      <c r="E11" s="59">
        <v>4.4326521230769229</v>
      </c>
      <c r="F11" s="59">
        <v>4.9581321000000003</v>
      </c>
      <c r="G11" s="60">
        <v>355.58</v>
      </c>
      <c r="H11" s="61"/>
    </row>
    <row r="12" spans="1:8" ht="17.25" x14ac:dyDescent="0.3">
      <c r="A12" s="39">
        <v>14100732</v>
      </c>
      <c r="B12" s="40" t="s">
        <v>16</v>
      </c>
      <c r="C12" s="41" t="s">
        <v>570</v>
      </c>
      <c r="D12" s="41" t="s">
        <v>3</v>
      </c>
      <c r="E12" s="59">
        <v>3.7835575192307687</v>
      </c>
      <c r="F12" s="59">
        <v>5.1784204999999996</v>
      </c>
      <c r="G12" s="60">
        <v>355.58</v>
      </c>
      <c r="H12" s="61"/>
    </row>
    <row r="13" spans="1:8" ht="17.25" x14ac:dyDescent="0.3">
      <c r="A13" s="39">
        <v>14100733</v>
      </c>
      <c r="B13" s="40" t="s">
        <v>17</v>
      </c>
      <c r="C13" s="41" t="s">
        <v>570</v>
      </c>
      <c r="D13" s="41" t="s">
        <v>3</v>
      </c>
      <c r="E13" s="59" t="s">
        <v>920</v>
      </c>
      <c r="F13" s="59" t="s">
        <v>920</v>
      </c>
      <c r="G13" s="60">
        <v>355.58</v>
      </c>
      <c r="H13" s="61"/>
    </row>
    <row r="14" spans="1:8" ht="17.25" x14ac:dyDescent="0.3">
      <c r="A14" s="39">
        <v>14100740</v>
      </c>
      <c r="B14" s="40" t="s">
        <v>18</v>
      </c>
      <c r="C14" s="41" t="s">
        <v>575</v>
      </c>
      <c r="D14" s="41" t="s">
        <v>3</v>
      </c>
      <c r="E14" s="59">
        <v>4.4923786083333335</v>
      </c>
      <c r="F14" s="59">
        <v>5.4948638499999998</v>
      </c>
      <c r="G14" s="60">
        <v>355.58</v>
      </c>
      <c r="H14" s="61"/>
    </row>
    <row r="15" spans="1:8" ht="17.25" x14ac:dyDescent="0.3">
      <c r="A15" s="39">
        <v>14100751</v>
      </c>
      <c r="B15" s="40" t="s">
        <v>320</v>
      </c>
      <c r="C15" s="41" t="s">
        <v>576</v>
      </c>
      <c r="D15" s="41" t="s">
        <v>3</v>
      </c>
      <c r="E15" s="59">
        <v>3.96</v>
      </c>
      <c r="F15" s="59">
        <v>4.07</v>
      </c>
      <c r="G15" s="60">
        <v>355.58</v>
      </c>
      <c r="H15" s="61"/>
    </row>
    <row r="16" spans="1:8" ht="17.25" x14ac:dyDescent="0.3">
      <c r="A16" s="39">
        <v>14100777</v>
      </c>
      <c r="B16" s="40" t="s">
        <v>19</v>
      </c>
      <c r="C16" s="41" t="s">
        <v>570</v>
      </c>
      <c r="D16" s="41" t="s">
        <v>3</v>
      </c>
      <c r="E16" s="59" t="s">
        <v>920</v>
      </c>
      <c r="F16" s="59" t="s">
        <v>920</v>
      </c>
      <c r="G16" s="60">
        <v>355.58</v>
      </c>
      <c r="H16" s="61"/>
    </row>
    <row r="17" spans="1:8" ht="17.25" x14ac:dyDescent="0.3">
      <c r="A17" s="39">
        <v>14100787</v>
      </c>
      <c r="B17" s="40" t="s">
        <v>20</v>
      </c>
      <c r="C17" s="41" t="s">
        <v>570</v>
      </c>
      <c r="D17" s="41" t="s">
        <v>3</v>
      </c>
      <c r="E17" s="59">
        <v>3.7922536062500005</v>
      </c>
      <c r="F17" s="59">
        <v>5.1406174</v>
      </c>
      <c r="G17" s="60">
        <v>355.58</v>
      </c>
      <c r="H17" s="61"/>
    </row>
    <row r="18" spans="1:8" ht="17.25" x14ac:dyDescent="0.3">
      <c r="A18" s="39">
        <v>14100795</v>
      </c>
      <c r="B18" s="40" t="s">
        <v>21</v>
      </c>
      <c r="C18" s="41" t="s">
        <v>570</v>
      </c>
      <c r="D18" s="41" t="s">
        <v>3</v>
      </c>
      <c r="E18" s="59">
        <v>4.6622509958333334</v>
      </c>
      <c r="F18" s="59">
        <v>4.0187210000000002</v>
      </c>
      <c r="G18" s="60">
        <v>0</v>
      </c>
      <c r="H18" s="61"/>
    </row>
    <row r="19" spans="1:8" ht="17.25" x14ac:dyDescent="0.3">
      <c r="A19" s="39">
        <v>14100798</v>
      </c>
      <c r="B19" s="40" t="s">
        <v>22</v>
      </c>
      <c r="C19" s="41" t="s">
        <v>570</v>
      </c>
      <c r="D19" s="41" t="s">
        <v>3</v>
      </c>
      <c r="E19" s="59">
        <v>4.0644461916666659</v>
      </c>
      <c r="F19" s="59">
        <v>5.0306611500000002</v>
      </c>
      <c r="G19" s="60">
        <v>355.58</v>
      </c>
      <c r="H19" s="61"/>
    </row>
    <row r="20" spans="1:8" ht="17.25" x14ac:dyDescent="0.3">
      <c r="A20" s="39">
        <v>14100807</v>
      </c>
      <c r="B20" s="40" t="s">
        <v>23</v>
      </c>
      <c r="C20" s="41" t="s">
        <v>577</v>
      </c>
      <c r="D20" s="41" t="s">
        <v>3</v>
      </c>
      <c r="E20" s="59">
        <v>4.7317431055555561</v>
      </c>
      <c r="F20" s="59">
        <v>6.2797497499999997</v>
      </c>
      <c r="G20" s="60">
        <v>355.58</v>
      </c>
      <c r="H20" s="61"/>
    </row>
    <row r="21" spans="1:8" ht="17.25" x14ac:dyDescent="0.3">
      <c r="A21" s="39">
        <v>14100823</v>
      </c>
      <c r="B21" s="40" t="s">
        <v>274</v>
      </c>
      <c r="C21" s="41" t="s">
        <v>578</v>
      </c>
      <c r="D21" s="41" t="s">
        <v>3</v>
      </c>
      <c r="E21" s="59" t="s">
        <v>920</v>
      </c>
      <c r="F21" s="59" t="s">
        <v>920</v>
      </c>
      <c r="G21" s="60">
        <v>355.58</v>
      </c>
      <c r="H21" s="61"/>
    </row>
    <row r="22" spans="1:8" ht="17.25" x14ac:dyDescent="0.3">
      <c r="A22" s="40">
        <v>14100842</v>
      </c>
      <c r="B22" s="40" t="s">
        <v>24</v>
      </c>
      <c r="C22" s="41" t="s">
        <v>570</v>
      </c>
      <c r="D22" s="41" t="s">
        <v>3</v>
      </c>
      <c r="E22" s="59" t="s">
        <v>920</v>
      </c>
      <c r="F22" s="59" t="s">
        <v>920</v>
      </c>
      <c r="G22" s="60">
        <v>355.58</v>
      </c>
      <c r="H22" s="61"/>
    </row>
    <row r="23" spans="1:8" ht="17.25" x14ac:dyDescent="0.3">
      <c r="A23" s="39">
        <v>14100843</v>
      </c>
      <c r="B23" s="40" t="s">
        <v>221</v>
      </c>
      <c r="C23" s="41" t="s">
        <v>579</v>
      </c>
      <c r="D23" s="41" t="s">
        <v>3</v>
      </c>
      <c r="E23" s="59">
        <v>3.5970917333333339</v>
      </c>
      <c r="F23" s="59">
        <v>4.1459306666666675</v>
      </c>
      <c r="G23" s="60">
        <v>355.58</v>
      </c>
      <c r="H23" s="61"/>
    </row>
    <row r="24" spans="1:8" ht="17.25" x14ac:dyDescent="0.3">
      <c r="A24" s="39">
        <v>14100858</v>
      </c>
      <c r="B24" s="40" t="s">
        <v>261</v>
      </c>
      <c r="C24" s="41" t="s">
        <v>580</v>
      </c>
      <c r="D24" s="41" t="s">
        <v>3</v>
      </c>
      <c r="E24" s="59">
        <v>3.7292467458333332</v>
      </c>
      <c r="F24" s="59">
        <v>4.7742089999999999</v>
      </c>
      <c r="G24" s="60">
        <v>355.58</v>
      </c>
      <c r="H24" s="61"/>
    </row>
    <row r="25" spans="1:8" ht="17.25" x14ac:dyDescent="0.3">
      <c r="A25" s="39">
        <v>14100863</v>
      </c>
      <c r="B25" s="40" t="s">
        <v>25</v>
      </c>
      <c r="C25" s="41" t="s">
        <v>570</v>
      </c>
      <c r="D25" s="41" t="s">
        <v>3</v>
      </c>
      <c r="E25" s="59" t="s">
        <v>921</v>
      </c>
      <c r="F25" s="59" t="s">
        <v>921</v>
      </c>
      <c r="G25" s="60">
        <v>711.16</v>
      </c>
      <c r="H25" s="61"/>
    </row>
    <row r="26" spans="1:8" ht="17.25" x14ac:dyDescent="0.3">
      <c r="A26" s="39">
        <v>14100897</v>
      </c>
      <c r="B26" s="40" t="s">
        <v>249</v>
      </c>
      <c r="C26" s="41" t="s">
        <v>581</v>
      </c>
      <c r="D26" s="41" t="s">
        <v>3</v>
      </c>
      <c r="E26" s="59">
        <v>4.0121683361111105</v>
      </c>
      <c r="F26" s="59">
        <v>3.6816731499999999</v>
      </c>
      <c r="G26" s="60">
        <v>0</v>
      </c>
      <c r="H26" s="61"/>
    </row>
    <row r="27" spans="1:8" ht="17.25" x14ac:dyDescent="0.3">
      <c r="A27" s="39">
        <v>14100902</v>
      </c>
      <c r="B27" s="40" t="s">
        <v>347</v>
      </c>
      <c r="C27" s="41" t="s">
        <v>582</v>
      </c>
      <c r="D27" s="41" t="s">
        <v>3</v>
      </c>
      <c r="E27" s="59">
        <v>4.0414962977564102</v>
      </c>
      <c r="F27" s="59">
        <v>5.2008030000000005</v>
      </c>
      <c r="G27" s="60">
        <v>355.58</v>
      </c>
      <c r="H27" s="61"/>
    </row>
    <row r="28" spans="1:8" ht="17.25" x14ac:dyDescent="0.3">
      <c r="A28" s="40">
        <v>14101881</v>
      </c>
      <c r="B28" s="40" t="s">
        <v>26</v>
      </c>
      <c r="C28" s="41" t="s">
        <v>583</v>
      </c>
      <c r="D28" s="41" t="s">
        <v>3</v>
      </c>
      <c r="E28" s="59">
        <v>3.9</v>
      </c>
      <c r="F28" s="59">
        <v>4.8984040000000002</v>
      </c>
      <c r="G28" s="60">
        <v>355.58</v>
      </c>
      <c r="H28" s="61"/>
    </row>
    <row r="29" spans="1:8" ht="17.25" x14ac:dyDescent="0.3">
      <c r="A29" s="40">
        <v>14101984</v>
      </c>
      <c r="B29" s="48" t="s">
        <v>27</v>
      </c>
      <c r="C29" s="41" t="s">
        <v>584</v>
      </c>
      <c r="D29" s="41" t="s">
        <v>3</v>
      </c>
      <c r="E29" s="59">
        <v>4.1883123987179491</v>
      </c>
      <c r="F29" s="59">
        <v>5.0329329999999999</v>
      </c>
      <c r="G29" s="60">
        <v>355.58</v>
      </c>
      <c r="H29" s="61"/>
    </row>
    <row r="30" spans="1:8" ht="17.25" x14ac:dyDescent="0.3">
      <c r="A30" s="40">
        <v>14102081</v>
      </c>
      <c r="B30" s="40" t="s">
        <v>28</v>
      </c>
      <c r="C30" s="41" t="s">
        <v>585</v>
      </c>
      <c r="D30" s="41" t="s">
        <v>3</v>
      </c>
      <c r="E30" s="59">
        <v>7.0119567279797979</v>
      </c>
      <c r="F30" s="59">
        <v>7.0810593999999991</v>
      </c>
      <c r="G30" s="60">
        <v>355.58</v>
      </c>
      <c r="H30" s="61"/>
    </row>
    <row r="31" spans="1:8" ht="17.25" x14ac:dyDescent="0.3">
      <c r="A31" s="40">
        <v>14102288</v>
      </c>
      <c r="B31" s="40" t="s">
        <v>29</v>
      </c>
      <c r="C31" s="41" t="s">
        <v>586</v>
      </c>
      <c r="D31" s="41" t="s">
        <v>3</v>
      </c>
      <c r="E31" s="59" t="s">
        <v>920</v>
      </c>
      <c r="F31" s="59" t="s">
        <v>920</v>
      </c>
      <c r="G31" s="60">
        <v>355.58</v>
      </c>
      <c r="H31" s="61"/>
    </row>
    <row r="32" spans="1:8" ht="17.25" x14ac:dyDescent="0.3">
      <c r="A32" s="39">
        <v>14102701</v>
      </c>
      <c r="B32" s="40" t="s">
        <v>30</v>
      </c>
      <c r="C32" s="41" t="s">
        <v>587</v>
      </c>
      <c r="D32" s="41" t="s">
        <v>3</v>
      </c>
      <c r="E32" s="59" t="s">
        <v>920</v>
      </c>
      <c r="F32" s="59" t="s">
        <v>920</v>
      </c>
      <c r="G32" s="60">
        <v>355.58</v>
      </c>
      <c r="H32" s="61"/>
    </row>
    <row r="33" spans="1:9" ht="17.25" x14ac:dyDescent="0.3">
      <c r="A33" s="39">
        <v>14102730</v>
      </c>
      <c r="B33" s="40" t="s">
        <v>31</v>
      </c>
      <c r="C33" s="41" t="s">
        <v>588</v>
      </c>
      <c r="D33" s="41" t="s">
        <v>3</v>
      </c>
      <c r="E33" s="59" t="s">
        <v>921</v>
      </c>
      <c r="F33" s="59" t="s">
        <v>921</v>
      </c>
      <c r="G33" s="60">
        <v>355.58</v>
      </c>
      <c r="H33" s="61"/>
    </row>
    <row r="34" spans="1:9" ht="17.25" x14ac:dyDescent="0.3">
      <c r="A34" s="39">
        <v>14102875</v>
      </c>
      <c r="B34" s="40" t="s">
        <v>32</v>
      </c>
      <c r="C34" s="41" t="s">
        <v>590</v>
      </c>
      <c r="D34" s="41" t="s">
        <v>3</v>
      </c>
      <c r="E34" s="59">
        <v>2.804395458333333</v>
      </c>
      <c r="F34" s="59">
        <v>3.9897073000000001</v>
      </c>
      <c r="G34" s="60">
        <v>355.58</v>
      </c>
      <c r="H34" s="61"/>
    </row>
    <row r="35" spans="1:9" ht="17.25" x14ac:dyDescent="0.3">
      <c r="A35" s="39">
        <v>14102890</v>
      </c>
      <c r="B35" s="40" t="s">
        <v>33</v>
      </c>
      <c r="C35" s="41" t="s">
        <v>591</v>
      </c>
      <c r="D35" s="41" t="s">
        <v>3</v>
      </c>
      <c r="E35" s="59">
        <v>4.5700688288461544</v>
      </c>
      <c r="F35" s="59">
        <v>5.5428298666666658</v>
      </c>
      <c r="G35" s="60">
        <v>355.58</v>
      </c>
      <c r="H35" s="61"/>
    </row>
    <row r="36" spans="1:9" ht="17.25" x14ac:dyDescent="0.3">
      <c r="A36" s="40">
        <v>14103061</v>
      </c>
      <c r="B36" s="40" t="s">
        <v>392</v>
      </c>
      <c r="C36" s="41" t="s">
        <v>592</v>
      </c>
      <c r="D36" s="41" t="s">
        <v>3</v>
      </c>
      <c r="E36" s="59">
        <v>3.6322725346153857</v>
      </c>
      <c r="F36" s="59">
        <v>4.3610518999999996</v>
      </c>
      <c r="G36" s="60">
        <v>355.58</v>
      </c>
      <c r="H36" s="61"/>
    </row>
    <row r="37" spans="1:9" ht="17.25" x14ac:dyDescent="0.3">
      <c r="A37" s="39">
        <v>14103106</v>
      </c>
      <c r="B37" s="40" t="s">
        <v>34</v>
      </c>
      <c r="C37" s="41" t="s">
        <v>593</v>
      </c>
      <c r="D37" s="41" t="s">
        <v>3</v>
      </c>
      <c r="E37" s="59">
        <v>4.0644255179487176</v>
      </c>
      <c r="F37" s="59">
        <v>5.1648189999999996</v>
      </c>
      <c r="G37" s="60">
        <v>355.58</v>
      </c>
      <c r="H37" s="61"/>
    </row>
    <row r="38" spans="1:9" ht="17.25" x14ac:dyDescent="0.3">
      <c r="A38" s="40">
        <v>14103183</v>
      </c>
      <c r="B38" s="49" t="s">
        <v>35</v>
      </c>
      <c r="C38" s="41" t="s">
        <v>594</v>
      </c>
      <c r="D38" s="41" t="s">
        <v>3</v>
      </c>
      <c r="E38" s="59">
        <v>3.7173107999999999</v>
      </c>
      <c r="F38" s="59">
        <v>4.2329999999999997</v>
      </c>
      <c r="G38" s="60">
        <v>355.58</v>
      </c>
      <c r="H38" s="61"/>
    </row>
    <row r="39" spans="1:9" ht="17.25" x14ac:dyDescent="0.3">
      <c r="A39" s="39">
        <v>14103335</v>
      </c>
      <c r="B39" s="40" t="s">
        <v>36</v>
      </c>
      <c r="C39" s="41" t="s">
        <v>595</v>
      </c>
      <c r="D39" s="41" t="s">
        <v>3</v>
      </c>
      <c r="E39" s="59">
        <v>3.6673040512820516</v>
      </c>
      <c r="F39" s="59">
        <v>4.3362234500000003</v>
      </c>
      <c r="G39" s="60">
        <v>355.58</v>
      </c>
      <c r="H39" s="61"/>
    </row>
    <row r="40" spans="1:9" ht="17.25" x14ac:dyDescent="0.3">
      <c r="A40" s="39">
        <v>14103470</v>
      </c>
      <c r="B40" s="40" t="s">
        <v>518</v>
      </c>
      <c r="C40" s="41" t="s">
        <v>596</v>
      </c>
      <c r="D40" s="41" t="s">
        <v>3</v>
      </c>
      <c r="E40" s="59">
        <v>4.4612300944444438</v>
      </c>
      <c r="F40" s="59">
        <v>4.8965181999999992</v>
      </c>
      <c r="G40" s="60">
        <v>355.58</v>
      </c>
      <c r="H40" s="61"/>
    </row>
    <row r="41" spans="1:9" ht="17.25" x14ac:dyDescent="0.3">
      <c r="A41" s="39">
        <v>14103679</v>
      </c>
      <c r="B41" s="40" t="s">
        <v>37</v>
      </c>
      <c r="C41" s="41" t="s">
        <v>597</v>
      </c>
      <c r="D41" s="41" t="s">
        <v>3</v>
      </c>
      <c r="E41" s="59">
        <v>10.74459275486111</v>
      </c>
      <c r="F41" s="59">
        <v>13.6020465</v>
      </c>
      <c r="G41" s="60">
        <v>355.58</v>
      </c>
      <c r="H41" s="61"/>
    </row>
    <row r="42" spans="1:9" ht="17.25" x14ac:dyDescent="0.3">
      <c r="A42" s="40">
        <v>14103936</v>
      </c>
      <c r="B42" s="40" t="s">
        <v>291</v>
      </c>
      <c r="C42" s="41" t="s">
        <v>599</v>
      </c>
      <c r="D42" s="41" t="s">
        <v>3</v>
      </c>
      <c r="E42" s="59">
        <v>3.807933058974359</v>
      </c>
      <c r="F42" s="59">
        <v>4.2485160000000004</v>
      </c>
      <c r="G42" s="60">
        <v>355.58</v>
      </c>
      <c r="H42" s="61"/>
      <c r="I42" s="62"/>
    </row>
    <row r="43" spans="1:9" ht="17.25" x14ac:dyDescent="0.3">
      <c r="A43" s="39">
        <v>14103952</v>
      </c>
      <c r="B43" s="40" t="s">
        <v>38</v>
      </c>
      <c r="C43" s="41" t="s">
        <v>600</v>
      </c>
      <c r="D43" s="41" t="s">
        <v>3</v>
      </c>
      <c r="E43" s="59">
        <v>5.329325494871795</v>
      </c>
      <c r="F43" s="59">
        <v>6.2001872000000002</v>
      </c>
      <c r="G43" s="60">
        <v>355.58</v>
      </c>
      <c r="H43" s="61"/>
    </row>
    <row r="44" spans="1:9" ht="17.25" x14ac:dyDescent="0.3">
      <c r="A44" s="39">
        <v>14104315</v>
      </c>
      <c r="B44" s="40" t="s">
        <v>328</v>
      </c>
      <c r="C44" s="41" t="s">
        <v>601</v>
      </c>
      <c r="D44" s="41" t="s">
        <v>3</v>
      </c>
      <c r="E44" s="59">
        <v>3.869053061217949</v>
      </c>
      <c r="F44" s="59">
        <v>5.1233678999999999</v>
      </c>
      <c r="G44" s="60">
        <v>355.58</v>
      </c>
      <c r="H44" s="61"/>
    </row>
    <row r="45" spans="1:9" ht="17.25" x14ac:dyDescent="0.3">
      <c r="A45" s="39">
        <v>14104316</v>
      </c>
      <c r="B45" s="40" t="s">
        <v>39</v>
      </c>
      <c r="C45" s="41" t="s">
        <v>602</v>
      </c>
      <c r="D45" s="41" t="s">
        <v>3</v>
      </c>
      <c r="E45" s="59">
        <v>3.613414038461539</v>
      </c>
      <c r="F45" s="59">
        <v>4.0799519999999996</v>
      </c>
      <c r="G45" s="60">
        <v>355.58</v>
      </c>
      <c r="H45" s="61"/>
    </row>
    <row r="46" spans="1:9" ht="17.25" x14ac:dyDescent="0.3">
      <c r="A46" s="39">
        <v>14104599</v>
      </c>
      <c r="B46" s="40" t="s">
        <v>40</v>
      </c>
      <c r="C46" s="41" t="s">
        <v>603</v>
      </c>
      <c r="D46" s="41" t="s">
        <v>3</v>
      </c>
      <c r="E46" s="59" t="s">
        <v>920</v>
      </c>
      <c r="F46" s="59" t="s">
        <v>920</v>
      </c>
      <c r="G46" s="60">
        <v>355.58</v>
      </c>
      <c r="H46" s="61"/>
    </row>
    <row r="47" spans="1:9" ht="17.25" x14ac:dyDescent="0.3">
      <c r="A47" s="39">
        <v>14104822</v>
      </c>
      <c r="B47" s="40" t="s">
        <v>41</v>
      </c>
      <c r="C47" s="41" t="s">
        <v>604</v>
      </c>
      <c r="D47" s="41" t="s">
        <v>3</v>
      </c>
      <c r="E47" s="59">
        <v>3.5864634960567208</v>
      </c>
      <c r="F47" s="59">
        <v>4.0163866666666665</v>
      </c>
      <c r="G47" s="60">
        <v>355.58</v>
      </c>
      <c r="H47" s="61"/>
    </row>
    <row r="48" spans="1:9" ht="17.25" x14ac:dyDescent="0.3">
      <c r="A48" s="39">
        <v>14104839</v>
      </c>
      <c r="B48" s="40" t="s">
        <v>224</v>
      </c>
      <c r="C48" s="41" t="s">
        <v>605</v>
      </c>
      <c r="D48" s="41" t="s">
        <v>3</v>
      </c>
      <c r="E48" s="59">
        <v>3.4191053307692312</v>
      </c>
      <c r="F48" s="59">
        <v>4.2266015000000001</v>
      </c>
      <c r="G48" s="60">
        <v>355.58</v>
      </c>
      <c r="H48" s="61"/>
    </row>
    <row r="49" spans="1:8" ht="17.25" x14ac:dyDescent="0.3">
      <c r="A49" s="39">
        <v>14104853</v>
      </c>
      <c r="B49" s="40" t="s">
        <v>181</v>
      </c>
      <c r="C49" s="41" t="s">
        <v>606</v>
      </c>
      <c r="D49" s="41" t="s">
        <v>3</v>
      </c>
      <c r="E49" s="59">
        <v>9.5058735769230776</v>
      </c>
      <c r="F49" s="59">
        <v>9.1586210000000001</v>
      </c>
      <c r="G49" s="60">
        <v>0</v>
      </c>
      <c r="H49" s="61"/>
    </row>
    <row r="50" spans="1:8" ht="17.25" x14ac:dyDescent="0.3">
      <c r="A50" s="40">
        <v>14104932</v>
      </c>
      <c r="B50" s="40" t="s">
        <v>42</v>
      </c>
      <c r="C50" s="41" t="s">
        <v>607</v>
      </c>
      <c r="D50" s="41" t="s">
        <v>3</v>
      </c>
      <c r="E50" s="59">
        <v>4.9189447243589752</v>
      </c>
      <c r="F50" s="59">
        <v>5.1132183000000007</v>
      </c>
      <c r="G50" s="60">
        <v>355.58</v>
      </c>
      <c r="H50" s="61"/>
    </row>
    <row r="51" spans="1:8" ht="17.25" x14ac:dyDescent="0.3">
      <c r="A51" s="39">
        <v>14104957</v>
      </c>
      <c r="B51" s="40" t="s">
        <v>303</v>
      </c>
      <c r="C51" s="41" t="s">
        <v>608</v>
      </c>
      <c r="D51" s="41" t="s">
        <v>3</v>
      </c>
      <c r="E51" s="59" t="s">
        <v>920</v>
      </c>
      <c r="F51" s="59" t="s">
        <v>920</v>
      </c>
      <c r="G51" s="60">
        <v>355.58</v>
      </c>
      <c r="H51" s="61"/>
    </row>
    <row r="52" spans="1:8" ht="17.25" x14ac:dyDescent="0.3">
      <c r="A52" s="39">
        <v>14104971</v>
      </c>
      <c r="B52" s="40" t="s">
        <v>43</v>
      </c>
      <c r="C52" s="41" t="s">
        <v>609</v>
      </c>
      <c r="D52" s="41" t="s">
        <v>3</v>
      </c>
      <c r="E52" s="59" t="s">
        <v>920</v>
      </c>
      <c r="F52" s="59" t="s">
        <v>920</v>
      </c>
      <c r="G52" s="60">
        <v>355.58</v>
      </c>
      <c r="H52" s="61"/>
    </row>
    <row r="53" spans="1:8" ht="17.25" x14ac:dyDescent="0.3">
      <c r="A53" s="39">
        <v>14105437</v>
      </c>
      <c r="B53" s="40" t="s">
        <v>44</v>
      </c>
      <c r="C53" s="41" t="s">
        <v>610</v>
      </c>
      <c r="D53" s="41" t="s">
        <v>3</v>
      </c>
      <c r="E53" s="59">
        <v>4.1343214625</v>
      </c>
      <c r="F53" s="59">
        <v>4.881958</v>
      </c>
      <c r="G53" s="60">
        <v>355.58</v>
      </c>
      <c r="H53" s="61"/>
    </row>
    <row r="54" spans="1:8" ht="17.25" x14ac:dyDescent="0.3">
      <c r="A54" s="39">
        <v>14105531</v>
      </c>
      <c r="B54" s="40" t="s">
        <v>45</v>
      </c>
      <c r="C54" s="41" t="s">
        <v>611</v>
      </c>
      <c r="D54" s="41" t="s">
        <v>3</v>
      </c>
      <c r="E54" s="59">
        <v>10.54</v>
      </c>
      <c r="F54" s="59">
        <v>10.909102000000001</v>
      </c>
      <c r="G54" s="60">
        <v>355.58</v>
      </c>
      <c r="H54" s="61"/>
    </row>
    <row r="55" spans="1:8" ht="17.25" x14ac:dyDescent="0.3">
      <c r="A55" s="39">
        <v>14105586</v>
      </c>
      <c r="B55" s="40" t="s">
        <v>46</v>
      </c>
      <c r="C55" s="41" t="s">
        <v>612</v>
      </c>
      <c r="D55" s="41" t="s">
        <v>3</v>
      </c>
      <c r="E55" s="59">
        <v>4.0616272499999999</v>
      </c>
      <c r="F55" s="59">
        <v>4.7715984999999996</v>
      </c>
      <c r="G55" s="60">
        <v>355.58</v>
      </c>
      <c r="H55" s="61"/>
    </row>
    <row r="56" spans="1:8" ht="17.25" x14ac:dyDescent="0.3">
      <c r="A56" s="39">
        <v>14105645</v>
      </c>
      <c r="B56" s="40" t="s">
        <v>160</v>
      </c>
      <c r="C56" s="41" t="s">
        <v>613</v>
      </c>
      <c r="D56" s="41" t="s">
        <v>3</v>
      </c>
      <c r="E56" s="59" t="s">
        <v>921</v>
      </c>
      <c r="F56" s="59" t="s">
        <v>921</v>
      </c>
      <c r="G56" s="60">
        <v>355.58</v>
      </c>
      <c r="H56" s="61"/>
    </row>
    <row r="57" spans="1:8" ht="17.25" x14ac:dyDescent="0.3">
      <c r="A57" s="39">
        <v>14106033</v>
      </c>
      <c r="B57" s="48" t="s">
        <v>47</v>
      </c>
      <c r="C57" s="41" t="s">
        <v>614</v>
      </c>
      <c r="D57" s="41" t="s">
        <v>3</v>
      </c>
      <c r="E57" s="59">
        <v>4.2936834269230761</v>
      </c>
      <c r="F57" s="59">
        <v>5.4357514</v>
      </c>
      <c r="G57" s="60">
        <v>355.58</v>
      </c>
      <c r="H57" s="61"/>
    </row>
    <row r="58" spans="1:8" ht="17.25" x14ac:dyDescent="0.3">
      <c r="A58" s="39">
        <v>14106066</v>
      </c>
      <c r="B58" s="48" t="s">
        <v>49</v>
      </c>
      <c r="C58" s="41" t="s">
        <v>615</v>
      </c>
      <c r="D58" s="41" t="s">
        <v>3</v>
      </c>
      <c r="E58" s="59">
        <v>8.073859672916667</v>
      </c>
      <c r="F58" s="59">
        <v>9.4704688833333339</v>
      </c>
      <c r="G58" s="60">
        <v>355.58</v>
      </c>
      <c r="H58" s="61"/>
    </row>
    <row r="59" spans="1:8" ht="17.25" x14ac:dyDescent="0.3">
      <c r="A59" s="39">
        <v>14106233</v>
      </c>
      <c r="B59" s="40" t="s">
        <v>340</v>
      </c>
      <c r="C59" s="41" t="s">
        <v>616</v>
      </c>
      <c r="D59" s="41" t="s">
        <v>3</v>
      </c>
      <c r="E59" s="59">
        <v>3.8100081388888891</v>
      </c>
      <c r="F59" s="59">
        <v>4.4499050000000002</v>
      </c>
      <c r="G59" s="60">
        <v>355.58</v>
      </c>
      <c r="H59" s="61"/>
    </row>
    <row r="60" spans="1:8" ht="17.25" x14ac:dyDescent="0.3">
      <c r="A60" s="39">
        <v>14106368</v>
      </c>
      <c r="B60" s="40" t="s">
        <v>50</v>
      </c>
      <c r="C60" s="41" t="s">
        <v>617</v>
      </c>
      <c r="D60" s="41" t="s">
        <v>3</v>
      </c>
      <c r="E60" s="59">
        <v>4.8095741900000002</v>
      </c>
      <c r="F60" s="59">
        <v>5.6617929333333334</v>
      </c>
      <c r="G60" s="60">
        <v>355.58</v>
      </c>
      <c r="H60" s="61"/>
    </row>
    <row r="61" spans="1:8" ht="17.25" x14ac:dyDescent="0.3">
      <c r="A61" s="39">
        <v>14106438</v>
      </c>
      <c r="B61" s="40" t="s">
        <v>51</v>
      </c>
      <c r="C61" s="41" t="s">
        <v>618</v>
      </c>
      <c r="D61" s="41" t="s">
        <v>3</v>
      </c>
      <c r="E61" s="59">
        <v>3.5516893205128213</v>
      </c>
      <c r="F61" s="59">
        <v>4.0207297500000001</v>
      </c>
      <c r="G61" s="60">
        <v>355.58</v>
      </c>
      <c r="H61" s="61"/>
    </row>
    <row r="62" spans="1:8" ht="17.25" x14ac:dyDescent="0.3">
      <c r="A62" s="39">
        <v>14106778</v>
      </c>
      <c r="B62" s="40" t="s">
        <v>52</v>
      </c>
      <c r="C62" s="41" t="s">
        <v>619</v>
      </c>
      <c r="D62" s="41" t="s">
        <v>3</v>
      </c>
      <c r="E62" s="59">
        <v>4.0577554410256411</v>
      </c>
      <c r="F62" s="59">
        <v>3.6437732500000002</v>
      </c>
      <c r="G62" s="60">
        <v>0</v>
      </c>
      <c r="H62" s="61"/>
    </row>
    <row r="63" spans="1:8" ht="17.25" x14ac:dyDescent="0.3">
      <c r="A63" s="39">
        <v>14106949</v>
      </c>
      <c r="B63" s="40" t="s">
        <v>53</v>
      </c>
      <c r="C63" s="41" t="s">
        <v>620</v>
      </c>
      <c r="D63" s="41" t="s">
        <v>3</v>
      </c>
      <c r="E63" s="59">
        <v>9.2205581944444432</v>
      </c>
      <c r="F63" s="59">
        <v>10.698782</v>
      </c>
      <c r="G63" s="60">
        <v>355.58</v>
      </c>
      <c r="H63" s="61"/>
    </row>
    <row r="64" spans="1:8" ht="17.25" x14ac:dyDescent="0.3">
      <c r="A64" s="39">
        <v>14106980</v>
      </c>
      <c r="B64" s="40" t="s">
        <v>54</v>
      </c>
      <c r="C64" s="41" t="s">
        <v>621</v>
      </c>
      <c r="D64" s="41" t="s">
        <v>3</v>
      </c>
      <c r="E64" s="59">
        <v>3.6795202365384614</v>
      </c>
      <c r="F64" s="59">
        <v>4.0444309999999994</v>
      </c>
      <c r="G64" s="60">
        <v>355.58</v>
      </c>
      <c r="H64" s="61"/>
    </row>
    <row r="65" spans="1:8" ht="17.25" x14ac:dyDescent="0.3">
      <c r="A65" s="39">
        <v>14107081</v>
      </c>
      <c r="B65" s="40" t="s">
        <v>55</v>
      </c>
      <c r="C65" s="41" t="s">
        <v>622</v>
      </c>
      <c r="D65" s="41" t="s">
        <v>3</v>
      </c>
      <c r="E65" s="59">
        <v>4.7166344736111112</v>
      </c>
      <c r="F65" s="59">
        <v>8.3979999999999997</v>
      </c>
      <c r="G65" s="60">
        <v>355.58</v>
      </c>
      <c r="H65" s="61"/>
    </row>
    <row r="66" spans="1:8" ht="17.25" x14ac:dyDescent="0.3">
      <c r="A66" s="39">
        <v>14107167</v>
      </c>
      <c r="B66" s="40" t="s">
        <v>56</v>
      </c>
      <c r="C66" s="41" t="s">
        <v>623</v>
      </c>
      <c r="D66" s="41" t="s">
        <v>3</v>
      </c>
      <c r="E66" s="59">
        <v>3.3935114948717944</v>
      </c>
      <c r="F66" s="59">
        <v>4.8860031500000005</v>
      </c>
      <c r="G66" s="60">
        <v>355.58</v>
      </c>
      <c r="H66" s="61"/>
    </row>
    <row r="67" spans="1:8" ht="17.25" x14ac:dyDescent="0.3">
      <c r="A67" s="39">
        <v>14107202</v>
      </c>
      <c r="B67" s="40" t="s">
        <v>57</v>
      </c>
      <c r="C67" s="41" t="s">
        <v>624</v>
      </c>
      <c r="D67" s="41" t="s">
        <v>3</v>
      </c>
      <c r="E67" s="59">
        <v>4.1879116500000002</v>
      </c>
      <c r="F67" s="59">
        <v>5.0926201999999998</v>
      </c>
      <c r="G67" s="60">
        <v>355.58</v>
      </c>
      <c r="H67" s="61"/>
    </row>
    <row r="68" spans="1:8" ht="17.25" x14ac:dyDescent="0.3">
      <c r="A68" s="39">
        <v>14107206</v>
      </c>
      <c r="B68" s="40" t="s">
        <v>58</v>
      </c>
      <c r="C68" s="41" t="s">
        <v>625</v>
      </c>
      <c r="D68" s="41" t="s">
        <v>3</v>
      </c>
      <c r="E68" s="59" t="s">
        <v>920</v>
      </c>
      <c r="F68" s="59" t="s">
        <v>920</v>
      </c>
      <c r="G68" s="60">
        <v>355.58</v>
      </c>
      <c r="H68" s="61"/>
    </row>
    <row r="69" spans="1:8" ht="17.25" x14ac:dyDescent="0.3">
      <c r="A69" s="39">
        <v>14107217</v>
      </c>
      <c r="B69" s="40" t="s">
        <v>59</v>
      </c>
      <c r="C69" s="41" t="s">
        <v>626</v>
      </c>
      <c r="D69" s="41" t="s">
        <v>3</v>
      </c>
      <c r="E69" s="59">
        <v>3.4876689551282047</v>
      </c>
      <c r="F69" s="59">
        <v>4.0041428000000003</v>
      </c>
      <c r="G69" s="60">
        <v>355.58</v>
      </c>
      <c r="H69" s="61"/>
    </row>
    <row r="70" spans="1:8" ht="17.25" x14ac:dyDescent="0.3">
      <c r="A70" s="39">
        <v>14107271</v>
      </c>
      <c r="B70" s="40" t="s">
        <v>60</v>
      </c>
      <c r="C70" s="41" t="s">
        <v>627</v>
      </c>
      <c r="D70" s="41" t="s">
        <v>3</v>
      </c>
      <c r="E70" s="59" t="s">
        <v>920</v>
      </c>
      <c r="F70" s="59" t="s">
        <v>920</v>
      </c>
      <c r="G70" s="60">
        <v>355.58</v>
      </c>
      <c r="H70" s="61"/>
    </row>
    <row r="71" spans="1:8" ht="17.25" x14ac:dyDescent="0.3">
      <c r="A71" s="39">
        <v>14107293</v>
      </c>
      <c r="B71" s="40" t="s">
        <v>191</v>
      </c>
      <c r="C71" s="41" t="s">
        <v>628</v>
      </c>
      <c r="D71" s="41" t="s">
        <v>3</v>
      </c>
      <c r="E71" s="59" t="s">
        <v>920</v>
      </c>
      <c r="F71" s="59" t="s">
        <v>920</v>
      </c>
      <c r="G71" s="60">
        <v>355.58</v>
      </c>
      <c r="H71" s="61"/>
    </row>
    <row r="72" spans="1:8" ht="17.25" x14ac:dyDescent="0.3">
      <c r="A72" s="40">
        <v>14107393</v>
      </c>
      <c r="B72" s="40" t="s">
        <v>61</v>
      </c>
      <c r="C72" s="41" t="s">
        <v>629</v>
      </c>
      <c r="D72" s="41" t="s">
        <v>3</v>
      </c>
      <c r="E72" s="59" t="s">
        <v>921</v>
      </c>
      <c r="F72" s="59" t="s">
        <v>921</v>
      </c>
      <c r="G72" s="60">
        <v>711.16</v>
      </c>
      <c r="H72" s="61"/>
    </row>
    <row r="73" spans="1:8" ht="17.25" x14ac:dyDescent="0.3">
      <c r="A73" s="39">
        <v>14107484</v>
      </c>
      <c r="B73" s="40" t="s">
        <v>62</v>
      </c>
      <c r="C73" s="41" t="s">
        <v>630</v>
      </c>
      <c r="D73" s="41" t="s">
        <v>3</v>
      </c>
      <c r="E73" s="59">
        <v>4.8481517461538468</v>
      </c>
      <c r="F73" s="59">
        <v>5.3562778499999997</v>
      </c>
      <c r="G73" s="60">
        <v>355.58</v>
      </c>
      <c r="H73" s="61"/>
    </row>
    <row r="74" spans="1:8" ht="17.25" x14ac:dyDescent="0.3">
      <c r="A74" s="39">
        <v>14107552</v>
      </c>
      <c r="B74" s="40" t="s">
        <v>63</v>
      </c>
      <c r="C74" s="41" t="s">
        <v>631</v>
      </c>
      <c r="D74" s="41" t="s">
        <v>3</v>
      </c>
      <c r="E74" s="59">
        <v>4.4563435919047629</v>
      </c>
      <c r="F74" s="59">
        <v>5.7138948799999998</v>
      </c>
      <c r="G74" s="60">
        <v>355.58</v>
      </c>
      <c r="H74" s="61"/>
    </row>
    <row r="75" spans="1:8" ht="17.25" x14ac:dyDescent="0.3">
      <c r="A75" s="39">
        <v>14107735</v>
      </c>
      <c r="B75" s="40" t="s">
        <v>64</v>
      </c>
      <c r="C75" s="41" t="s">
        <v>632</v>
      </c>
      <c r="D75" s="41" t="s">
        <v>3</v>
      </c>
      <c r="E75" s="59" t="s">
        <v>921</v>
      </c>
      <c r="F75" s="59" t="s">
        <v>921</v>
      </c>
      <c r="G75" s="60">
        <v>355.58</v>
      </c>
      <c r="H75" s="61"/>
    </row>
    <row r="76" spans="1:8" ht="17.25" x14ac:dyDescent="0.3">
      <c r="A76" s="39">
        <v>14107754</v>
      </c>
      <c r="B76" s="40" t="s">
        <v>65</v>
      </c>
      <c r="C76" s="41" t="s">
        <v>633</v>
      </c>
      <c r="D76" s="41" t="s">
        <v>3</v>
      </c>
      <c r="E76" s="59">
        <v>4.8052374680555561</v>
      </c>
      <c r="F76" s="59">
        <v>5.5456787500000004</v>
      </c>
      <c r="G76" s="60">
        <v>355.58</v>
      </c>
      <c r="H76" s="61"/>
    </row>
    <row r="77" spans="1:8" ht="17.25" x14ac:dyDescent="0.3">
      <c r="A77" s="39">
        <v>14107840</v>
      </c>
      <c r="B77" s="40" t="s">
        <v>66</v>
      </c>
      <c r="C77" s="41" t="s">
        <v>634</v>
      </c>
      <c r="D77" s="41" t="s">
        <v>3</v>
      </c>
      <c r="E77" s="59">
        <v>11.204975354166669</v>
      </c>
      <c r="F77" s="59">
        <v>12.8783195</v>
      </c>
      <c r="G77" s="60">
        <v>355.58</v>
      </c>
      <c r="H77" s="61"/>
    </row>
    <row r="78" spans="1:8" ht="17.25" x14ac:dyDescent="0.3">
      <c r="A78" s="39">
        <v>14107967</v>
      </c>
      <c r="B78" s="40" t="s">
        <v>67</v>
      </c>
      <c r="C78" s="41" t="s">
        <v>635</v>
      </c>
      <c r="D78" s="41" t="s">
        <v>3</v>
      </c>
      <c r="E78" s="59">
        <v>3.7125854256410253</v>
      </c>
      <c r="F78" s="59">
        <v>4.5335783999999997</v>
      </c>
      <c r="G78" s="60">
        <v>355.58</v>
      </c>
      <c r="H78" s="61"/>
    </row>
    <row r="79" spans="1:8" ht="17.25" x14ac:dyDescent="0.3">
      <c r="A79" s="39">
        <v>14107978</v>
      </c>
      <c r="B79" s="40" t="s">
        <v>68</v>
      </c>
      <c r="C79" s="41" t="s">
        <v>636</v>
      </c>
      <c r="D79" s="41" t="s">
        <v>3</v>
      </c>
      <c r="E79" s="59" t="s">
        <v>920</v>
      </c>
      <c r="F79" s="59" t="s">
        <v>920</v>
      </c>
      <c r="G79" s="60">
        <v>355.58</v>
      </c>
      <c r="H79" s="61"/>
    </row>
    <row r="80" spans="1:8" ht="17.25" x14ac:dyDescent="0.3">
      <c r="A80" s="40">
        <v>14108111</v>
      </c>
      <c r="B80" s="40" t="s">
        <v>69</v>
      </c>
      <c r="C80" s="41" t="s">
        <v>637</v>
      </c>
      <c r="D80" s="41" t="s">
        <v>3</v>
      </c>
      <c r="E80" s="59">
        <v>4.5563783076923077</v>
      </c>
      <c r="F80" s="59">
        <v>5.67417455</v>
      </c>
      <c r="G80" s="60">
        <v>355.58</v>
      </c>
      <c r="H80" s="61"/>
    </row>
    <row r="81" spans="1:8" ht="17.25" x14ac:dyDescent="0.3">
      <c r="A81" s="39">
        <v>14108150</v>
      </c>
      <c r="B81" s="40" t="s">
        <v>70</v>
      </c>
      <c r="C81" s="41" t="s">
        <v>638</v>
      </c>
      <c r="D81" s="41" t="s">
        <v>3</v>
      </c>
      <c r="E81" s="59">
        <v>4.7216406930555559</v>
      </c>
      <c r="F81" s="59">
        <v>5.1535841500000004</v>
      </c>
      <c r="G81" s="60">
        <v>355.58</v>
      </c>
      <c r="H81" s="61"/>
    </row>
    <row r="82" spans="1:8" ht="17.25" x14ac:dyDescent="0.3">
      <c r="A82" s="39">
        <v>14108222</v>
      </c>
      <c r="B82" s="48" t="s">
        <v>71</v>
      </c>
      <c r="C82" s="41" t="s">
        <v>640</v>
      </c>
      <c r="D82" s="41" t="s">
        <v>3</v>
      </c>
      <c r="E82" s="59">
        <v>3.3264274138888887</v>
      </c>
      <c r="F82" s="59">
        <v>4.1529180999999999</v>
      </c>
      <c r="G82" s="60">
        <v>355.58</v>
      </c>
      <c r="H82" s="61"/>
    </row>
    <row r="83" spans="1:8" ht="17.25" x14ac:dyDescent="0.3">
      <c r="A83" s="39">
        <v>14108267</v>
      </c>
      <c r="B83" s="40" t="s">
        <v>72</v>
      </c>
      <c r="C83" s="41" t="s">
        <v>641</v>
      </c>
      <c r="D83" s="41" t="s">
        <v>3</v>
      </c>
      <c r="E83" s="59">
        <v>7.7937372320512823</v>
      </c>
      <c r="F83" s="59">
        <v>7.6856358333333334</v>
      </c>
      <c r="G83" s="60">
        <v>0</v>
      </c>
      <c r="H83" s="61"/>
    </row>
    <row r="84" spans="1:8" ht="17.25" x14ac:dyDescent="0.3">
      <c r="A84" s="39">
        <v>14108271</v>
      </c>
      <c r="B84" s="40" t="s">
        <v>73</v>
      </c>
      <c r="C84" s="41" t="s">
        <v>641</v>
      </c>
      <c r="D84" s="41" t="s">
        <v>3</v>
      </c>
      <c r="E84" s="59">
        <v>4.5407817833333324</v>
      </c>
      <c r="F84" s="59">
        <v>4.9724056999999995</v>
      </c>
      <c r="G84" s="60">
        <v>355.58</v>
      </c>
      <c r="H84" s="61"/>
    </row>
    <row r="85" spans="1:8" ht="17.25" x14ac:dyDescent="0.3">
      <c r="A85" s="39">
        <v>14108361</v>
      </c>
      <c r="B85" s="40" t="s">
        <v>74</v>
      </c>
      <c r="C85" s="41" t="s">
        <v>642</v>
      </c>
      <c r="D85" s="41" t="s">
        <v>3</v>
      </c>
      <c r="E85" s="59" t="s">
        <v>920</v>
      </c>
      <c r="F85" s="59" t="s">
        <v>920</v>
      </c>
      <c r="G85" s="60">
        <v>355.58</v>
      </c>
      <c r="H85" s="61"/>
    </row>
    <row r="86" spans="1:8" ht="17.25" x14ac:dyDescent="0.3">
      <c r="A86" s="39">
        <v>14108382</v>
      </c>
      <c r="B86" s="40" t="s">
        <v>75</v>
      </c>
      <c r="C86" s="41" t="s">
        <v>642</v>
      </c>
      <c r="D86" s="41" t="s">
        <v>3</v>
      </c>
      <c r="E86" s="59">
        <v>7.9219754166666663</v>
      </c>
      <c r="F86" s="59">
        <v>13.276160000000001</v>
      </c>
      <c r="G86" s="60">
        <v>355.58</v>
      </c>
      <c r="H86" s="61"/>
    </row>
    <row r="87" spans="1:8" ht="17.25" x14ac:dyDescent="0.3">
      <c r="A87" s="39">
        <v>14108483</v>
      </c>
      <c r="B87" s="40" t="s">
        <v>76</v>
      </c>
      <c r="C87" s="41" t="s">
        <v>643</v>
      </c>
      <c r="D87" s="41" t="s">
        <v>3</v>
      </c>
      <c r="E87" s="59">
        <v>3.5514511166666658</v>
      </c>
      <c r="F87" s="59">
        <v>3.0482582000000003</v>
      </c>
      <c r="G87" s="60">
        <v>0</v>
      </c>
      <c r="H87" s="61"/>
    </row>
    <row r="88" spans="1:8" ht="17.25" x14ac:dyDescent="0.3">
      <c r="A88" s="39">
        <v>14108552</v>
      </c>
      <c r="B88" s="40" t="s">
        <v>309</v>
      </c>
      <c r="C88" s="41" t="s">
        <v>644</v>
      </c>
      <c r="D88" s="41" t="s">
        <v>3</v>
      </c>
      <c r="E88" s="59">
        <v>8.7869922599999999</v>
      </c>
      <c r="F88" s="59">
        <v>11.96256</v>
      </c>
      <c r="G88" s="60">
        <v>355.58</v>
      </c>
      <c r="H88" s="61"/>
    </row>
    <row r="89" spans="1:8" ht="17.25" x14ac:dyDescent="0.3">
      <c r="A89" s="39">
        <v>14108553</v>
      </c>
      <c r="B89" s="40" t="s">
        <v>155</v>
      </c>
      <c r="C89" s="41" t="s">
        <v>645</v>
      </c>
      <c r="D89" s="41" t="s">
        <v>3</v>
      </c>
      <c r="E89" s="59" t="s">
        <v>920</v>
      </c>
      <c r="F89" s="59" t="s">
        <v>920</v>
      </c>
      <c r="G89" s="60">
        <v>355.58</v>
      </c>
      <c r="H89" s="61"/>
    </row>
    <row r="90" spans="1:8" ht="17.25" x14ac:dyDescent="0.3">
      <c r="A90" s="39">
        <v>14108571</v>
      </c>
      <c r="B90" s="40" t="s">
        <v>77</v>
      </c>
      <c r="C90" s="41" t="s">
        <v>646</v>
      </c>
      <c r="D90" s="41" t="s">
        <v>3</v>
      </c>
      <c r="E90" s="59">
        <v>4.4036493458333332</v>
      </c>
      <c r="F90" s="59">
        <v>5.0284213333333341</v>
      </c>
      <c r="G90" s="60">
        <v>355.58</v>
      </c>
      <c r="H90" s="61"/>
    </row>
    <row r="91" spans="1:8" ht="17.25" x14ac:dyDescent="0.3">
      <c r="A91" s="39">
        <v>14108775</v>
      </c>
      <c r="B91" s="40" t="s">
        <v>178</v>
      </c>
      <c r="C91" s="41" t="s">
        <v>647</v>
      </c>
      <c r="D91" s="41" t="s">
        <v>3</v>
      </c>
      <c r="E91" s="59">
        <v>7.7263121374999999</v>
      </c>
      <c r="F91" s="59">
        <v>7.9271310000000001</v>
      </c>
      <c r="G91" s="60">
        <v>355.58</v>
      </c>
      <c r="H91" s="61"/>
    </row>
    <row r="92" spans="1:8" ht="17.25" x14ac:dyDescent="0.3">
      <c r="A92" s="39">
        <v>14108828</v>
      </c>
      <c r="B92" s="40" t="s">
        <v>225</v>
      </c>
      <c r="C92" s="41" t="s">
        <v>605</v>
      </c>
      <c r="D92" s="41" t="s">
        <v>3</v>
      </c>
      <c r="E92" s="59">
        <v>8.2783842424242451</v>
      </c>
      <c r="F92" s="59">
        <v>8.9816464666666658</v>
      </c>
      <c r="G92" s="60">
        <v>355.58</v>
      </c>
      <c r="H92" s="61"/>
    </row>
    <row r="93" spans="1:8" ht="17.25" x14ac:dyDescent="0.3">
      <c r="A93" s="39">
        <v>14108916</v>
      </c>
      <c r="B93" s="40" t="s">
        <v>79</v>
      </c>
      <c r="C93" s="41" t="s">
        <v>648</v>
      </c>
      <c r="D93" s="41" t="s">
        <v>3</v>
      </c>
      <c r="E93" s="59">
        <v>3.4882064409090914</v>
      </c>
      <c r="F93" s="59">
        <v>4.9741369999999998</v>
      </c>
      <c r="G93" s="60">
        <v>355.58</v>
      </c>
      <c r="H93" s="61"/>
    </row>
    <row r="94" spans="1:8" ht="17.25" x14ac:dyDescent="0.3">
      <c r="A94" s="39">
        <v>14109032</v>
      </c>
      <c r="B94" s="40" t="s">
        <v>80</v>
      </c>
      <c r="C94" s="41" t="s">
        <v>649</v>
      </c>
      <c r="D94" s="41" t="s">
        <v>3</v>
      </c>
      <c r="E94" s="59">
        <v>3.8710509000000002</v>
      </c>
      <c r="F94" s="59">
        <v>4.0309925</v>
      </c>
      <c r="G94" s="60">
        <v>355.58</v>
      </c>
      <c r="H94" s="61"/>
    </row>
    <row r="95" spans="1:8" ht="17.25" x14ac:dyDescent="0.3">
      <c r="A95" s="39">
        <v>14109097</v>
      </c>
      <c r="B95" s="40" t="s">
        <v>81</v>
      </c>
      <c r="C95" s="41" t="s">
        <v>650</v>
      </c>
      <c r="D95" s="41" t="s">
        <v>3</v>
      </c>
      <c r="E95" s="59">
        <v>4.6120012694444439</v>
      </c>
      <c r="F95" s="59">
        <v>5.2451865</v>
      </c>
      <c r="G95" s="60">
        <v>355.58</v>
      </c>
      <c r="H95" s="61"/>
    </row>
    <row r="96" spans="1:8" ht="17.25" x14ac:dyDescent="0.3">
      <c r="A96" s="40">
        <v>14109131</v>
      </c>
      <c r="B96" s="40" t="s">
        <v>82</v>
      </c>
      <c r="C96" s="41" t="s">
        <v>650</v>
      </c>
      <c r="D96" s="41" t="s">
        <v>3</v>
      </c>
      <c r="E96" s="59">
        <v>4.3749426833333338</v>
      </c>
      <c r="F96" s="59">
        <v>5.0441000999999996</v>
      </c>
      <c r="G96" s="60">
        <v>355.58</v>
      </c>
      <c r="H96" s="61"/>
    </row>
    <row r="97" spans="1:9" ht="17.25" x14ac:dyDescent="0.3">
      <c r="A97" s="40">
        <v>14109133</v>
      </c>
      <c r="B97" s="40" t="s">
        <v>83</v>
      </c>
      <c r="C97" s="41" t="s">
        <v>650</v>
      </c>
      <c r="D97" s="41" t="s">
        <v>3</v>
      </c>
      <c r="E97" s="59">
        <v>4.4212360277777769</v>
      </c>
      <c r="F97" s="59">
        <v>4.5</v>
      </c>
      <c r="G97" s="60">
        <v>355.58</v>
      </c>
      <c r="H97" s="61"/>
    </row>
    <row r="98" spans="1:9" ht="17.25" x14ac:dyDescent="0.3">
      <c r="A98" s="40">
        <v>14109134</v>
      </c>
      <c r="B98" s="40" t="s">
        <v>84</v>
      </c>
      <c r="C98" s="41" t="s">
        <v>650</v>
      </c>
      <c r="D98" s="41" t="s">
        <v>3</v>
      </c>
      <c r="E98" s="59">
        <v>4.8132289653846154</v>
      </c>
      <c r="F98" s="59">
        <v>5.3184328000000001</v>
      </c>
      <c r="G98" s="60">
        <v>355.58</v>
      </c>
      <c r="H98" s="61"/>
    </row>
    <row r="99" spans="1:9" ht="17.25" x14ac:dyDescent="0.3">
      <c r="A99" s="40">
        <v>14109378</v>
      </c>
      <c r="B99" s="40" t="s">
        <v>85</v>
      </c>
      <c r="C99" s="41" t="s">
        <v>651</v>
      </c>
      <c r="D99" s="41" t="s">
        <v>3</v>
      </c>
      <c r="E99" s="59">
        <v>4.3904208000000002</v>
      </c>
      <c r="F99" s="59">
        <v>5.2559726500000004</v>
      </c>
      <c r="G99" s="60">
        <v>355.58</v>
      </c>
      <c r="H99" s="61"/>
    </row>
    <row r="100" spans="1:9" ht="17.25" x14ac:dyDescent="0.3">
      <c r="A100" s="39">
        <v>14109408</v>
      </c>
      <c r="B100" s="40" t="s">
        <v>86</v>
      </c>
      <c r="C100" s="41" t="s">
        <v>652</v>
      </c>
      <c r="D100" s="41" t="s">
        <v>3</v>
      </c>
      <c r="E100" s="59">
        <v>9.5058735769230776</v>
      </c>
      <c r="F100" s="59">
        <v>9.6652959999999997</v>
      </c>
      <c r="G100" s="60">
        <v>355.58</v>
      </c>
      <c r="H100" s="61"/>
    </row>
    <row r="101" spans="1:9" ht="17.25" x14ac:dyDescent="0.3">
      <c r="A101" s="39">
        <v>14109430</v>
      </c>
      <c r="B101" s="40" t="s">
        <v>87</v>
      </c>
      <c r="C101" s="41" t="s">
        <v>653</v>
      </c>
      <c r="D101" s="41" t="s">
        <v>3</v>
      </c>
      <c r="E101" s="59">
        <v>9.5058735769230776</v>
      </c>
      <c r="F101" s="59">
        <v>13.199804</v>
      </c>
      <c r="G101" s="60">
        <v>355.58</v>
      </c>
      <c r="H101" s="61"/>
    </row>
    <row r="102" spans="1:9" ht="17.25" x14ac:dyDescent="0.3">
      <c r="A102" s="39">
        <v>14109435</v>
      </c>
      <c r="B102" s="40" t="s">
        <v>88</v>
      </c>
      <c r="C102" s="41" t="s">
        <v>654</v>
      </c>
      <c r="D102" s="41" t="s">
        <v>3</v>
      </c>
      <c r="E102" s="59">
        <v>4.5934848484848478</v>
      </c>
      <c r="F102" s="59">
        <v>4.6395660000000003</v>
      </c>
      <c r="G102" s="60">
        <v>355.58</v>
      </c>
      <c r="H102" s="61"/>
    </row>
    <row r="103" spans="1:9" ht="17.25" x14ac:dyDescent="0.3">
      <c r="A103" s="39">
        <v>14109436</v>
      </c>
      <c r="B103" s="40" t="s">
        <v>364</v>
      </c>
      <c r="C103" s="41" t="s">
        <v>655</v>
      </c>
      <c r="D103" s="41" t="s">
        <v>3</v>
      </c>
      <c r="E103" s="59">
        <v>3.3040000000000003</v>
      </c>
      <c r="F103" s="59">
        <v>4.7530141666666665</v>
      </c>
      <c r="G103" s="60">
        <v>355.58</v>
      </c>
      <c r="H103" s="61"/>
    </row>
    <row r="104" spans="1:9" ht="17.25" x14ac:dyDescent="0.3">
      <c r="A104" s="39">
        <v>14109648</v>
      </c>
      <c r="B104" s="40" t="s">
        <v>211</v>
      </c>
      <c r="C104" s="41" t="s">
        <v>656</v>
      </c>
      <c r="D104" s="41" t="s">
        <v>3</v>
      </c>
      <c r="E104" s="59">
        <v>3.8213411408333338</v>
      </c>
      <c r="F104" s="59">
        <v>3.91</v>
      </c>
      <c r="G104" s="60">
        <v>355.58</v>
      </c>
      <c r="H104" s="61"/>
      <c r="I104" s="62"/>
    </row>
    <row r="105" spans="1:9" ht="17.25" x14ac:dyDescent="0.3">
      <c r="A105" s="40">
        <v>14109664</v>
      </c>
      <c r="B105" s="40" t="s">
        <v>89</v>
      </c>
      <c r="C105" s="41" t="s">
        <v>657</v>
      </c>
      <c r="D105" s="41" t="s">
        <v>3</v>
      </c>
      <c r="E105" s="59">
        <v>4.7187575564102566</v>
      </c>
      <c r="F105" s="59">
        <v>5.2646461000000002</v>
      </c>
      <c r="G105" s="60">
        <v>355.58</v>
      </c>
      <c r="H105" s="61"/>
    </row>
    <row r="106" spans="1:9" ht="17.25" x14ac:dyDescent="0.3">
      <c r="A106" s="40">
        <v>14109674</v>
      </c>
      <c r="B106" s="48" t="s">
        <v>90</v>
      </c>
      <c r="C106" s="41" t="s">
        <v>658</v>
      </c>
      <c r="D106" s="41" t="s">
        <v>3</v>
      </c>
      <c r="E106" s="59">
        <v>9.26</v>
      </c>
      <c r="F106" s="59">
        <v>9.82</v>
      </c>
      <c r="G106" s="60">
        <v>355.58</v>
      </c>
      <c r="H106" s="61"/>
    </row>
    <row r="107" spans="1:9" ht="17.25" x14ac:dyDescent="0.3">
      <c r="A107" s="39">
        <v>14109677</v>
      </c>
      <c r="B107" s="40" t="s">
        <v>91</v>
      </c>
      <c r="C107" s="41" t="s">
        <v>658</v>
      </c>
      <c r="D107" s="41" t="s">
        <v>3</v>
      </c>
      <c r="E107" s="59" t="s">
        <v>920</v>
      </c>
      <c r="F107" s="59" t="s">
        <v>920</v>
      </c>
      <c r="G107" s="60">
        <v>355.58</v>
      </c>
      <c r="H107" s="61"/>
    </row>
    <row r="108" spans="1:9" ht="17.25" x14ac:dyDescent="0.3">
      <c r="A108" s="39">
        <v>14109707</v>
      </c>
      <c r="B108" s="48" t="s">
        <v>92</v>
      </c>
      <c r="C108" s="41" t="s">
        <v>659</v>
      </c>
      <c r="D108" s="41" t="s">
        <v>3</v>
      </c>
      <c r="E108" s="59">
        <v>4.38</v>
      </c>
      <c r="F108" s="59">
        <v>5.1910993999999997</v>
      </c>
      <c r="G108" s="60">
        <v>355.58</v>
      </c>
      <c r="H108" s="61"/>
    </row>
    <row r="109" spans="1:9" ht="17.25" x14ac:dyDescent="0.3">
      <c r="A109" s="40">
        <v>14109738</v>
      </c>
      <c r="B109" s="40" t="s">
        <v>93</v>
      </c>
      <c r="C109" s="41" t="s">
        <v>660</v>
      </c>
      <c r="D109" s="41" t="s">
        <v>3</v>
      </c>
      <c r="E109" s="59">
        <v>8.4256221904761919</v>
      </c>
      <c r="F109" s="59">
        <v>10.154211333333334</v>
      </c>
      <c r="G109" s="60">
        <v>355.58</v>
      </c>
      <c r="H109" s="61"/>
      <c r="I109" s="62"/>
    </row>
    <row r="110" spans="1:9" ht="17.25" x14ac:dyDescent="0.3">
      <c r="A110" s="39">
        <v>14109748</v>
      </c>
      <c r="B110" s="40" t="s">
        <v>94</v>
      </c>
      <c r="C110" s="41" t="s">
        <v>661</v>
      </c>
      <c r="D110" s="41" t="s">
        <v>3</v>
      </c>
      <c r="E110" s="59" t="s">
        <v>921</v>
      </c>
      <c r="F110" s="59" t="s">
        <v>921</v>
      </c>
      <c r="G110" s="60">
        <v>355.58</v>
      </c>
      <c r="H110" s="61"/>
    </row>
    <row r="111" spans="1:9" ht="17.25" x14ac:dyDescent="0.3">
      <c r="A111" s="40">
        <v>14109802</v>
      </c>
      <c r="B111" s="40" t="s">
        <v>95</v>
      </c>
      <c r="C111" s="41" t="s">
        <v>662</v>
      </c>
      <c r="D111" s="41" t="s">
        <v>3</v>
      </c>
      <c r="E111" s="59">
        <v>9.2786050192307687</v>
      </c>
      <c r="F111" s="59">
        <v>9.6080876666666661</v>
      </c>
      <c r="G111" s="60">
        <v>355.58</v>
      </c>
      <c r="H111" s="61"/>
    </row>
    <row r="112" spans="1:9" ht="17.25" x14ac:dyDescent="0.3">
      <c r="A112" s="39">
        <v>14109808</v>
      </c>
      <c r="B112" s="40" t="s">
        <v>96</v>
      </c>
      <c r="C112" s="41" t="s">
        <v>663</v>
      </c>
      <c r="D112" s="41" t="s">
        <v>3</v>
      </c>
      <c r="E112" s="59">
        <v>3.9</v>
      </c>
      <c r="F112" s="59">
        <v>3.1756616000000002</v>
      </c>
      <c r="G112" s="60">
        <v>0</v>
      </c>
      <c r="H112" s="61"/>
    </row>
    <row r="113" spans="1:9" ht="17.25" x14ac:dyDescent="0.3">
      <c r="A113" s="39">
        <v>14109874</v>
      </c>
      <c r="B113" s="40" t="s">
        <v>97</v>
      </c>
      <c r="C113" s="41" t="s">
        <v>664</v>
      </c>
      <c r="D113" s="41" t="s">
        <v>3</v>
      </c>
      <c r="E113" s="59" t="s">
        <v>920</v>
      </c>
      <c r="F113" s="59" t="s">
        <v>920</v>
      </c>
      <c r="G113" s="60">
        <v>355.58</v>
      </c>
      <c r="H113" s="61"/>
    </row>
    <row r="114" spans="1:9" ht="17.25" x14ac:dyDescent="0.3">
      <c r="A114" s="39">
        <v>14109948</v>
      </c>
      <c r="B114" s="40" t="s">
        <v>165</v>
      </c>
      <c r="C114" s="41" t="s">
        <v>665</v>
      </c>
      <c r="D114" s="41" t="s">
        <v>3</v>
      </c>
      <c r="E114" s="59" t="s">
        <v>920</v>
      </c>
      <c r="F114" s="59" t="s">
        <v>920</v>
      </c>
      <c r="G114" s="60">
        <v>355.58</v>
      </c>
      <c r="H114" s="61"/>
    </row>
    <row r="115" spans="1:9" ht="17.25" x14ac:dyDescent="0.3">
      <c r="A115" s="39">
        <v>14110039</v>
      </c>
      <c r="B115" s="40" t="s">
        <v>98</v>
      </c>
      <c r="C115" s="41" t="s">
        <v>666</v>
      </c>
      <c r="D115" s="41" t="s">
        <v>3</v>
      </c>
      <c r="E115" s="59">
        <v>3.9670752775641023</v>
      </c>
      <c r="F115" s="59">
        <v>4.6814166999999998</v>
      </c>
      <c r="G115" s="60">
        <v>355.58</v>
      </c>
      <c r="H115" s="61"/>
    </row>
    <row r="116" spans="1:9" ht="17.25" x14ac:dyDescent="0.3">
      <c r="A116" s="39">
        <v>14110040</v>
      </c>
      <c r="B116" s="40" t="s">
        <v>99</v>
      </c>
      <c r="C116" s="41" t="s">
        <v>666</v>
      </c>
      <c r="D116" s="41" t="s">
        <v>3</v>
      </c>
      <c r="E116" s="59">
        <v>4.3873937969696977</v>
      </c>
      <c r="F116" s="59">
        <v>6.1557507999999999</v>
      </c>
      <c r="G116" s="60">
        <v>355.58</v>
      </c>
      <c r="H116" s="61"/>
    </row>
    <row r="117" spans="1:9" ht="17.25" x14ac:dyDescent="0.3">
      <c r="A117" s="40">
        <v>14110042</v>
      </c>
      <c r="B117" s="40" t="s">
        <v>329</v>
      </c>
      <c r="C117" s="41" t="s">
        <v>666</v>
      </c>
      <c r="D117" s="41" t="s">
        <v>3</v>
      </c>
      <c r="E117" s="59">
        <v>3.9</v>
      </c>
      <c r="F117" s="59">
        <v>4.6522059333333337</v>
      </c>
      <c r="G117" s="60">
        <v>355.58</v>
      </c>
      <c r="H117" s="61"/>
    </row>
    <row r="118" spans="1:9" ht="17.25" x14ac:dyDescent="0.3">
      <c r="A118" s="39">
        <v>14110044</v>
      </c>
      <c r="B118" s="40" t="s">
        <v>145</v>
      </c>
      <c r="C118" s="41" t="s">
        <v>667</v>
      </c>
      <c r="D118" s="41" t="s">
        <v>3</v>
      </c>
      <c r="E118" s="59">
        <v>4.6671508138888891</v>
      </c>
      <c r="F118" s="59">
        <v>5.6526305499999996</v>
      </c>
      <c r="G118" s="60">
        <v>355.58</v>
      </c>
      <c r="H118" s="61"/>
    </row>
    <row r="119" spans="1:9" ht="17.25" x14ac:dyDescent="0.3">
      <c r="A119" s="39">
        <v>14110292</v>
      </c>
      <c r="B119" s="40" t="s">
        <v>100</v>
      </c>
      <c r="C119" s="41" t="s">
        <v>668</v>
      </c>
      <c r="D119" s="41" t="s">
        <v>3</v>
      </c>
      <c r="E119" s="59">
        <v>10.091696499999999</v>
      </c>
      <c r="F119" s="59">
        <v>12.723095000000001</v>
      </c>
      <c r="G119" s="60">
        <v>355.58</v>
      </c>
      <c r="H119" s="61"/>
    </row>
    <row r="120" spans="1:9" ht="17.25" x14ac:dyDescent="0.3">
      <c r="A120" s="39">
        <v>14110336</v>
      </c>
      <c r="B120" s="40" t="s">
        <v>983</v>
      </c>
      <c r="C120" s="41" t="s">
        <v>984</v>
      </c>
      <c r="D120" s="41" t="s">
        <v>3</v>
      </c>
      <c r="E120" s="59" t="e">
        <v>#N/A</v>
      </c>
      <c r="F120" s="59" t="e">
        <v>#N/A</v>
      </c>
      <c r="G120" s="60" t="e">
        <v>#N/A</v>
      </c>
      <c r="H120" s="61"/>
    </row>
    <row r="121" spans="1:9" ht="17.25" x14ac:dyDescent="0.3">
      <c r="A121" s="39">
        <v>14110339</v>
      </c>
      <c r="B121" s="40" t="s">
        <v>101</v>
      </c>
      <c r="C121" s="41" t="s">
        <v>670</v>
      </c>
      <c r="D121" s="41" t="s">
        <v>3</v>
      </c>
      <c r="E121" s="59">
        <v>3.3031510352564104</v>
      </c>
      <c r="F121" s="59">
        <v>5.3315619999999999</v>
      </c>
      <c r="G121" s="60">
        <v>355.58</v>
      </c>
      <c r="H121" s="61"/>
    </row>
    <row r="122" spans="1:9" ht="17.25" x14ac:dyDescent="0.3">
      <c r="A122" s="39">
        <v>14110465</v>
      </c>
      <c r="B122" s="48" t="s">
        <v>102</v>
      </c>
      <c r="C122" s="41" t="s">
        <v>671</v>
      </c>
      <c r="D122" s="41" t="s">
        <v>3</v>
      </c>
      <c r="E122" s="59" t="s">
        <v>920</v>
      </c>
      <c r="F122" s="59" t="s">
        <v>920</v>
      </c>
      <c r="G122" s="60">
        <v>355.58</v>
      </c>
      <c r="H122" s="61"/>
      <c r="I122" s="62"/>
    </row>
    <row r="123" spans="1:9" ht="17.25" x14ac:dyDescent="0.3">
      <c r="A123" s="40">
        <v>14110506</v>
      </c>
      <c r="B123" s="40" t="s">
        <v>421</v>
      </c>
      <c r="C123" s="41" t="s">
        <v>672</v>
      </c>
      <c r="D123" s="41" t="s">
        <v>3</v>
      </c>
      <c r="E123" s="59">
        <v>3.5668812564102566</v>
      </c>
      <c r="F123" s="59">
        <v>4.4175490999999996</v>
      </c>
      <c r="G123" s="60">
        <v>355.58</v>
      </c>
      <c r="H123" s="61"/>
    </row>
    <row r="124" spans="1:9" ht="17.25" x14ac:dyDescent="0.3">
      <c r="A124" s="39">
        <v>14110512</v>
      </c>
      <c r="B124" s="40" t="s">
        <v>183</v>
      </c>
      <c r="C124" s="41" t="s">
        <v>673</v>
      </c>
      <c r="D124" s="41" t="s">
        <v>3</v>
      </c>
      <c r="E124" s="59" t="s">
        <v>920</v>
      </c>
      <c r="F124" s="59" t="s">
        <v>920</v>
      </c>
      <c r="G124" s="60">
        <v>355.58</v>
      </c>
      <c r="H124" s="61"/>
    </row>
    <row r="125" spans="1:9" ht="17.25" x14ac:dyDescent="0.3">
      <c r="A125" s="40">
        <v>14110550</v>
      </c>
      <c r="B125" s="40" t="s">
        <v>103</v>
      </c>
      <c r="C125" s="41" t="s">
        <v>674</v>
      </c>
      <c r="D125" s="41" t="s">
        <v>3</v>
      </c>
      <c r="E125" s="59">
        <v>9.9249078749999988</v>
      </c>
      <c r="F125" s="59">
        <v>8.5342570000000002</v>
      </c>
      <c r="G125" s="60">
        <v>0</v>
      </c>
      <c r="H125" s="61"/>
    </row>
    <row r="126" spans="1:9" ht="17.25" x14ac:dyDescent="0.3">
      <c r="A126" s="39">
        <v>14110604</v>
      </c>
      <c r="B126" s="40" t="s">
        <v>330</v>
      </c>
      <c r="C126" s="41" t="s">
        <v>675</v>
      </c>
      <c r="D126" s="41" t="s">
        <v>3</v>
      </c>
      <c r="E126" s="59">
        <v>8.3873394794871796</v>
      </c>
      <c r="F126" s="59">
        <v>9.2377383000000002</v>
      </c>
      <c r="G126" s="60">
        <v>355.58</v>
      </c>
      <c r="H126" s="61"/>
    </row>
    <row r="127" spans="1:9" ht="17.25" x14ac:dyDescent="0.3">
      <c r="A127" s="39">
        <v>14110707</v>
      </c>
      <c r="B127" s="40" t="s">
        <v>267</v>
      </c>
      <c r="C127" s="41" t="s">
        <v>676</v>
      </c>
      <c r="D127" s="41" t="s">
        <v>3</v>
      </c>
      <c r="E127" s="59">
        <v>7.5587154508241747</v>
      </c>
      <c r="F127" s="59">
        <v>7.0682237142857147</v>
      </c>
      <c r="G127" s="60">
        <v>0</v>
      </c>
      <c r="H127" s="61"/>
    </row>
    <row r="128" spans="1:9" ht="17.25" x14ac:dyDescent="0.3">
      <c r="A128" s="39">
        <v>14110741</v>
      </c>
      <c r="B128" s="48" t="s">
        <v>310</v>
      </c>
      <c r="C128" s="41" t="s">
        <v>677</v>
      </c>
      <c r="D128" s="41" t="s">
        <v>3</v>
      </c>
      <c r="E128" s="59" t="s">
        <v>920</v>
      </c>
      <c r="F128" s="59" t="s">
        <v>920</v>
      </c>
      <c r="G128" s="60">
        <v>355.58</v>
      </c>
      <c r="H128" s="61"/>
    </row>
    <row r="129" spans="1:9" ht="17.25" x14ac:dyDescent="0.3">
      <c r="A129" s="39">
        <v>14110761</v>
      </c>
      <c r="B129" s="40" t="s">
        <v>104</v>
      </c>
      <c r="C129" s="41" t="s">
        <v>678</v>
      </c>
      <c r="D129" s="41" t="s">
        <v>3</v>
      </c>
      <c r="E129" s="59" t="s">
        <v>920</v>
      </c>
      <c r="F129" s="59" t="s">
        <v>920</v>
      </c>
      <c r="G129" s="60">
        <v>355.58</v>
      </c>
      <c r="H129" s="61"/>
    </row>
    <row r="130" spans="1:9" ht="17.25" x14ac:dyDescent="0.3">
      <c r="A130" s="40">
        <v>14110765</v>
      </c>
      <c r="B130" s="40" t="s">
        <v>105</v>
      </c>
      <c r="C130" s="41" t="s">
        <v>678</v>
      </c>
      <c r="D130" s="41" t="s">
        <v>3</v>
      </c>
      <c r="E130" s="59">
        <v>7.4958926606060619</v>
      </c>
      <c r="F130" s="59">
        <v>10.2225567</v>
      </c>
      <c r="G130" s="60">
        <v>355.58</v>
      </c>
      <c r="H130" s="61"/>
    </row>
    <row r="131" spans="1:9" ht="17.25" x14ac:dyDescent="0.3">
      <c r="A131" s="39">
        <v>14110799</v>
      </c>
      <c r="B131" s="40" t="s">
        <v>455</v>
      </c>
      <c r="C131" s="41" t="s">
        <v>598</v>
      </c>
      <c r="D131" s="41" t="s">
        <v>3</v>
      </c>
      <c r="E131" s="59">
        <v>4.4629455292307689</v>
      </c>
      <c r="F131" s="59">
        <v>3.4426425500000004</v>
      </c>
      <c r="G131" s="60">
        <v>0</v>
      </c>
      <c r="H131" s="61"/>
    </row>
    <row r="132" spans="1:9" ht="17.25" x14ac:dyDescent="0.3">
      <c r="A132" s="39">
        <v>14110929</v>
      </c>
      <c r="B132" s="40" t="s">
        <v>179</v>
      </c>
      <c r="C132" s="41" t="s">
        <v>647</v>
      </c>
      <c r="D132" s="41" t="s">
        <v>3</v>
      </c>
      <c r="E132" s="59">
        <v>4.3345068679487193</v>
      </c>
      <c r="F132" s="59">
        <v>2.462748466666667</v>
      </c>
      <c r="G132" s="60">
        <v>0</v>
      </c>
      <c r="H132" s="61"/>
    </row>
    <row r="133" spans="1:9" ht="17.25" x14ac:dyDescent="0.3">
      <c r="A133" s="39">
        <v>14110973</v>
      </c>
      <c r="B133" s="40" t="s">
        <v>106</v>
      </c>
      <c r="C133" s="41" t="s">
        <v>679</v>
      </c>
      <c r="D133" s="41" t="s">
        <v>3</v>
      </c>
      <c r="E133" s="59">
        <v>3.984360679166667</v>
      </c>
      <c r="F133" s="59">
        <v>3.9486857666666673</v>
      </c>
      <c r="G133" s="60">
        <v>0</v>
      </c>
      <c r="H133" s="61"/>
    </row>
    <row r="134" spans="1:9" ht="17.25" x14ac:dyDescent="0.3">
      <c r="A134" s="39">
        <v>14110974</v>
      </c>
      <c r="B134" s="48" t="s">
        <v>107</v>
      </c>
      <c r="C134" s="41" t="s">
        <v>679</v>
      </c>
      <c r="D134" s="41" t="s">
        <v>3</v>
      </c>
      <c r="E134" s="59">
        <v>8.8317246794871789</v>
      </c>
      <c r="F134" s="59">
        <v>11.454863</v>
      </c>
      <c r="G134" s="60">
        <v>355.58</v>
      </c>
      <c r="H134" s="61"/>
    </row>
    <row r="135" spans="1:9" ht="17.25" x14ac:dyDescent="0.3">
      <c r="A135" s="40">
        <v>14110978</v>
      </c>
      <c r="B135" s="40" t="s">
        <v>108</v>
      </c>
      <c r="C135" s="41" t="s">
        <v>679</v>
      </c>
      <c r="D135" s="41" t="s">
        <v>3</v>
      </c>
      <c r="E135" s="59" t="s">
        <v>920</v>
      </c>
      <c r="F135" s="59" t="s">
        <v>920</v>
      </c>
      <c r="G135" s="60">
        <v>355.58</v>
      </c>
      <c r="H135" s="61"/>
    </row>
    <row r="136" spans="1:9" ht="17.25" x14ac:dyDescent="0.3">
      <c r="A136" s="39">
        <v>14111143</v>
      </c>
      <c r="B136" s="40" t="s">
        <v>109</v>
      </c>
      <c r="C136" s="41" t="s">
        <v>680</v>
      </c>
      <c r="D136" s="41" t="s">
        <v>3</v>
      </c>
      <c r="E136" s="59">
        <v>3.5372917513888891</v>
      </c>
      <c r="F136" s="59">
        <v>3.6834874333333332</v>
      </c>
      <c r="G136" s="60">
        <v>355.58</v>
      </c>
      <c r="H136" s="61"/>
    </row>
    <row r="137" spans="1:9" ht="17.25" x14ac:dyDescent="0.3">
      <c r="A137" s="39">
        <v>14111266</v>
      </c>
      <c r="B137" s="40" t="s">
        <v>110</v>
      </c>
      <c r="C137" s="41" t="s">
        <v>681</v>
      </c>
      <c r="D137" s="41" t="s">
        <v>3</v>
      </c>
      <c r="E137" s="59">
        <v>4.2872707954545453</v>
      </c>
      <c r="F137" s="59">
        <v>4.6204044666666668</v>
      </c>
      <c r="G137" s="60">
        <v>355.58</v>
      </c>
      <c r="H137" s="61"/>
    </row>
    <row r="138" spans="1:9" ht="17.25" x14ac:dyDescent="0.3">
      <c r="A138" s="39">
        <v>14111557</v>
      </c>
      <c r="B138" s="40" t="s">
        <v>111</v>
      </c>
      <c r="C138" s="41" t="s">
        <v>682</v>
      </c>
      <c r="D138" s="41" t="s">
        <v>3</v>
      </c>
      <c r="E138" s="59" t="s">
        <v>920</v>
      </c>
      <c r="F138" s="59" t="s">
        <v>920</v>
      </c>
      <c r="G138" s="60">
        <v>355.58</v>
      </c>
      <c r="H138" s="61"/>
    </row>
    <row r="139" spans="1:9" ht="17.25" x14ac:dyDescent="0.3">
      <c r="A139" s="39">
        <v>14111675</v>
      </c>
      <c r="B139" s="40" t="s">
        <v>112</v>
      </c>
      <c r="C139" s="41" t="s">
        <v>683</v>
      </c>
      <c r="D139" s="41" t="s">
        <v>3</v>
      </c>
      <c r="E139" s="59" t="s">
        <v>920</v>
      </c>
      <c r="F139" s="59" t="s">
        <v>920</v>
      </c>
      <c r="G139" s="60">
        <v>355.58</v>
      </c>
      <c r="H139" s="61"/>
    </row>
    <row r="140" spans="1:9" ht="17.25" x14ac:dyDescent="0.3">
      <c r="A140" s="39">
        <v>14111678</v>
      </c>
      <c r="B140" s="40" t="s">
        <v>283</v>
      </c>
      <c r="C140" s="41" t="s">
        <v>684</v>
      </c>
      <c r="D140" s="41" t="s">
        <v>3</v>
      </c>
      <c r="E140" s="59">
        <v>3.8213411408333338</v>
      </c>
      <c r="F140" s="59">
        <v>2.6762609999999998</v>
      </c>
      <c r="G140" s="60">
        <v>0</v>
      </c>
      <c r="H140" s="61"/>
    </row>
    <row r="141" spans="1:9" ht="17.25" x14ac:dyDescent="0.3">
      <c r="A141" s="39">
        <v>14111754</v>
      </c>
      <c r="B141" s="48" t="s">
        <v>311</v>
      </c>
      <c r="C141" s="41" t="s">
        <v>685</v>
      </c>
      <c r="D141" s="41" t="s">
        <v>3</v>
      </c>
      <c r="E141" s="59">
        <v>3.4046249999999998</v>
      </c>
      <c r="F141" s="59">
        <v>4.0922000000000001</v>
      </c>
      <c r="G141" s="60">
        <v>355.58</v>
      </c>
      <c r="H141" s="61"/>
    </row>
    <row r="142" spans="1:9" ht="17.25" x14ac:dyDescent="0.3">
      <c r="A142" s="40">
        <v>14112026</v>
      </c>
      <c r="B142" s="40" t="s">
        <v>113</v>
      </c>
      <c r="C142" s="41" t="s">
        <v>686</v>
      </c>
      <c r="D142" s="41" t="s">
        <v>3</v>
      </c>
      <c r="E142" s="59">
        <v>4.054580575641026</v>
      </c>
      <c r="F142" s="59">
        <v>4.19617825</v>
      </c>
      <c r="G142" s="60">
        <v>355.58</v>
      </c>
      <c r="H142" s="61"/>
    </row>
    <row r="143" spans="1:9" ht="17.25" x14ac:dyDescent="0.3">
      <c r="A143" s="39">
        <v>14112124</v>
      </c>
      <c r="B143" s="40" t="s">
        <v>250</v>
      </c>
      <c r="C143" s="41" t="s">
        <v>687</v>
      </c>
      <c r="D143" s="41" t="s">
        <v>3</v>
      </c>
      <c r="E143" s="59">
        <v>3.8341116935897444</v>
      </c>
      <c r="F143" s="59">
        <v>6.9298622249999999</v>
      </c>
      <c r="G143" s="60">
        <v>355.58</v>
      </c>
      <c r="H143" s="61"/>
    </row>
    <row r="144" spans="1:9" ht="17.25" x14ac:dyDescent="0.3">
      <c r="A144" s="39">
        <v>14112174</v>
      </c>
      <c r="B144" s="40" t="s">
        <v>114</v>
      </c>
      <c r="C144" s="41" t="s">
        <v>688</v>
      </c>
      <c r="D144" s="41" t="s">
        <v>3</v>
      </c>
      <c r="E144" s="59">
        <v>3.3152766307692305</v>
      </c>
      <c r="F144" s="59">
        <v>4.0787895000000001</v>
      </c>
      <c r="G144" s="60">
        <v>355.58</v>
      </c>
      <c r="H144" s="61"/>
      <c r="I144" s="62"/>
    </row>
    <row r="145" spans="1:8" ht="17.25" x14ac:dyDescent="0.3">
      <c r="A145" s="40">
        <v>14112197</v>
      </c>
      <c r="B145" s="40" t="s">
        <v>242</v>
      </c>
      <c r="C145" s="41" t="s">
        <v>689</v>
      </c>
      <c r="D145" s="41" t="s">
        <v>3</v>
      </c>
      <c r="E145" s="59">
        <v>4.0679284278388277</v>
      </c>
      <c r="F145" s="59">
        <v>3.6440953249999999</v>
      </c>
      <c r="G145" s="60">
        <v>0</v>
      </c>
      <c r="H145" s="61"/>
    </row>
    <row r="146" spans="1:8" ht="17.25" x14ac:dyDescent="0.3">
      <c r="A146" s="39">
        <v>14112292</v>
      </c>
      <c r="B146" s="40" t="s">
        <v>190</v>
      </c>
      <c r="C146" s="41" t="s">
        <v>690</v>
      </c>
      <c r="D146" s="41" t="s">
        <v>3</v>
      </c>
      <c r="E146" s="59">
        <v>3.9916385777777776</v>
      </c>
      <c r="F146" s="59">
        <v>5.09536005</v>
      </c>
      <c r="G146" s="60">
        <v>355.58</v>
      </c>
      <c r="H146" s="61"/>
    </row>
    <row r="147" spans="1:8" ht="17.25" x14ac:dyDescent="0.3">
      <c r="A147" s="39">
        <v>14112449</v>
      </c>
      <c r="B147" s="48" t="s">
        <v>192</v>
      </c>
      <c r="C147" s="41" t="s">
        <v>691</v>
      </c>
      <c r="D147" s="41" t="s">
        <v>3</v>
      </c>
      <c r="E147" s="59">
        <v>4.2640866666666657</v>
      </c>
      <c r="F147" s="59">
        <v>4.7589986333333334</v>
      </c>
      <c r="G147" s="60">
        <v>355.58</v>
      </c>
      <c r="H147" s="61"/>
    </row>
    <row r="148" spans="1:8" ht="17.25" x14ac:dyDescent="0.3">
      <c r="A148" s="39">
        <v>14112588</v>
      </c>
      <c r="B148" s="40" t="s">
        <v>931</v>
      </c>
      <c r="C148" s="41" t="s">
        <v>932</v>
      </c>
      <c r="D148" s="41" t="s">
        <v>3</v>
      </c>
      <c r="E148" s="59">
        <v>4.7162338458333339</v>
      </c>
      <c r="F148" s="59">
        <v>6.1523433000000001</v>
      </c>
      <c r="G148" s="60">
        <v>355.58</v>
      </c>
      <c r="H148" s="61"/>
    </row>
    <row r="149" spans="1:8" ht="17.25" x14ac:dyDescent="0.3">
      <c r="A149" s="39">
        <v>14112591</v>
      </c>
      <c r="B149" s="40" t="s">
        <v>115</v>
      </c>
      <c r="C149" s="41" t="s">
        <v>611</v>
      </c>
      <c r="D149" s="41" t="s">
        <v>3</v>
      </c>
      <c r="E149" s="59">
        <v>4.1204450000000001</v>
      </c>
      <c r="F149" s="59">
        <v>5.0593070000000004</v>
      </c>
      <c r="G149" s="60">
        <v>355.58</v>
      </c>
      <c r="H149" s="61"/>
    </row>
    <row r="150" spans="1:8" ht="17.25" x14ac:dyDescent="0.3">
      <c r="A150" s="39">
        <v>14112592</v>
      </c>
      <c r="B150" s="40" t="s">
        <v>116</v>
      </c>
      <c r="C150" s="41" t="s">
        <v>611</v>
      </c>
      <c r="D150" s="41" t="s">
        <v>3</v>
      </c>
      <c r="E150" s="59">
        <v>4.3696389812500005</v>
      </c>
      <c r="F150" s="59">
        <v>5.7287163999999997</v>
      </c>
      <c r="G150" s="60">
        <v>355.58</v>
      </c>
      <c r="H150" s="61"/>
    </row>
    <row r="151" spans="1:8" ht="17.25" x14ac:dyDescent="0.3">
      <c r="A151" s="39">
        <v>14112595</v>
      </c>
      <c r="B151" s="40" t="s">
        <v>365</v>
      </c>
      <c r="C151" s="41" t="s">
        <v>655</v>
      </c>
      <c r="D151" s="41" t="s">
        <v>3</v>
      </c>
      <c r="E151" s="59">
        <v>3.5755624562500001</v>
      </c>
      <c r="F151" s="59">
        <v>3.8653585000000001</v>
      </c>
      <c r="G151" s="60">
        <v>355.58</v>
      </c>
      <c r="H151" s="61"/>
    </row>
    <row r="152" spans="1:8" ht="17.25" x14ac:dyDescent="0.3">
      <c r="A152" s="39">
        <v>14112597</v>
      </c>
      <c r="B152" s="40" t="s">
        <v>117</v>
      </c>
      <c r="C152" s="41" t="s">
        <v>692</v>
      </c>
      <c r="D152" s="41" t="s">
        <v>3</v>
      </c>
      <c r="E152" s="59">
        <v>4.0890674840277779</v>
      </c>
      <c r="F152" s="59">
        <v>4.5258941500000001</v>
      </c>
      <c r="G152" s="60">
        <v>355.58</v>
      </c>
      <c r="H152" s="61"/>
    </row>
    <row r="153" spans="1:8" ht="17.25" x14ac:dyDescent="0.3">
      <c r="A153" s="40">
        <v>14112602</v>
      </c>
      <c r="B153" s="40" t="s">
        <v>118</v>
      </c>
      <c r="C153" s="41" t="s">
        <v>692</v>
      </c>
      <c r="D153" s="41" t="s">
        <v>3</v>
      </c>
      <c r="E153" s="59">
        <v>3.8315801083333327</v>
      </c>
      <c r="F153" s="59">
        <v>3.9449491999999999</v>
      </c>
      <c r="G153" s="60">
        <v>355.58</v>
      </c>
      <c r="H153" s="61"/>
    </row>
    <row r="154" spans="1:8" ht="17.25" x14ac:dyDescent="0.3">
      <c r="A154" s="39">
        <v>14112603</v>
      </c>
      <c r="B154" s="40" t="s">
        <v>119</v>
      </c>
      <c r="C154" s="41" t="s">
        <v>692</v>
      </c>
      <c r="D154" s="41" t="s">
        <v>3</v>
      </c>
      <c r="E154" s="59">
        <v>4.267531773611112</v>
      </c>
      <c r="F154" s="59">
        <v>5.3331545</v>
      </c>
      <c r="G154" s="60">
        <v>355.58</v>
      </c>
      <c r="H154" s="61"/>
    </row>
    <row r="155" spans="1:8" ht="17.25" x14ac:dyDescent="0.3">
      <c r="A155" s="39">
        <v>14112605</v>
      </c>
      <c r="B155" s="40" t="s">
        <v>120</v>
      </c>
      <c r="C155" s="41" t="s">
        <v>692</v>
      </c>
      <c r="D155" s="41" t="s">
        <v>3</v>
      </c>
      <c r="E155" s="59">
        <v>4.2377759583333336</v>
      </c>
      <c r="F155" s="59">
        <v>5.2276249999999997</v>
      </c>
      <c r="G155" s="60">
        <v>355.58</v>
      </c>
      <c r="H155" s="61"/>
    </row>
    <row r="156" spans="1:8" ht="17.25" x14ac:dyDescent="0.3">
      <c r="A156" s="39">
        <v>14112630</v>
      </c>
      <c r="B156" s="40" t="s">
        <v>121</v>
      </c>
      <c r="C156" s="41" t="s">
        <v>693</v>
      </c>
      <c r="D156" s="41" t="s">
        <v>3</v>
      </c>
      <c r="E156" s="59">
        <v>4.4832893902777773</v>
      </c>
      <c r="F156" s="59">
        <v>4.947484366666667</v>
      </c>
      <c r="G156" s="60">
        <v>355.58</v>
      </c>
      <c r="H156" s="61"/>
    </row>
    <row r="157" spans="1:8" ht="17.25" x14ac:dyDescent="0.3">
      <c r="A157" s="39">
        <v>14112635</v>
      </c>
      <c r="B157" s="40" t="s">
        <v>985</v>
      </c>
      <c r="C157" s="41" t="s">
        <v>986</v>
      </c>
      <c r="D157" s="41" t="s">
        <v>3</v>
      </c>
      <c r="E157" s="59" t="s">
        <v>987</v>
      </c>
      <c r="F157" s="59" t="s">
        <v>987</v>
      </c>
      <c r="G157" s="60">
        <v>0</v>
      </c>
      <c r="H157" s="61"/>
    </row>
    <row r="158" spans="1:8" ht="17.25" x14ac:dyDescent="0.3">
      <c r="A158" s="108">
        <v>14112730</v>
      </c>
      <c r="B158" s="109" t="s">
        <v>280</v>
      </c>
      <c r="C158" s="110" t="s">
        <v>694</v>
      </c>
      <c r="D158" s="110" t="s">
        <v>3</v>
      </c>
      <c r="E158" s="59">
        <v>3.877441408974359</v>
      </c>
      <c r="F158" s="59">
        <v>5.3158855000000003</v>
      </c>
      <c r="G158" s="60">
        <v>355.58</v>
      </c>
      <c r="H158" s="61"/>
    </row>
    <row r="159" spans="1:8" ht="17.25" x14ac:dyDescent="0.3">
      <c r="A159" s="39">
        <v>14112757</v>
      </c>
      <c r="B159" s="40" t="s">
        <v>348</v>
      </c>
      <c r="C159" s="41" t="s">
        <v>695</v>
      </c>
      <c r="D159" s="41" t="s">
        <v>3</v>
      </c>
      <c r="E159" s="59">
        <v>5.7217158946314104</v>
      </c>
      <c r="F159" s="59">
        <v>5.7121378749999998</v>
      </c>
      <c r="G159" s="60">
        <v>0</v>
      </c>
      <c r="H159" s="61"/>
    </row>
    <row r="160" spans="1:8" ht="17.25" x14ac:dyDescent="0.3">
      <c r="A160" s="39">
        <v>14112962</v>
      </c>
      <c r="B160" s="40" t="s">
        <v>483</v>
      </c>
      <c r="C160" s="41" t="s">
        <v>696</v>
      </c>
      <c r="D160" s="41" t="s">
        <v>3</v>
      </c>
      <c r="E160" s="59" t="s">
        <v>920</v>
      </c>
      <c r="F160" s="59" t="s">
        <v>920</v>
      </c>
      <c r="G160" s="60">
        <v>355.58</v>
      </c>
      <c r="H160" s="61"/>
    </row>
    <row r="161" spans="1:8" ht="17.25" x14ac:dyDescent="0.3">
      <c r="A161" s="39">
        <v>14113054</v>
      </c>
      <c r="B161" s="40" t="s">
        <v>122</v>
      </c>
      <c r="C161" s="41" t="s">
        <v>697</v>
      </c>
      <c r="D161" s="41" t="s">
        <v>3</v>
      </c>
      <c r="E161" s="59">
        <v>3.786414780555555</v>
      </c>
      <c r="F161" s="59">
        <v>4.3472148333333331</v>
      </c>
      <c r="G161" s="60">
        <v>355.58</v>
      </c>
      <c r="H161" s="61"/>
    </row>
    <row r="162" spans="1:8" ht="17.25" x14ac:dyDescent="0.3">
      <c r="A162" s="39">
        <v>14113056</v>
      </c>
      <c r="B162" s="40" t="s">
        <v>234</v>
      </c>
      <c r="C162" s="41" t="s">
        <v>698</v>
      </c>
      <c r="D162" s="41" t="s">
        <v>3</v>
      </c>
      <c r="E162" s="59">
        <v>3.6709675179487173</v>
      </c>
      <c r="F162" s="59">
        <v>4.0289999999999999</v>
      </c>
      <c r="G162" s="60">
        <v>355.58</v>
      </c>
      <c r="H162" s="61"/>
    </row>
    <row r="163" spans="1:8" ht="17.25" x14ac:dyDescent="0.3">
      <c r="A163" s="39">
        <v>14113140</v>
      </c>
      <c r="B163" s="40" t="s">
        <v>123</v>
      </c>
      <c r="C163" s="41" t="s">
        <v>699</v>
      </c>
      <c r="D163" s="41" t="s">
        <v>3</v>
      </c>
      <c r="E163" s="59" t="s">
        <v>921</v>
      </c>
      <c r="F163" s="59" t="s">
        <v>921</v>
      </c>
      <c r="G163" s="60">
        <v>1066.74</v>
      </c>
      <c r="H163" s="61"/>
    </row>
    <row r="164" spans="1:8" ht="17.25" x14ac:dyDescent="0.3">
      <c r="A164" s="39">
        <v>14113146</v>
      </c>
      <c r="B164" s="40" t="s">
        <v>124</v>
      </c>
      <c r="C164" s="41" t="s">
        <v>699</v>
      </c>
      <c r="D164" s="41" t="s">
        <v>3</v>
      </c>
      <c r="E164" s="59">
        <v>6.69949701</v>
      </c>
      <c r="F164" s="59">
        <v>8.7457759999999993</v>
      </c>
      <c r="G164" s="60">
        <v>355.58</v>
      </c>
      <c r="H164" s="61"/>
    </row>
    <row r="165" spans="1:8" ht="17.25" x14ac:dyDescent="0.3">
      <c r="A165" s="39">
        <v>14113198</v>
      </c>
      <c r="B165" s="40" t="s">
        <v>212</v>
      </c>
      <c r="C165" s="41" t="s">
        <v>700</v>
      </c>
      <c r="D165" s="41" t="s">
        <v>3</v>
      </c>
      <c r="E165" s="59">
        <v>4.1571389205128204</v>
      </c>
      <c r="F165" s="59">
        <v>3.941292733333333</v>
      </c>
      <c r="G165" s="60">
        <v>0</v>
      </c>
      <c r="H165" s="61"/>
    </row>
    <row r="166" spans="1:8" ht="17.25" x14ac:dyDescent="0.3">
      <c r="A166" s="39">
        <v>14113200</v>
      </c>
      <c r="B166" s="40" t="s">
        <v>125</v>
      </c>
      <c r="C166" s="41" t="s">
        <v>701</v>
      </c>
      <c r="D166" s="41" t="s">
        <v>3</v>
      </c>
      <c r="E166" s="59">
        <v>4.9184255397435894</v>
      </c>
      <c r="F166" s="59">
        <v>5.6283767000000005</v>
      </c>
      <c r="G166" s="60">
        <v>355.58</v>
      </c>
      <c r="H166" s="61"/>
    </row>
    <row r="167" spans="1:8" ht="17.25" x14ac:dyDescent="0.3">
      <c r="A167" s="39">
        <v>14113311</v>
      </c>
      <c r="B167" s="40" t="s">
        <v>126</v>
      </c>
      <c r="C167" s="41" t="s">
        <v>702</v>
      </c>
      <c r="D167" s="41" t="s">
        <v>3</v>
      </c>
      <c r="E167" s="59" t="s">
        <v>920</v>
      </c>
      <c r="F167" s="59" t="s">
        <v>920</v>
      </c>
      <c r="G167" s="60">
        <v>355.58</v>
      </c>
      <c r="H167" s="61"/>
    </row>
    <row r="168" spans="1:8" ht="17.25" x14ac:dyDescent="0.3">
      <c r="A168" s="40">
        <v>14113317</v>
      </c>
      <c r="B168" s="40" t="s">
        <v>193</v>
      </c>
      <c r="C168" s="41" t="s">
        <v>703</v>
      </c>
      <c r="D168" s="41" t="s">
        <v>3</v>
      </c>
      <c r="E168" s="59" t="s">
        <v>920</v>
      </c>
      <c r="F168" s="59" t="s">
        <v>920</v>
      </c>
      <c r="G168" s="60">
        <v>355.58</v>
      </c>
      <c r="H168" s="61"/>
    </row>
    <row r="169" spans="1:8" ht="17.25" x14ac:dyDescent="0.3">
      <c r="A169" s="39">
        <v>14113320</v>
      </c>
      <c r="B169" s="40" t="s">
        <v>127</v>
      </c>
      <c r="C169" s="41" t="s">
        <v>704</v>
      </c>
      <c r="D169" s="41" t="s">
        <v>3</v>
      </c>
      <c r="E169" s="59">
        <v>4.0735361144444449</v>
      </c>
      <c r="F169" s="59">
        <v>4.079619675</v>
      </c>
      <c r="G169" s="60">
        <v>355.58</v>
      </c>
      <c r="H169" s="61"/>
    </row>
    <row r="170" spans="1:8" ht="17.25" x14ac:dyDescent="0.3">
      <c r="A170" s="39">
        <v>14113349</v>
      </c>
      <c r="B170" s="40" t="s">
        <v>128</v>
      </c>
      <c r="C170" s="41" t="s">
        <v>705</v>
      </c>
      <c r="D170" s="41" t="s">
        <v>3</v>
      </c>
      <c r="E170" s="59" t="s">
        <v>920</v>
      </c>
      <c r="F170" s="59" t="s">
        <v>920</v>
      </c>
      <c r="G170" s="60">
        <v>355.58</v>
      </c>
      <c r="H170" s="61"/>
    </row>
    <row r="171" spans="1:8" ht="17.25" x14ac:dyDescent="0.3">
      <c r="A171" s="39">
        <v>14113562</v>
      </c>
      <c r="B171" s="40" t="s">
        <v>393</v>
      </c>
      <c r="C171" s="41" t="s">
        <v>706</v>
      </c>
      <c r="D171" s="41" t="s">
        <v>3</v>
      </c>
      <c r="E171" s="59">
        <v>3.9059724032051282</v>
      </c>
      <c r="F171" s="59">
        <v>3.9711104500000003</v>
      </c>
      <c r="G171" s="60">
        <v>355.58</v>
      </c>
      <c r="H171" s="61"/>
    </row>
    <row r="172" spans="1:8" ht="17.25" x14ac:dyDescent="0.3">
      <c r="A172" s="40">
        <v>14113565</v>
      </c>
      <c r="B172" s="40" t="s">
        <v>129</v>
      </c>
      <c r="C172" s="41" t="s">
        <v>707</v>
      </c>
      <c r="D172" s="41" t="s">
        <v>3</v>
      </c>
      <c r="E172" s="59">
        <v>7.0795916575091589</v>
      </c>
      <c r="F172" s="59">
        <v>8.5757659999999998</v>
      </c>
      <c r="G172" s="60">
        <v>355.58</v>
      </c>
      <c r="H172" s="61"/>
    </row>
    <row r="173" spans="1:8" ht="17.25" x14ac:dyDescent="0.3">
      <c r="A173" s="39">
        <v>14113619</v>
      </c>
      <c r="B173" s="40" t="s">
        <v>130</v>
      </c>
      <c r="C173" s="41" t="s">
        <v>708</v>
      </c>
      <c r="D173" s="41" t="s">
        <v>3</v>
      </c>
      <c r="E173" s="59">
        <v>3.6709675179487173</v>
      </c>
      <c r="F173" s="59">
        <v>4.8096174999999999</v>
      </c>
      <c r="G173" s="60">
        <v>355.58</v>
      </c>
      <c r="H173" s="61"/>
    </row>
    <row r="174" spans="1:8" ht="17.25" x14ac:dyDescent="0.3">
      <c r="A174" s="39">
        <v>14113803</v>
      </c>
      <c r="B174" s="40" t="s">
        <v>296</v>
      </c>
      <c r="C174" s="41" t="s">
        <v>709</v>
      </c>
      <c r="D174" s="41" t="s">
        <v>3</v>
      </c>
      <c r="E174" s="59">
        <v>3.6795329435897441</v>
      </c>
      <c r="F174" s="59">
        <v>5.6192916999999998</v>
      </c>
      <c r="G174" s="60">
        <v>355.58</v>
      </c>
      <c r="H174" s="61"/>
    </row>
    <row r="175" spans="1:8" ht="17.25" x14ac:dyDescent="0.3">
      <c r="A175" s="39">
        <v>14113837</v>
      </c>
      <c r="B175" s="40" t="s">
        <v>131</v>
      </c>
      <c r="C175" s="41" t="s">
        <v>710</v>
      </c>
      <c r="D175" s="41" t="s">
        <v>3</v>
      </c>
      <c r="E175" s="59">
        <v>3.9475680223717942</v>
      </c>
      <c r="F175" s="59">
        <v>3.1817194500000001</v>
      </c>
      <c r="G175" s="60">
        <v>0</v>
      </c>
      <c r="H175" s="61"/>
    </row>
    <row r="176" spans="1:8" ht="17.25" x14ac:dyDescent="0.3">
      <c r="A176" s="39">
        <v>14114030</v>
      </c>
      <c r="B176" s="40" t="s">
        <v>132</v>
      </c>
      <c r="C176" s="41" t="s">
        <v>711</v>
      </c>
      <c r="D176" s="41" t="s">
        <v>3</v>
      </c>
      <c r="E176" s="59">
        <v>4.3039413958333332</v>
      </c>
      <c r="F176" s="59">
        <v>5.0670373</v>
      </c>
      <c r="G176" s="60">
        <v>355.58</v>
      </c>
      <c r="H176" s="61"/>
    </row>
    <row r="177" spans="1:8" ht="17.25" x14ac:dyDescent="0.3">
      <c r="A177" s="39">
        <v>14114037</v>
      </c>
      <c r="B177" s="40" t="s">
        <v>180</v>
      </c>
      <c r="C177" s="41" t="s">
        <v>647</v>
      </c>
      <c r="D177" s="41" t="s">
        <v>3</v>
      </c>
      <c r="E177" s="59">
        <v>3.1512499999999997</v>
      </c>
      <c r="F177" s="59">
        <v>3.6657598</v>
      </c>
      <c r="G177" s="60">
        <v>355.58</v>
      </c>
      <c r="H177" s="61"/>
    </row>
    <row r="178" spans="1:8" ht="17.25" x14ac:dyDescent="0.3">
      <c r="A178" s="39">
        <v>14114062</v>
      </c>
      <c r="B178" s="40" t="s">
        <v>133</v>
      </c>
      <c r="C178" s="41" t="s">
        <v>712</v>
      </c>
      <c r="D178" s="41" t="s">
        <v>3</v>
      </c>
      <c r="E178" s="59">
        <v>3.3313167708333329</v>
      </c>
      <c r="F178" s="59">
        <v>3.346498</v>
      </c>
      <c r="G178" s="60">
        <v>355.58</v>
      </c>
      <c r="H178" s="61"/>
    </row>
    <row r="179" spans="1:8" ht="17.25" x14ac:dyDescent="0.3">
      <c r="A179" s="39">
        <v>14114320</v>
      </c>
      <c r="B179" s="48" t="s">
        <v>312</v>
      </c>
      <c r="C179" s="41" t="s">
        <v>677</v>
      </c>
      <c r="D179" s="41" t="s">
        <v>3</v>
      </c>
      <c r="E179" s="59">
        <v>4.3942014624999999</v>
      </c>
      <c r="F179" s="59">
        <v>4.4341816000000005</v>
      </c>
      <c r="G179" s="60">
        <v>355.58</v>
      </c>
      <c r="H179" s="61"/>
    </row>
    <row r="180" spans="1:8" ht="17.25" x14ac:dyDescent="0.3">
      <c r="A180" s="40">
        <v>14114324</v>
      </c>
      <c r="B180" s="40" t="s">
        <v>341</v>
      </c>
      <c r="C180" s="41" t="s">
        <v>713</v>
      </c>
      <c r="D180" s="41" t="s">
        <v>3</v>
      </c>
      <c r="E180" s="59" t="s">
        <v>920</v>
      </c>
      <c r="F180" s="59" t="s">
        <v>920</v>
      </c>
      <c r="G180" s="60">
        <v>355.58</v>
      </c>
      <c r="H180" s="61"/>
    </row>
    <row r="181" spans="1:8" ht="17.25" x14ac:dyDescent="0.3">
      <c r="A181" s="39">
        <v>14114330</v>
      </c>
      <c r="B181" s="40" t="s">
        <v>134</v>
      </c>
      <c r="C181" s="41" t="s">
        <v>714</v>
      </c>
      <c r="D181" s="41" t="s">
        <v>3</v>
      </c>
      <c r="E181" s="59">
        <v>4.4842390694444445</v>
      </c>
      <c r="F181" s="59">
        <v>5.05485965</v>
      </c>
      <c r="G181" s="60">
        <v>355.58</v>
      </c>
      <c r="H181" s="61"/>
    </row>
    <row r="182" spans="1:8" ht="17.25" x14ac:dyDescent="0.3">
      <c r="A182" s="39">
        <v>14114431</v>
      </c>
      <c r="B182" s="40" t="s">
        <v>135</v>
      </c>
      <c r="C182" s="41" t="s">
        <v>715</v>
      </c>
      <c r="D182" s="41" t="s">
        <v>3</v>
      </c>
      <c r="E182" s="59">
        <v>5.4518252874999993</v>
      </c>
      <c r="F182" s="59">
        <v>5.4662870000000003</v>
      </c>
      <c r="G182" s="60">
        <v>355.58</v>
      </c>
      <c r="H182" s="61"/>
    </row>
    <row r="183" spans="1:8" ht="17.25" x14ac:dyDescent="0.3">
      <c r="A183" s="39">
        <v>14114665</v>
      </c>
      <c r="B183" s="40" t="s">
        <v>136</v>
      </c>
      <c r="C183" s="41" t="s">
        <v>716</v>
      </c>
      <c r="D183" s="41" t="s">
        <v>3</v>
      </c>
      <c r="E183" s="59">
        <v>4.5823735368055551</v>
      </c>
      <c r="F183" s="59">
        <v>4.5029456666666663</v>
      </c>
      <c r="G183" s="60">
        <v>0</v>
      </c>
      <c r="H183" s="61"/>
    </row>
    <row r="184" spans="1:8" ht="17.25" x14ac:dyDescent="0.3">
      <c r="A184" s="39">
        <v>14114667</v>
      </c>
      <c r="B184" s="48" t="s">
        <v>137</v>
      </c>
      <c r="C184" s="41" t="s">
        <v>716</v>
      </c>
      <c r="D184" s="41" t="s">
        <v>3</v>
      </c>
      <c r="E184" s="59">
        <v>2.9505046027777779</v>
      </c>
      <c r="F184" s="59">
        <v>3.7890243666666668</v>
      </c>
      <c r="G184" s="60">
        <v>355.58</v>
      </c>
      <c r="H184" s="61"/>
    </row>
    <row r="185" spans="1:8" ht="17.25" x14ac:dyDescent="0.3">
      <c r="A185" s="39">
        <v>14114709</v>
      </c>
      <c r="B185" s="40" t="s">
        <v>138</v>
      </c>
      <c r="C185" s="41" t="s">
        <v>717</v>
      </c>
      <c r="D185" s="41" t="s">
        <v>3</v>
      </c>
      <c r="E185" s="59">
        <v>3.2206751124999999</v>
      </c>
      <c r="F185" s="59">
        <v>4.4429999999999996</v>
      </c>
      <c r="G185" s="60">
        <v>355.58</v>
      </c>
      <c r="H185" s="61"/>
    </row>
    <row r="186" spans="1:8" ht="17.25" x14ac:dyDescent="0.3">
      <c r="A186" s="39">
        <v>14114737</v>
      </c>
      <c r="B186" s="40" t="s">
        <v>139</v>
      </c>
      <c r="C186" s="41" t="s">
        <v>718</v>
      </c>
      <c r="D186" s="41" t="s">
        <v>3</v>
      </c>
      <c r="E186" s="59">
        <v>8.83</v>
      </c>
      <c r="F186" s="59">
        <v>8.6199999999999992</v>
      </c>
      <c r="G186" s="60">
        <v>355.58</v>
      </c>
      <c r="H186" s="61"/>
    </row>
    <row r="187" spans="1:8" ht="17.25" x14ac:dyDescent="0.3">
      <c r="A187" s="40">
        <v>14115136</v>
      </c>
      <c r="B187" s="40" t="s">
        <v>140</v>
      </c>
      <c r="C187" s="41" t="s">
        <v>719</v>
      </c>
      <c r="D187" s="41" t="s">
        <v>3</v>
      </c>
      <c r="E187" s="59">
        <v>5.5447483410256417</v>
      </c>
      <c r="F187" s="59">
        <v>6.1801665666666663</v>
      </c>
      <c r="G187" s="60">
        <v>355.58</v>
      </c>
      <c r="H187" s="61"/>
    </row>
    <row r="188" spans="1:8" ht="17.25" x14ac:dyDescent="0.3">
      <c r="A188" s="40">
        <v>14115244</v>
      </c>
      <c r="B188" s="40" t="s">
        <v>141</v>
      </c>
      <c r="C188" s="41" t="s">
        <v>720</v>
      </c>
      <c r="D188" s="41" t="s">
        <v>3</v>
      </c>
      <c r="E188" s="59">
        <v>11.204975354166669</v>
      </c>
      <c r="F188" s="59">
        <v>17.303090000000001</v>
      </c>
      <c r="G188" s="60">
        <v>355.58</v>
      </c>
      <c r="H188" s="61"/>
    </row>
    <row r="189" spans="1:8" ht="17.25" x14ac:dyDescent="0.3">
      <c r="A189" s="39">
        <v>14115304</v>
      </c>
      <c r="B189" s="40" t="s">
        <v>142</v>
      </c>
      <c r="C189" s="41" t="s">
        <v>721</v>
      </c>
      <c r="D189" s="41" t="s">
        <v>3</v>
      </c>
      <c r="E189" s="59">
        <v>8.8317246794871789</v>
      </c>
      <c r="F189" s="59">
        <v>8.0954490000000003</v>
      </c>
      <c r="G189" s="60">
        <v>0</v>
      </c>
      <c r="H189" s="61"/>
    </row>
    <row r="190" spans="1:8" ht="17.25" x14ac:dyDescent="0.3">
      <c r="A190" s="40">
        <v>14115435</v>
      </c>
      <c r="B190" s="40" t="s">
        <v>143</v>
      </c>
      <c r="C190" s="41" t="s">
        <v>722</v>
      </c>
      <c r="D190" s="41" t="s">
        <v>3</v>
      </c>
      <c r="E190" s="59">
        <v>9.317010999999999</v>
      </c>
      <c r="F190" s="59">
        <v>11.832807500000001</v>
      </c>
      <c r="G190" s="60">
        <v>355.58</v>
      </c>
      <c r="H190" s="61"/>
    </row>
    <row r="191" spans="1:8" ht="17.25" x14ac:dyDescent="0.3">
      <c r="A191" s="39">
        <v>14115536</v>
      </c>
      <c r="B191" s="48" t="s">
        <v>144</v>
      </c>
      <c r="C191" s="41" t="s">
        <v>723</v>
      </c>
      <c r="D191" s="41" t="s">
        <v>3</v>
      </c>
      <c r="E191" s="59" t="s">
        <v>920</v>
      </c>
      <c r="F191" s="59" t="s">
        <v>920</v>
      </c>
      <c r="G191" s="60">
        <v>355.58</v>
      </c>
      <c r="H191" s="61"/>
    </row>
    <row r="192" spans="1:8" ht="17.25" x14ac:dyDescent="0.3">
      <c r="A192" s="39">
        <v>14115630</v>
      </c>
      <c r="B192" s="48" t="s">
        <v>146</v>
      </c>
      <c r="C192" s="41" t="s">
        <v>724</v>
      </c>
      <c r="D192" s="41" t="s">
        <v>3</v>
      </c>
      <c r="E192" s="59">
        <v>4.6420610269230771</v>
      </c>
      <c r="F192" s="59">
        <v>3.6451017999999999</v>
      </c>
      <c r="G192" s="60">
        <v>0</v>
      </c>
      <c r="H192" s="61"/>
    </row>
    <row r="193" spans="1:8" ht="17.25" x14ac:dyDescent="0.3">
      <c r="A193" s="39">
        <v>14115746</v>
      </c>
      <c r="B193" s="40" t="s">
        <v>147</v>
      </c>
      <c r="C193" s="41" t="s">
        <v>725</v>
      </c>
      <c r="D193" s="41" t="s">
        <v>3</v>
      </c>
      <c r="E193" s="59" t="s">
        <v>920</v>
      </c>
      <c r="F193" s="59" t="s">
        <v>920</v>
      </c>
      <c r="G193" s="60">
        <v>355.58</v>
      </c>
      <c r="H193" s="61"/>
    </row>
    <row r="194" spans="1:8" ht="17.25" x14ac:dyDescent="0.3">
      <c r="A194" s="39">
        <v>14115820</v>
      </c>
      <c r="B194" s="40" t="s">
        <v>148</v>
      </c>
      <c r="C194" s="41" t="s">
        <v>726</v>
      </c>
      <c r="D194" s="41" t="s">
        <v>3</v>
      </c>
      <c r="E194" s="59">
        <v>3.9</v>
      </c>
      <c r="F194" s="59">
        <v>8.835618666666667</v>
      </c>
      <c r="G194" s="60">
        <v>355.58</v>
      </c>
      <c r="H194" s="61"/>
    </row>
    <row r="195" spans="1:8" ht="17.25" x14ac:dyDescent="0.3">
      <c r="A195" s="39">
        <v>14115830</v>
      </c>
      <c r="B195" s="40" t="s">
        <v>149</v>
      </c>
      <c r="C195" s="41" t="s">
        <v>726</v>
      </c>
      <c r="D195" s="41" t="s">
        <v>3</v>
      </c>
      <c r="E195" s="59">
        <v>3.7981041115384619</v>
      </c>
      <c r="F195" s="59">
        <v>3.7360000000000002</v>
      </c>
      <c r="G195" s="60">
        <v>0</v>
      </c>
      <c r="H195" s="61"/>
    </row>
    <row r="196" spans="1:8" ht="17.25" x14ac:dyDescent="0.3">
      <c r="A196" s="40">
        <v>14115908</v>
      </c>
      <c r="B196" s="40" t="s">
        <v>150</v>
      </c>
      <c r="C196" s="41" t="s">
        <v>727</v>
      </c>
      <c r="D196" s="41" t="s">
        <v>3</v>
      </c>
      <c r="E196" s="59">
        <v>3.9887969217948722</v>
      </c>
      <c r="F196" s="59">
        <v>4.4318409666666669</v>
      </c>
      <c r="G196" s="60">
        <v>355.58</v>
      </c>
      <c r="H196" s="61"/>
    </row>
    <row r="197" spans="1:8" ht="17.25" x14ac:dyDescent="0.3">
      <c r="A197" s="39">
        <v>14115909</v>
      </c>
      <c r="B197" s="40" t="s">
        <v>335</v>
      </c>
      <c r="C197" s="41" t="s">
        <v>728</v>
      </c>
      <c r="D197" s="41" t="s">
        <v>3</v>
      </c>
      <c r="E197" s="59">
        <v>3.9543440987179497</v>
      </c>
      <c r="F197" s="59">
        <v>3.9990000000000001</v>
      </c>
      <c r="G197" s="60">
        <v>355.58</v>
      </c>
      <c r="H197" s="61"/>
    </row>
    <row r="198" spans="1:8" ht="17.25" x14ac:dyDescent="0.3">
      <c r="A198" s="39">
        <v>14115917</v>
      </c>
      <c r="B198" s="40" t="s">
        <v>151</v>
      </c>
      <c r="C198" s="41" t="s">
        <v>727</v>
      </c>
      <c r="D198" s="41" t="s">
        <v>3</v>
      </c>
      <c r="E198" s="59">
        <v>3.9331653179487178</v>
      </c>
      <c r="F198" s="59">
        <v>4.45933125</v>
      </c>
      <c r="G198" s="60">
        <v>355.58</v>
      </c>
      <c r="H198" s="61"/>
    </row>
    <row r="199" spans="1:8" ht="17.25" x14ac:dyDescent="0.3">
      <c r="A199" s="39">
        <v>14116000</v>
      </c>
      <c r="B199" s="40" t="s">
        <v>152</v>
      </c>
      <c r="C199" s="41" t="s">
        <v>729</v>
      </c>
      <c r="D199" s="41" t="s">
        <v>3</v>
      </c>
      <c r="E199" s="59">
        <v>3.7391451208333333</v>
      </c>
      <c r="F199" s="59">
        <v>3.5497992333333332</v>
      </c>
      <c r="G199" s="60">
        <v>0</v>
      </c>
      <c r="H199" s="61"/>
    </row>
    <row r="200" spans="1:8" ht="17.25" x14ac:dyDescent="0.3">
      <c r="A200" s="39">
        <v>14116046</v>
      </c>
      <c r="B200" s="40" t="s">
        <v>153</v>
      </c>
      <c r="C200" s="41" t="s">
        <v>731</v>
      </c>
      <c r="D200" s="41" t="s">
        <v>3</v>
      </c>
      <c r="E200" s="59">
        <v>4.0325158368055556</v>
      </c>
      <c r="F200" s="59">
        <v>4.3015385999999998</v>
      </c>
      <c r="G200" s="60">
        <v>355.58</v>
      </c>
      <c r="H200" s="61"/>
    </row>
    <row r="201" spans="1:8" ht="17.25" x14ac:dyDescent="0.3">
      <c r="A201" s="39">
        <v>14116058</v>
      </c>
      <c r="B201" s="40" t="s">
        <v>154</v>
      </c>
      <c r="C201" s="41" t="s">
        <v>732</v>
      </c>
      <c r="D201" s="41" t="s">
        <v>3</v>
      </c>
      <c r="E201" s="59">
        <v>4.1059387615384617</v>
      </c>
      <c r="F201" s="59">
        <v>4.8863835</v>
      </c>
      <c r="G201" s="60">
        <v>355.58</v>
      </c>
      <c r="H201" s="61"/>
    </row>
    <row r="202" spans="1:8" ht="17.25" x14ac:dyDescent="0.3">
      <c r="A202" s="39">
        <v>14116134</v>
      </c>
      <c r="B202" s="40" t="s">
        <v>156</v>
      </c>
      <c r="C202" s="41" t="s">
        <v>733</v>
      </c>
      <c r="D202" s="41" t="s">
        <v>3</v>
      </c>
      <c r="E202" s="59">
        <v>4.128921893560606</v>
      </c>
      <c r="F202" s="59">
        <v>1.6238193999999999</v>
      </c>
      <c r="G202" s="60">
        <v>0</v>
      </c>
      <c r="H202" s="61"/>
    </row>
    <row r="203" spans="1:8" ht="17.25" x14ac:dyDescent="0.3">
      <c r="A203" s="40">
        <v>14116250</v>
      </c>
      <c r="B203" s="40" t="s">
        <v>425</v>
      </c>
      <c r="C203" s="41" t="s">
        <v>734</v>
      </c>
      <c r="D203" s="41" t="s">
        <v>3</v>
      </c>
      <c r="E203" s="59">
        <v>2.8829314388461542</v>
      </c>
      <c r="F203" s="59">
        <v>3.5548465</v>
      </c>
      <c r="G203" s="60">
        <v>355.58</v>
      </c>
      <c r="H203" s="61"/>
    </row>
    <row r="204" spans="1:8" ht="17.25" x14ac:dyDescent="0.3">
      <c r="A204" s="40">
        <v>14116262</v>
      </c>
      <c r="B204" s="48" t="s">
        <v>157</v>
      </c>
      <c r="C204" s="41" t="s">
        <v>735</v>
      </c>
      <c r="D204" s="41" t="s">
        <v>3</v>
      </c>
      <c r="E204" s="59">
        <v>4.9853572974358977</v>
      </c>
      <c r="F204" s="59">
        <v>4.2729999999999997</v>
      </c>
      <c r="G204" s="60">
        <v>0</v>
      </c>
      <c r="H204" s="61"/>
    </row>
    <row r="205" spans="1:8" ht="17.25" x14ac:dyDescent="0.3">
      <c r="A205" s="39">
        <v>14116295</v>
      </c>
      <c r="B205" s="40" t="s">
        <v>158</v>
      </c>
      <c r="C205" s="41" t="s">
        <v>736</v>
      </c>
      <c r="D205" s="41" t="s">
        <v>3</v>
      </c>
      <c r="E205" s="59">
        <v>4.4787228454545458</v>
      </c>
      <c r="F205" s="59">
        <v>3.6880133000000002</v>
      </c>
      <c r="G205" s="60">
        <v>0</v>
      </c>
      <c r="H205" s="61"/>
    </row>
    <row r="206" spans="1:8" ht="17.25" x14ac:dyDescent="0.3">
      <c r="A206" s="39">
        <v>14116352</v>
      </c>
      <c r="B206" s="40" t="s">
        <v>159</v>
      </c>
      <c r="C206" s="41" t="s">
        <v>737</v>
      </c>
      <c r="D206" s="41" t="s">
        <v>3</v>
      </c>
      <c r="E206" s="59">
        <v>8.8063426363636363</v>
      </c>
      <c r="F206" s="59">
        <v>9.7826620000000002</v>
      </c>
      <c r="G206" s="60">
        <v>355.58</v>
      </c>
      <c r="H206" s="61"/>
    </row>
    <row r="207" spans="1:8" ht="17.25" x14ac:dyDescent="0.3">
      <c r="A207" s="39">
        <v>14116373</v>
      </c>
      <c r="B207" s="40" t="s">
        <v>161</v>
      </c>
      <c r="C207" s="41" t="s">
        <v>613</v>
      </c>
      <c r="D207" s="41" t="s">
        <v>3</v>
      </c>
      <c r="E207" s="59">
        <v>3.2544343333333332</v>
      </c>
      <c r="F207" s="59">
        <v>4.8552274999999998</v>
      </c>
      <c r="G207" s="60">
        <v>355.58</v>
      </c>
      <c r="H207" s="61"/>
    </row>
    <row r="208" spans="1:8" ht="17.25" x14ac:dyDescent="0.3">
      <c r="A208" s="39">
        <v>14116431</v>
      </c>
      <c r="B208" s="40" t="s">
        <v>162</v>
      </c>
      <c r="C208" s="41" t="s">
        <v>738</v>
      </c>
      <c r="D208" s="41" t="s">
        <v>3</v>
      </c>
      <c r="E208" s="59">
        <v>4.4374897358974357</v>
      </c>
      <c r="F208" s="59">
        <v>4.3461229499999998</v>
      </c>
      <c r="G208" s="60">
        <v>0</v>
      </c>
      <c r="H208" s="61"/>
    </row>
    <row r="209" spans="1:8" ht="17.25" x14ac:dyDescent="0.3">
      <c r="A209" s="39">
        <v>14116433</v>
      </c>
      <c r="B209" s="40" t="s">
        <v>163</v>
      </c>
      <c r="C209" s="41" t="s">
        <v>738</v>
      </c>
      <c r="D209" s="41" t="s">
        <v>3</v>
      </c>
      <c r="E209" s="59">
        <v>9.1167210694444432</v>
      </c>
      <c r="F209" s="59">
        <v>9.7233199999999993</v>
      </c>
      <c r="G209" s="60">
        <v>355.58</v>
      </c>
      <c r="H209" s="61"/>
    </row>
    <row r="210" spans="1:8" ht="17.25" x14ac:dyDescent="0.3">
      <c r="A210" s="39">
        <v>14116504</v>
      </c>
      <c r="B210" s="40" t="s">
        <v>164</v>
      </c>
      <c r="C210" s="41" t="s">
        <v>739</v>
      </c>
      <c r="D210" s="41" t="s">
        <v>3</v>
      </c>
      <c r="E210" s="59">
        <v>5.0023940416666663</v>
      </c>
      <c r="F210" s="59">
        <v>5.0667262500000003</v>
      </c>
      <c r="G210" s="60">
        <v>355.58</v>
      </c>
      <c r="H210" s="61"/>
    </row>
    <row r="211" spans="1:8" ht="17.25" x14ac:dyDescent="0.3">
      <c r="A211" s="39">
        <v>14116564</v>
      </c>
      <c r="B211" s="40" t="s">
        <v>166</v>
      </c>
      <c r="C211" s="41" t="s">
        <v>740</v>
      </c>
      <c r="D211" s="41" t="s">
        <v>3</v>
      </c>
      <c r="E211" s="59">
        <v>4.2469717736111114</v>
      </c>
      <c r="F211" s="59">
        <v>5.8640869999999996</v>
      </c>
      <c r="G211" s="60">
        <v>355.58</v>
      </c>
      <c r="H211" s="61"/>
    </row>
    <row r="212" spans="1:8" ht="17.25" x14ac:dyDescent="0.3">
      <c r="A212" s="39">
        <v>14116565</v>
      </c>
      <c r="B212" s="40" t="s">
        <v>456</v>
      </c>
      <c r="C212" s="41" t="s">
        <v>741</v>
      </c>
      <c r="D212" s="41" t="s">
        <v>3</v>
      </c>
      <c r="E212" s="59">
        <v>3.4910278999999997</v>
      </c>
      <c r="F212" s="59">
        <v>4.1647938499999997</v>
      </c>
      <c r="G212" s="60">
        <v>355.58</v>
      </c>
      <c r="H212" s="61"/>
    </row>
    <row r="213" spans="1:8" ht="17.25" x14ac:dyDescent="0.3">
      <c r="A213" s="39">
        <v>14116600</v>
      </c>
      <c r="B213" s="40" t="s">
        <v>167</v>
      </c>
      <c r="C213" s="41" t="s">
        <v>742</v>
      </c>
      <c r="D213" s="41" t="s">
        <v>3</v>
      </c>
      <c r="E213" s="59">
        <v>3.9116425513888884</v>
      </c>
      <c r="F213" s="59">
        <v>4.1033771999999997</v>
      </c>
      <c r="G213" s="60">
        <v>355.58</v>
      </c>
      <c r="H213" s="61"/>
    </row>
    <row r="214" spans="1:8" ht="17.25" x14ac:dyDescent="0.3">
      <c r="A214" s="39">
        <v>14116643</v>
      </c>
      <c r="B214" s="40" t="s">
        <v>292</v>
      </c>
      <c r="C214" s="41" t="s">
        <v>743</v>
      </c>
      <c r="D214" s="41" t="s">
        <v>3</v>
      </c>
      <c r="E214" s="59">
        <v>3.7154078769230776</v>
      </c>
      <c r="F214" s="59">
        <v>3.8854869999999999</v>
      </c>
      <c r="G214" s="60">
        <v>355.58</v>
      </c>
      <c r="H214" s="61"/>
    </row>
    <row r="215" spans="1:8" ht="17.25" x14ac:dyDescent="0.3">
      <c r="A215" s="39">
        <v>14116723</v>
      </c>
      <c r="B215" s="40" t="s">
        <v>168</v>
      </c>
      <c r="C215" s="41" t="s">
        <v>744</v>
      </c>
      <c r="D215" s="41" t="s">
        <v>3</v>
      </c>
      <c r="E215" s="59">
        <v>5.0141134692307698</v>
      </c>
      <c r="F215" s="59">
        <v>6.4116232666666662</v>
      </c>
      <c r="G215" s="60">
        <v>355.58</v>
      </c>
      <c r="H215" s="61"/>
    </row>
    <row r="216" spans="1:8" ht="17.25" x14ac:dyDescent="0.3">
      <c r="A216" s="39">
        <v>14116853</v>
      </c>
      <c r="B216" s="40" t="s">
        <v>255</v>
      </c>
      <c r="C216" s="41" t="s">
        <v>745</v>
      </c>
      <c r="D216" s="41" t="s">
        <v>3</v>
      </c>
      <c r="E216" s="59" t="s">
        <v>920</v>
      </c>
      <c r="F216" s="59" t="s">
        <v>920</v>
      </c>
      <c r="G216" s="60">
        <v>355.58</v>
      </c>
      <c r="H216" s="61"/>
    </row>
    <row r="217" spans="1:8" ht="17.25" x14ac:dyDescent="0.3">
      <c r="A217" s="39">
        <v>14116855</v>
      </c>
      <c r="B217" s="40" t="s">
        <v>169</v>
      </c>
      <c r="C217" s="41" t="s">
        <v>746</v>
      </c>
      <c r="D217" s="41" t="s">
        <v>3</v>
      </c>
      <c r="E217" s="59">
        <v>4.2769352965277783</v>
      </c>
      <c r="F217" s="59">
        <v>6.5955104999999996</v>
      </c>
      <c r="G217" s="60">
        <v>355.58</v>
      </c>
      <c r="H217" s="61"/>
    </row>
    <row r="218" spans="1:8" ht="17.25" x14ac:dyDescent="0.3">
      <c r="A218" s="39">
        <v>14116860</v>
      </c>
      <c r="B218" s="40" t="s">
        <v>170</v>
      </c>
      <c r="C218" s="41" t="s">
        <v>746</v>
      </c>
      <c r="D218" s="41" t="s">
        <v>3</v>
      </c>
      <c r="E218" s="59">
        <v>10.74459275486111</v>
      </c>
      <c r="F218" s="59">
        <v>11.49738</v>
      </c>
      <c r="G218" s="60">
        <v>355.58</v>
      </c>
      <c r="H218" s="61"/>
    </row>
    <row r="219" spans="1:8" ht="17.25" x14ac:dyDescent="0.3">
      <c r="A219" s="39">
        <v>14116917</v>
      </c>
      <c r="B219" s="40" t="s">
        <v>171</v>
      </c>
      <c r="C219" s="41" t="s">
        <v>747</v>
      </c>
      <c r="D219" s="41" t="s">
        <v>3</v>
      </c>
      <c r="E219" s="59">
        <v>4.1766236538461543</v>
      </c>
      <c r="F219" s="59">
        <v>4.9449045500000004</v>
      </c>
      <c r="G219" s="60">
        <v>355.58</v>
      </c>
      <c r="H219" s="61"/>
    </row>
    <row r="220" spans="1:8" ht="17.25" x14ac:dyDescent="0.3">
      <c r="A220" s="40">
        <v>14116929</v>
      </c>
      <c r="B220" s="40" t="s">
        <v>366</v>
      </c>
      <c r="C220" s="41" t="s">
        <v>748</v>
      </c>
      <c r="D220" s="41" t="s">
        <v>3</v>
      </c>
      <c r="E220" s="59">
        <v>3.7191385384615381</v>
      </c>
      <c r="F220" s="59">
        <v>4.3754379999999999</v>
      </c>
      <c r="G220" s="60">
        <v>355.58</v>
      </c>
      <c r="H220" s="61"/>
    </row>
    <row r="221" spans="1:8" ht="17.25" x14ac:dyDescent="0.3">
      <c r="A221" s="40">
        <v>14117156</v>
      </c>
      <c r="B221" s="40" t="s">
        <v>239</v>
      </c>
      <c r="C221" s="41" t="s">
        <v>749</v>
      </c>
      <c r="D221" s="41" t="s">
        <v>3</v>
      </c>
      <c r="E221" s="59">
        <v>3.5011022833333336</v>
      </c>
      <c r="F221" s="59">
        <v>4.1250561500000007</v>
      </c>
      <c r="G221" s="60">
        <v>355.58</v>
      </c>
      <c r="H221" s="61"/>
    </row>
    <row r="222" spans="1:8" ht="17.25" x14ac:dyDescent="0.3">
      <c r="A222" s="39">
        <v>14117157</v>
      </c>
      <c r="B222" s="40" t="s">
        <v>244</v>
      </c>
      <c r="C222" s="41" t="s">
        <v>750</v>
      </c>
      <c r="D222" s="41" t="s">
        <v>3</v>
      </c>
      <c r="E222" s="59">
        <v>2.9998333333333336</v>
      </c>
      <c r="F222" s="59">
        <v>4.0717531999999999</v>
      </c>
      <c r="G222" s="60">
        <v>355.58</v>
      </c>
      <c r="H222" s="61"/>
    </row>
    <row r="223" spans="1:8" ht="17.25" x14ac:dyDescent="0.3">
      <c r="A223" s="39">
        <v>14117158</v>
      </c>
      <c r="B223" s="40" t="s">
        <v>172</v>
      </c>
      <c r="C223" s="41" t="s">
        <v>751</v>
      </c>
      <c r="D223" s="41" t="s">
        <v>3</v>
      </c>
      <c r="E223" s="59">
        <v>7.9242587049999997</v>
      </c>
      <c r="F223" s="59">
        <v>7.9310025</v>
      </c>
      <c r="G223" s="60">
        <v>355.58</v>
      </c>
      <c r="H223" s="61"/>
    </row>
    <row r="224" spans="1:8" ht="17.25" x14ac:dyDescent="0.3">
      <c r="A224" s="39">
        <v>14117160</v>
      </c>
      <c r="B224" s="40" t="s">
        <v>173</v>
      </c>
      <c r="C224" s="41" t="s">
        <v>751</v>
      </c>
      <c r="D224" s="41" t="s">
        <v>3</v>
      </c>
      <c r="E224" s="59" t="s">
        <v>920</v>
      </c>
      <c r="F224" s="59" t="s">
        <v>920</v>
      </c>
      <c r="G224" s="60">
        <v>355.58</v>
      </c>
      <c r="H224" s="61"/>
    </row>
    <row r="225" spans="1:8" ht="17.25" x14ac:dyDescent="0.3">
      <c r="A225" s="39">
        <v>14117297</v>
      </c>
      <c r="B225" s="40" t="s">
        <v>174</v>
      </c>
      <c r="C225" s="41" t="s">
        <v>752</v>
      </c>
      <c r="D225" s="41" t="s">
        <v>3</v>
      </c>
      <c r="E225" s="59">
        <v>4.1001120624999992</v>
      </c>
      <c r="F225" s="59">
        <v>4.6213706666666665</v>
      </c>
      <c r="G225" s="60">
        <v>355.58</v>
      </c>
      <c r="H225" s="61"/>
    </row>
    <row r="226" spans="1:8" ht="17.25" x14ac:dyDescent="0.3">
      <c r="A226" s="39">
        <v>14117400</v>
      </c>
      <c r="B226" s="48" t="s">
        <v>753</v>
      </c>
      <c r="C226" s="41" t="s">
        <v>754</v>
      </c>
      <c r="D226" s="41" t="s">
        <v>3</v>
      </c>
      <c r="E226" s="59">
        <v>5.0526675013888882</v>
      </c>
      <c r="F226" s="59">
        <v>5.5407763000000001</v>
      </c>
      <c r="G226" s="60">
        <v>355.58</v>
      </c>
      <c r="H226" s="61"/>
    </row>
    <row r="227" spans="1:8" ht="17.25" x14ac:dyDescent="0.3">
      <c r="A227" s="39">
        <v>14117508</v>
      </c>
      <c r="B227" s="40" t="s">
        <v>313</v>
      </c>
      <c r="C227" s="41" t="s">
        <v>755</v>
      </c>
      <c r="D227" s="41" t="s">
        <v>3</v>
      </c>
      <c r="E227" s="59">
        <v>3.8328438006944445</v>
      </c>
      <c r="F227" s="59">
        <v>4.72</v>
      </c>
      <c r="G227" s="60">
        <v>355.58</v>
      </c>
      <c r="H227" s="61"/>
    </row>
    <row r="228" spans="1:8" ht="17.25" x14ac:dyDescent="0.3">
      <c r="A228" s="39">
        <v>14117509</v>
      </c>
      <c r="B228" s="40" t="s">
        <v>235</v>
      </c>
      <c r="C228" s="41" t="s">
        <v>698</v>
      </c>
      <c r="D228" s="41" t="s">
        <v>3</v>
      </c>
      <c r="E228" s="59">
        <v>4.2397199384615387</v>
      </c>
      <c r="F228" s="59">
        <v>5.1757338333333331</v>
      </c>
      <c r="G228" s="60">
        <v>355.58</v>
      </c>
      <c r="H228" s="61"/>
    </row>
    <row r="229" spans="1:8" ht="17.25" x14ac:dyDescent="0.3">
      <c r="A229" s="39">
        <v>14117542</v>
      </c>
      <c r="B229" s="40" t="s">
        <v>176</v>
      </c>
      <c r="C229" s="41" t="s">
        <v>756</v>
      </c>
      <c r="D229" s="41" t="s">
        <v>3</v>
      </c>
      <c r="E229" s="59" t="s">
        <v>920</v>
      </c>
      <c r="F229" s="59" t="s">
        <v>920</v>
      </c>
      <c r="G229" s="60">
        <v>355.58</v>
      </c>
      <c r="H229" s="61"/>
    </row>
    <row r="230" spans="1:8" ht="17.25" x14ac:dyDescent="0.3">
      <c r="A230" s="39">
        <v>14117647</v>
      </c>
      <c r="B230" s="40" t="s">
        <v>177</v>
      </c>
      <c r="C230" s="41" t="s">
        <v>757</v>
      </c>
      <c r="D230" s="41" t="s">
        <v>3</v>
      </c>
      <c r="E230" s="59">
        <v>4.0781962972222221</v>
      </c>
      <c r="F230" s="59">
        <v>4.7834176500000005</v>
      </c>
      <c r="G230" s="60">
        <v>355.58</v>
      </c>
      <c r="H230" s="61"/>
    </row>
    <row r="231" spans="1:8" ht="17.25" x14ac:dyDescent="0.3">
      <c r="A231" s="39">
        <v>14117905</v>
      </c>
      <c r="B231" s="40" t="s">
        <v>398</v>
      </c>
      <c r="C231" s="41" t="s">
        <v>758</v>
      </c>
      <c r="D231" s="41" t="s">
        <v>3</v>
      </c>
      <c r="E231" s="59">
        <v>4.132382156410257</v>
      </c>
      <c r="F231" s="59">
        <v>5.6227445500000002</v>
      </c>
      <c r="G231" s="60">
        <v>355.58</v>
      </c>
      <c r="H231" s="61"/>
    </row>
    <row r="232" spans="1:8" ht="17.25" x14ac:dyDescent="0.3">
      <c r="A232" s="39">
        <v>14117967</v>
      </c>
      <c r="B232" s="40" t="s">
        <v>182</v>
      </c>
      <c r="C232" s="41" t="s">
        <v>759</v>
      </c>
      <c r="D232" s="41" t="s">
        <v>3</v>
      </c>
      <c r="E232" s="59">
        <v>4.5259692679487182</v>
      </c>
      <c r="F232" s="59">
        <v>5.2404201333333331</v>
      </c>
      <c r="G232" s="60">
        <v>355.58</v>
      </c>
      <c r="H232" s="61"/>
    </row>
    <row r="233" spans="1:8" ht="17.25" x14ac:dyDescent="0.3">
      <c r="A233" s="39">
        <v>14117969</v>
      </c>
      <c r="B233" s="40" t="s">
        <v>399</v>
      </c>
      <c r="C233" s="41" t="s">
        <v>760</v>
      </c>
      <c r="D233" s="41" t="s">
        <v>3</v>
      </c>
      <c r="E233" s="59" t="s">
        <v>920</v>
      </c>
      <c r="F233" s="59" t="s">
        <v>920</v>
      </c>
      <c r="G233" s="60">
        <v>355.58</v>
      </c>
      <c r="H233" s="61"/>
    </row>
    <row r="234" spans="1:8" ht="17.25" x14ac:dyDescent="0.3">
      <c r="A234" s="40">
        <v>14117986</v>
      </c>
      <c r="B234" s="40" t="s">
        <v>184</v>
      </c>
      <c r="C234" s="41" t="s">
        <v>673</v>
      </c>
      <c r="D234" s="41" t="s">
        <v>3</v>
      </c>
      <c r="E234" s="59">
        <v>3.6741030179487173</v>
      </c>
      <c r="F234" s="59">
        <v>3.6300330000000001</v>
      </c>
      <c r="G234" s="60">
        <v>0</v>
      </c>
      <c r="H234" s="61"/>
    </row>
    <row r="235" spans="1:8" ht="17.25" x14ac:dyDescent="0.3">
      <c r="A235" s="39">
        <v>14118028</v>
      </c>
      <c r="B235" s="40" t="s">
        <v>185</v>
      </c>
      <c r="C235" s="41" t="s">
        <v>761</v>
      </c>
      <c r="D235" s="41" t="s">
        <v>3</v>
      </c>
      <c r="E235" s="59">
        <v>9.8508716166666659</v>
      </c>
      <c r="F235" s="59">
        <v>12.404942</v>
      </c>
      <c r="G235" s="60">
        <v>355.58</v>
      </c>
      <c r="H235" s="61"/>
    </row>
    <row r="236" spans="1:8" ht="17.25" x14ac:dyDescent="0.3">
      <c r="A236" s="39">
        <v>14118065</v>
      </c>
      <c r="B236" s="40" t="s">
        <v>186</v>
      </c>
      <c r="C236" s="41" t="s">
        <v>762</v>
      </c>
      <c r="D236" s="41" t="s">
        <v>3</v>
      </c>
      <c r="E236" s="59">
        <v>7.6133853499999997</v>
      </c>
      <c r="F236" s="59">
        <v>8.3358279999999993</v>
      </c>
      <c r="G236" s="60">
        <v>355.58</v>
      </c>
      <c r="H236" s="61"/>
    </row>
    <row r="237" spans="1:8" ht="17.25" x14ac:dyDescent="0.3">
      <c r="A237" s="39">
        <v>14118184</v>
      </c>
      <c r="B237" s="40" t="s">
        <v>237</v>
      </c>
      <c r="C237" s="41" t="s">
        <v>763</v>
      </c>
      <c r="D237" s="41" t="s">
        <v>3</v>
      </c>
      <c r="E237" s="59">
        <v>3.9</v>
      </c>
      <c r="F237" s="59">
        <v>4.0180199999999999</v>
      </c>
      <c r="G237" s="60">
        <v>355.58</v>
      </c>
      <c r="H237" s="61"/>
    </row>
    <row r="238" spans="1:8" ht="17.25" x14ac:dyDescent="0.3">
      <c r="A238" s="39">
        <v>14118186</v>
      </c>
      <c r="B238" s="40" t="s">
        <v>187</v>
      </c>
      <c r="C238" s="41" t="s">
        <v>764</v>
      </c>
      <c r="D238" s="41" t="s">
        <v>3</v>
      </c>
      <c r="E238" s="59">
        <v>3.847655015384615</v>
      </c>
      <c r="F238" s="59">
        <v>5.24142215</v>
      </c>
      <c r="G238" s="60">
        <v>355.58</v>
      </c>
      <c r="H238" s="61"/>
    </row>
    <row r="239" spans="1:8" ht="17.25" x14ac:dyDescent="0.3">
      <c r="A239" s="39">
        <v>14118196</v>
      </c>
      <c r="B239" s="40" t="s">
        <v>188</v>
      </c>
      <c r="C239" s="41" t="s">
        <v>765</v>
      </c>
      <c r="D239" s="41" t="s">
        <v>3</v>
      </c>
      <c r="E239" s="59">
        <v>3.7216266551282047</v>
      </c>
      <c r="F239" s="59">
        <v>4.5199242999999996</v>
      </c>
      <c r="G239" s="60">
        <v>355.58</v>
      </c>
      <c r="H239" s="61"/>
    </row>
    <row r="240" spans="1:8" ht="17.25" x14ac:dyDescent="0.3">
      <c r="A240" s="39">
        <v>14118210</v>
      </c>
      <c r="B240" s="40" t="s">
        <v>189</v>
      </c>
      <c r="C240" s="41" t="s">
        <v>766</v>
      </c>
      <c r="D240" s="41" t="s">
        <v>3</v>
      </c>
      <c r="E240" s="59">
        <v>4.0616991166666665</v>
      </c>
      <c r="F240" s="59">
        <v>3.6326653000000002</v>
      </c>
      <c r="G240" s="60">
        <v>0</v>
      </c>
      <c r="H240" s="61"/>
    </row>
    <row r="241" spans="1:8" ht="17.25" x14ac:dyDescent="0.3">
      <c r="A241" s="39">
        <v>14118212</v>
      </c>
      <c r="B241" s="40" t="s">
        <v>426</v>
      </c>
      <c r="C241" s="41" t="s">
        <v>767</v>
      </c>
      <c r="D241" s="41" t="s">
        <v>3</v>
      </c>
      <c r="E241" s="59">
        <v>3.999753483333333</v>
      </c>
      <c r="F241" s="59">
        <v>5.6434955999999996</v>
      </c>
      <c r="G241" s="60">
        <v>355.58</v>
      </c>
      <c r="H241" s="61"/>
    </row>
    <row r="242" spans="1:8" ht="17.25" x14ac:dyDescent="0.3">
      <c r="A242" s="39">
        <v>14118225</v>
      </c>
      <c r="B242" s="40" t="s">
        <v>271</v>
      </c>
      <c r="C242" s="41" t="s">
        <v>769</v>
      </c>
      <c r="D242" s="41" t="s">
        <v>3</v>
      </c>
      <c r="E242" s="59">
        <v>3.146783407692308</v>
      </c>
      <c r="F242" s="59">
        <v>2.6774442000000001</v>
      </c>
      <c r="G242" s="60">
        <v>0</v>
      </c>
      <c r="H242" s="61"/>
    </row>
    <row r="243" spans="1:8" ht="17.25" x14ac:dyDescent="0.3">
      <c r="A243" s="39">
        <v>14118288</v>
      </c>
      <c r="B243" s="40" t="s">
        <v>194</v>
      </c>
      <c r="C243" s="41" t="s">
        <v>770</v>
      </c>
      <c r="D243" s="41" t="s">
        <v>3</v>
      </c>
      <c r="E243" s="59" t="s">
        <v>920</v>
      </c>
      <c r="F243" s="59" t="s">
        <v>920</v>
      </c>
      <c r="G243" s="60">
        <v>355.58</v>
      </c>
      <c r="H243" s="61"/>
    </row>
    <row r="244" spans="1:8" ht="17.25" x14ac:dyDescent="0.3">
      <c r="A244" s="39">
        <v>14118341</v>
      </c>
      <c r="B244" s="40" t="s">
        <v>195</v>
      </c>
      <c r="C244" s="41" t="s">
        <v>771</v>
      </c>
      <c r="D244" s="41" t="s">
        <v>3</v>
      </c>
      <c r="E244" s="59">
        <v>11.064416925</v>
      </c>
      <c r="F244" s="59">
        <v>12.65799625</v>
      </c>
      <c r="G244" s="60">
        <v>355.58</v>
      </c>
      <c r="H244" s="61"/>
    </row>
    <row r="245" spans="1:8" ht="17.25" x14ac:dyDescent="0.3">
      <c r="A245" s="39">
        <v>14118397</v>
      </c>
      <c r="B245" s="40" t="s">
        <v>196</v>
      </c>
      <c r="C245" s="41" t="s">
        <v>772</v>
      </c>
      <c r="D245" s="41" t="s">
        <v>3</v>
      </c>
      <c r="E245" s="59">
        <v>4.1299922833333333</v>
      </c>
      <c r="F245" s="59">
        <v>5.2954128333333337</v>
      </c>
      <c r="G245" s="60">
        <v>355.58</v>
      </c>
      <c r="H245" s="61"/>
    </row>
    <row r="246" spans="1:8" ht="17.25" x14ac:dyDescent="0.3">
      <c r="A246" s="39">
        <v>14118440</v>
      </c>
      <c r="B246" s="40" t="s">
        <v>197</v>
      </c>
      <c r="C246" s="41" t="s">
        <v>773</v>
      </c>
      <c r="D246" s="41" t="s">
        <v>3</v>
      </c>
      <c r="E246" s="59">
        <v>2.8784728633333336</v>
      </c>
      <c r="F246" s="59">
        <v>3.1928719999999999</v>
      </c>
      <c r="G246" s="60">
        <v>355.58</v>
      </c>
      <c r="H246" s="61"/>
    </row>
    <row r="247" spans="1:8" ht="17.25" x14ac:dyDescent="0.3">
      <c r="A247" s="39">
        <v>14118499</v>
      </c>
      <c r="B247" s="40" t="s">
        <v>198</v>
      </c>
      <c r="C247" s="41" t="s">
        <v>774</v>
      </c>
      <c r="D247" s="41" t="s">
        <v>3</v>
      </c>
      <c r="E247" s="59">
        <v>4.1099106597222219</v>
      </c>
      <c r="F247" s="59">
        <v>4.7768880749999996</v>
      </c>
      <c r="G247" s="60">
        <v>355.58</v>
      </c>
      <c r="H247" s="61"/>
    </row>
    <row r="248" spans="1:8" ht="17.25" x14ac:dyDescent="0.3">
      <c r="A248" s="39">
        <v>14118501</v>
      </c>
      <c r="B248" s="40" t="s">
        <v>199</v>
      </c>
      <c r="C248" s="41" t="s">
        <v>774</v>
      </c>
      <c r="D248" s="41" t="s">
        <v>3</v>
      </c>
      <c r="E248" s="59">
        <v>8.8460921972222213</v>
      </c>
      <c r="F248" s="59">
        <v>10.9801708</v>
      </c>
      <c r="G248" s="60">
        <v>355.58</v>
      </c>
      <c r="H248" s="61"/>
    </row>
    <row r="249" spans="1:8" ht="17.25" x14ac:dyDescent="0.3">
      <c r="A249" s="39">
        <v>14118505</v>
      </c>
      <c r="B249" s="40" t="s">
        <v>349</v>
      </c>
      <c r="C249" s="41" t="s">
        <v>775</v>
      </c>
      <c r="D249" s="41" t="s">
        <v>3</v>
      </c>
      <c r="E249" s="59">
        <v>3.5314140508012821</v>
      </c>
      <c r="F249" s="59">
        <v>2.8206592499999998</v>
      </c>
      <c r="G249" s="60">
        <v>0</v>
      </c>
      <c r="H249" s="61"/>
    </row>
    <row r="250" spans="1:8" ht="17.25" x14ac:dyDescent="0.3">
      <c r="A250" s="39">
        <v>14118518</v>
      </c>
      <c r="B250" s="40" t="s">
        <v>200</v>
      </c>
      <c r="C250" s="41" t="s">
        <v>776</v>
      </c>
      <c r="D250" s="41" t="s">
        <v>3</v>
      </c>
      <c r="E250" s="59">
        <v>4.4152015416666668</v>
      </c>
      <c r="F250" s="59">
        <v>4.3348715999999996</v>
      </c>
      <c r="G250" s="60">
        <v>0</v>
      </c>
      <c r="H250" s="61"/>
    </row>
    <row r="251" spans="1:8" ht="17.25" x14ac:dyDescent="0.3">
      <c r="A251" s="39">
        <v>14118579</v>
      </c>
      <c r="B251" s="48" t="s">
        <v>464</v>
      </c>
      <c r="C251" s="41" t="s">
        <v>777</v>
      </c>
      <c r="D251" s="41" t="s">
        <v>3</v>
      </c>
      <c r="E251" s="59">
        <v>3.958638648611112</v>
      </c>
      <c r="F251" s="59">
        <v>4.1364726333333337</v>
      </c>
      <c r="G251" s="60">
        <v>355.58</v>
      </c>
      <c r="H251" s="61"/>
    </row>
    <row r="252" spans="1:8" ht="17.25" x14ac:dyDescent="0.3">
      <c r="A252" s="39">
        <v>14118620</v>
      </c>
      <c r="B252" s="40" t="s">
        <v>201</v>
      </c>
      <c r="C252" s="41" t="s">
        <v>778</v>
      </c>
      <c r="D252" s="41" t="s">
        <v>3</v>
      </c>
      <c r="E252" s="59">
        <v>4.9039243841346156</v>
      </c>
      <c r="F252" s="59">
        <v>4.8063737500000006</v>
      </c>
      <c r="G252" s="60">
        <v>0</v>
      </c>
      <c r="H252" s="61"/>
    </row>
    <row r="253" spans="1:8" ht="17.25" x14ac:dyDescent="0.3">
      <c r="A253" s="39">
        <v>14118621</v>
      </c>
      <c r="B253" s="40" t="s">
        <v>202</v>
      </c>
      <c r="C253" s="41" t="s">
        <v>778</v>
      </c>
      <c r="D253" s="41" t="s">
        <v>3</v>
      </c>
      <c r="E253" s="59">
        <v>4.1992481076923074</v>
      </c>
      <c r="F253" s="59">
        <v>4.9001411499999996</v>
      </c>
      <c r="G253" s="60">
        <v>355.58</v>
      </c>
      <c r="H253" s="61"/>
    </row>
    <row r="254" spans="1:8" ht="17.25" x14ac:dyDescent="0.3">
      <c r="A254" s="39">
        <v>14118622</v>
      </c>
      <c r="B254" s="40" t="s">
        <v>203</v>
      </c>
      <c r="C254" s="41" t="s">
        <v>778</v>
      </c>
      <c r="D254" s="41" t="s">
        <v>3</v>
      </c>
      <c r="E254" s="59">
        <v>8.5787889846153842</v>
      </c>
      <c r="F254" s="59">
        <v>7.6348219999999998</v>
      </c>
      <c r="G254" s="60">
        <v>0</v>
      </c>
      <c r="H254" s="61"/>
    </row>
    <row r="255" spans="1:8" ht="17.25" x14ac:dyDescent="0.3">
      <c r="A255" s="39">
        <v>14118625</v>
      </c>
      <c r="B255" s="40" t="s">
        <v>422</v>
      </c>
      <c r="C255" s="41" t="s">
        <v>779</v>
      </c>
      <c r="D255" s="41" t="s">
        <v>3</v>
      </c>
      <c r="E255" s="59">
        <v>9.3218509499999982</v>
      </c>
      <c r="F255" s="59">
        <v>11.862028500000001</v>
      </c>
      <c r="G255" s="60">
        <v>355.58</v>
      </c>
      <c r="H255" s="61"/>
    </row>
    <row r="256" spans="1:8" ht="17.25" x14ac:dyDescent="0.3">
      <c r="A256" s="39">
        <v>14118627</v>
      </c>
      <c r="B256" s="40" t="s">
        <v>204</v>
      </c>
      <c r="C256" s="41" t="s">
        <v>778</v>
      </c>
      <c r="D256" s="41" t="s">
        <v>3</v>
      </c>
      <c r="E256" s="59" t="s">
        <v>921</v>
      </c>
      <c r="F256" s="59" t="s">
        <v>921</v>
      </c>
      <c r="G256" s="60">
        <v>355.58</v>
      </c>
      <c r="H256" s="61"/>
    </row>
    <row r="257" spans="1:9" ht="17.25" x14ac:dyDescent="0.3">
      <c r="A257" s="39">
        <v>14118640</v>
      </c>
      <c r="B257" s="40" t="s">
        <v>205</v>
      </c>
      <c r="C257" s="41" t="s">
        <v>780</v>
      </c>
      <c r="D257" s="41" t="s">
        <v>3</v>
      </c>
      <c r="E257" s="59">
        <v>9.9600000000000009</v>
      </c>
      <c r="F257" s="59">
        <v>9.0399999999999991</v>
      </c>
      <c r="G257" s="60">
        <v>0</v>
      </c>
      <c r="H257" s="61"/>
    </row>
    <row r="258" spans="1:9" ht="17.25" x14ac:dyDescent="0.3">
      <c r="A258" s="40">
        <v>14118660</v>
      </c>
      <c r="B258" s="40" t="s">
        <v>206</v>
      </c>
      <c r="C258" s="41" t="s">
        <v>781</v>
      </c>
      <c r="D258" s="41" t="s">
        <v>3</v>
      </c>
      <c r="E258" s="59">
        <v>3.9243795055555553</v>
      </c>
      <c r="F258" s="59">
        <v>4.5648847000000004</v>
      </c>
      <c r="G258" s="60">
        <v>355.58</v>
      </c>
      <c r="H258" s="61"/>
    </row>
    <row r="259" spans="1:9" ht="17.25" x14ac:dyDescent="0.3">
      <c r="A259" s="39">
        <v>14118663</v>
      </c>
      <c r="B259" s="40" t="s">
        <v>207</v>
      </c>
      <c r="C259" s="41" t="s">
        <v>781</v>
      </c>
      <c r="D259" s="41" t="s">
        <v>3</v>
      </c>
      <c r="E259" s="59" t="s">
        <v>921</v>
      </c>
      <c r="F259" s="59" t="s">
        <v>921</v>
      </c>
      <c r="G259" s="60">
        <v>355.58</v>
      </c>
      <c r="H259" s="61"/>
    </row>
    <row r="260" spans="1:9" ht="17.25" x14ac:dyDescent="0.3">
      <c r="A260" s="39">
        <v>14118745</v>
      </c>
      <c r="B260" s="40" t="s">
        <v>209</v>
      </c>
      <c r="C260" s="41" t="s">
        <v>782</v>
      </c>
      <c r="D260" s="41" t="s">
        <v>3</v>
      </c>
      <c r="E260" s="59">
        <v>4.0918384038461539</v>
      </c>
      <c r="F260" s="59">
        <v>4.5888685999999996</v>
      </c>
      <c r="G260" s="60">
        <v>355.58</v>
      </c>
      <c r="H260" s="61"/>
    </row>
    <row r="261" spans="1:9" ht="17.25" x14ac:dyDescent="0.3">
      <c r="A261" s="39">
        <v>14118773</v>
      </c>
      <c r="B261" s="40" t="s">
        <v>210</v>
      </c>
      <c r="C261" s="41" t="s">
        <v>783</v>
      </c>
      <c r="D261" s="41" t="s">
        <v>3</v>
      </c>
      <c r="E261" s="59">
        <v>8.8546255138888892</v>
      </c>
      <c r="F261" s="59">
        <v>12.039289999999999</v>
      </c>
      <c r="G261" s="60">
        <v>355.58</v>
      </c>
      <c r="H261" s="61"/>
    </row>
    <row r="262" spans="1:9" ht="17.25" x14ac:dyDescent="0.3">
      <c r="A262" s="39">
        <v>14118809</v>
      </c>
      <c r="B262" s="40" t="s">
        <v>213</v>
      </c>
      <c r="C262" s="41" t="s">
        <v>784</v>
      </c>
      <c r="D262" s="41" t="s">
        <v>3</v>
      </c>
      <c r="E262" s="59">
        <v>4.2127044305555552</v>
      </c>
      <c r="F262" s="59">
        <v>4.4283169999999998</v>
      </c>
      <c r="G262" s="60">
        <v>355.58</v>
      </c>
      <c r="H262" s="61"/>
    </row>
    <row r="263" spans="1:9" ht="17.25" x14ac:dyDescent="0.3">
      <c r="A263" s="39">
        <v>14118811</v>
      </c>
      <c r="B263" s="40" t="s">
        <v>214</v>
      </c>
      <c r="C263" s="41" t="s">
        <v>784</v>
      </c>
      <c r="D263" s="41" t="s">
        <v>3</v>
      </c>
      <c r="E263" s="59">
        <v>3.3380521833333332</v>
      </c>
      <c r="F263" s="59">
        <v>0.46805110000000005</v>
      </c>
      <c r="G263" s="60">
        <v>0</v>
      </c>
      <c r="H263" s="61"/>
    </row>
    <row r="264" spans="1:9" ht="17.25" x14ac:dyDescent="0.3">
      <c r="A264" s="39">
        <v>14118815</v>
      </c>
      <c r="B264" s="40" t="s">
        <v>215</v>
      </c>
      <c r="C264" s="41" t="s">
        <v>784</v>
      </c>
      <c r="D264" s="41" t="s">
        <v>3</v>
      </c>
      <c r="E264" s="59" t="s">
        <v>920</v>
      </c>
      <c r="F264" s="59" t="s">
        <v>920</v>
      </c>
      <c r="G264" s="60">
        <v>355.58</v>
      </c>
      <c r="H264" s="61"/>
    </row>
    <row r="265" spans="1:9" ht="17.25" x14ac:dyDescent="0.3">
      <c r="A265" s="39">
        <v>14118849</v>
      </c>
      <c r="B265" s="40" t="s">
        <v>216</v>
      </c>
      <c r="C265" s="41" t="s">
        <v>785</v>
      </c>
      <c r="D265" s="41" t="s">
        <v>3</v>
      </c>
      <c r="E265" s="59">
        <v>4.330821270940171</v>
      </c>
      <c r="F265" s="59">
        <v>5.0119729666666668</v>
      </c>
      <c r="G265" s="60">
        <v>355.58</v>
      </c>
      <c r="H265" s="61"/>
    </row>
    <row r="266" spans="1:9" ht="17.25" x14ac:dyDescent="0.3">
      <c r="A266" s="39">
        <v>14118887</v>
      </c>
      <c r="B266" s="40" t="s">
        <v>217</v>
      </c>
      <c r="C266" s="41" t="s">
        <v>786</v>
      </c>
      <c r="D266" s="41" t="s">
        <v>3</v>
      </c>
      <c r="E266" s="59">
        <v>11.518030363636365</v>
      </c>
      <c r="F266" s="59">
        <v>10.531430499999999</v>
      </c>
      <c r="G266" s="60">
        <v>0</v>
      </c>
      <c r="H266" s="61"/>
    </row>
    <row r="267" spans="1:9" ht="17.25" x14ac:dyDescent="0.3">
      <c r="A267" s="39">
        <v>14118889</v>
      </c>
      <c r="B267" s="40" t="s">
        <v>218</v>
      </c>
      <c r="C267" s="41" t="s">
        <v>786</v>
      </c>
      <c r="D267" s="41" t="s">
        <v>3</v>
      </c>
      <c r="E267" s="59">
        <v>4.000835120833333</v>
      </c>
      <c r="F267" s="59">
        <v>5.0985170000000002</v>
      </c>
      <c r="G267" s="60">
        <v>355.58</v>
      </c>
      <c r="H267" s="61"/>
    </row>
    <row r="268" spans="1:9" ht="17.25" x14ac:dyDescent="0.3">
      <c r="A268" s="39">
        <v>14118892</v>
      </c>
      <c r="B268" s="40" t="s">
        <v>219</v>
      </c>
      <c r="C268" s="41" t="s">
        <v>786</v>
      </c>
      <c r="D268" s="41" t="s">
        <v>3</v>
      </c>
      <c r="E268" s="59" t="s">
        <v>920</v>
      </c>
      <c r="F268" s="59" t="s">
        <v>920</v>
      </c>
      <c r="G268" s="60">
        <v>355.58</v>
      </c>
      <c r="H268" s="61"/>
    </row>
    <row r="269" spans="1:9" ht="17.25" x14ac:dyDescent="0.3">
      <c r="A269" s="39">
        <v>14118893</v>
      </c>
      <c r="B269" s="40" t="s">
        <v>220</v>
      </c>
      <c r="C269" s="41" t="s">
        <v>786</v>
      </c>
      <c r="D269" s="41" t="s">
        <v>3</v>
      </c>
      <c r="E269" s="59">
        <v>3.9</v>
      </c>
      <c r="F269" s="59">
        <v>3.3022293</v>
      </c>
      <c r="G269" s="60">
        <v>0</v>
      </c>
      <c r="H269" s="61"/>
    </row>
    <row r="270" spans="1:9" ht="17.25" x14ac:dyDescent="0.3">
      <c r="A270" s="39">
        <v>14118956</v>
      </c>
      <c r="B270" s="40" t="s">
        <v>222</v>
      </c>
      <c r="C270" s="41" t="s">
        <v>787</v>
      </c>
      <c r="D270" s="41" t="s">
        <v>3</v>
      </c>
      <c r="E270" s="59">
        <v>3.6476434974358978</v>
      </c>
      <c r="F270" s="59">
        <v>3.8444874499999999</v>
      </c>
      <c r="G270" s="60">
        <v>355.58</v>
      </c>
      <c r="H270" s="61"/>
      <c r="I270" s="62"/>
    </row>
    <row r="271" spans="1:9" ht="17.25" x14ac:dyDescent="0.3">
      <c r="A271" s="39">
        <v>14118957</v>
      </c>
      <c r="B271" s="40" t="s">
        <v>223</v>
      </c>
      <c r="C271" s="41" t="s">
        <v>787</v>
      </c>
      <c r="D271" s="41" t="s">
        <v>3</v>
      </c>
      <c r="E271" s="59">
        <v>3.5505998589743588</v>
      </c>
      <c r="F271" s="59">
        <v>4.0839491500000005</v>
      </c>
      <c r="G271" s="60">
        <v>355.58</v>
      </c>
      <c r="H271" s="61"/>
    </row>
    <row r="272" spans="1:9" ht="17.25" x14ac:dyDescent="0.3">
      <c r="A272" s="39">
        <v>14118958</v>
      </c>
      <c r="B272" s="40" t="s">
        <v>367</v>
      </c>
      <c r="C272" s="41" t="s">
        <v>788</v>
      </c>
      <c r="D272" s="41" t="s">
        <v>3</v>
      </c>
      <c r="E272" s="59" t="s">
        <v>920</v>
      </c>
      <c r="F272" s="59" t="s">
        <v>920</v>
      </c>
      <c r="G272" s="60">
        <v>355.58</v>
      </c>
      <c r="H272" s="61"/>
    </row>
    <row r="273" spans="1:8" ht="17.25" x14ac:dyDescent="0.3">
      <c r="A273" s="40">
        <v>14118992</v>
      </c>
      <c r="B273" s="49" t="s">
        <v>226</v>
      </c>
      <c r="C273" s="41" t="s">
        <v>605</v>
      </c>
      <c r="D273" s="41" t="s">
        <v>3</v>
      </c>
      <c r="E273" s="59" t="s">
        <v>920</v>
      </c>
      <c r="F273" s="59" t="s">
        <v>920</v>
      </c>
      <c r="G273" s="60">
        <v>355.58</v>
      </c>
      <c r="H273" s="61"/>
    </row>
    <row r="274" spans="1:8" ht="17.25" x14ac:dyDescent="0.3">
      <c r="A274" s="40">
        <v>14119017</v>
      </c>
      <c r="B274" s="40" t="s">
        <v>227</v>
      </c>
      <c r="C274" s="41" t="s">
        <v>789</v>
      </c>
      <c r="D274" s="41" t="s">
        <v>3</v>
      </c>
      <c r="E274" s="59">
        <v>4.2622517999999996</v>
      </c>
      <c r="F274" s="59">
        <v>4.9544035333333332</v>
      </c>
      <c r="G274" s="60">
        <v>355.58</v>
      </c>
      <c r="H274" s="61"/>
    </row>
    <row r="275" spans="1:8" ht="17.25" x14ac:dyDescent="0.3">
      <c r="A275" s="40">
        <v>14119018</v>
      </c>
      <c r="B275" s="48" t="s">
        <v>228</v>
      </c>
      <c r="C275" s="41" t="s">
        <v>789</v>
      </c>
      <c r="D275" s="41" t="s">
        <v>3</v>
      </c>
      <c r="E275" s="59">
        <v>4.1595999653846158</v>
      </c>
      <c r="F275" s="59">
        <v>4.7271523000000002</v>
      </c>
      <c r="G275" s="60">
        <v>355.58</v>
      </c>
      <c r="H275" s="61"/>
    </row>
    <row r="276" spans="1:8" ht="17.25" x14ac:dyDescent="0.3">
      <c r="A276" s="39">
        <v>14119057</v>
      </c>
      <c r="B276" s="40" t="s">
        <v>229</v>
      </c>
      <c r="C276" s="41" t="s">
        <v>790</v>
      </c>
      <c r="D276" s="41" t="s">
        <v>3</v>
      </c>
      <c r="E276" s="59">
        <v>8.42</v>
      </c>
      <c r="F276" s="59">
        <v>7.92</v>
      </c>
      <c r="G276" s="60">
        <v>0</v>
      </c>
      <c r="H276" s="61"/>
    </row>
    <row r="277" spans="1:8" ht="17.25" x14ac:dyDescent="0.3">
      <c r="A277" s="39">
        <v>14119076</v>
      </c>
      <c r="B277" s="40" t="s">
        <v>230</v>
      </c>
      <c r="C277" s="41" t="s">
        <v>791</v>
      </c>
      <c r="D277" s="41" t="s">
        <v>3</v>
      </c>
      <c r="E277" s="59">
        <v>3.3478261000000002</v>
      </c>
      <c r="F277" s="59">
        <v>3.6955532999999998</v>
      </c>
      <c r="G277" s="60">
        <v>355.58</v>
      </c>
      <c r="H277" s="61"/>
    </row>
    <row r="278" spans="1:8" ht="17.25" x14ac:dyDescent="0.3">
      <c r="A278" s="40">
        <v>14119153</v>
      </c>
      <c r="B278" s="40" t="s">
        <v>231</v>
      </c>
      <c r="C278" s="41" t="s">
        <v>792</v>
      </c>
      <c r="D278" s="41" t="s">
        <v>3</v>
      </c>
      <c r="E278" s="59" t="s">
        <v>920</v>
      </c>
      <c r="F278" s="59" t="s">
        <v>920</v>
      </c>
      <c r="G278" s="60">
        <v>355.58</v>
      </c>
      <c r="H278" s="61"/>
    </row>
    <row r="279" spans="1:8" ht="17.25" x14ac:dyDescent="0.3">
      <c r="A279" s="39">
        <v>14119154</v>
      </c>
      <c r="B279" s="40" t="s">
        <v>232</v>
      </c>
      <c r="C279" s="41" t="s">
        <v>792</v>
      </c>
      <c r="D279" s="41" t="s">
        <v>3</v>
      </c>
      <c r="E279" s="59">
        <v>2.0632575625</v>
      </c>
      <c r="F279" s="59">
        <v>3.6395719999999998</v>
      </c>
      <c r="G279" s="60">
        <v>355.58</v>
      </c>
      <c r="H279" s="61"/>
    </row>
    <row r="280" spans="1:8" ht="17.25" x14ac:dyDescent="0.3">
      <c r="A280" s="39">
        <v>14119155</v>
      </c>
      <c r="B280" s="40" t="s">
        <v>233</v>
      </c>
      <c r="C280" s="41" t="s">
        <v>792</v>
      </c>
      <c r="D280" s="41" t="s">
        <v>3</v>
      </c>
      <c r="E280" s="59">
        <v>3.9180360846153848</v>
      </c>
      <c r="F280" s="59">
        <v>4.3115006500000002</v>
      </c>
      <c r="G280" s="60">
        <v>355.58</v>
      </c>
      <c r="H280" s="61"/>
    </row>
    <row r="281" spans="1:8" ht="17.25" x14ac:dyDescent="0.3">
      <c r="A281" s="40">
        <v>14119175</v>
      </c>
      <c r="B281" s="40" t="s">
        <v>236</v>
      </c>
      <c r="C281" s="41" t="s">
        <v>793</v>
      </c>
      <c r="D281" s="41" t="s">
        <v>3</v>
      </c>
      <c r="E281" s="59">
        <v>3.4214544435897429</v>
      </c>
      <c r="F281" s="59">
        <v>3.1005688</v>
      </c>
      <c r="G281" s="60">
        <v>0</v>
      </c>
      <c r="H281" s="61"/>
    </row>
    <row r="282" spans="1:8" ht="17.25" x14ac:dyDescent="0.3">
      <c r="A282" s="39">
        <v>14119271</v>
      </c>
      <c r="B282" s="40" t="s">
        <v>238</v>
      </c>
      <c r="C282" s="41" t="s">
        <v>794</v>
      </c>
      <c r="D282" s="41" t="s">
        <v>3</v>
      </c>
      <c r="E282" s="59">
        <v>4.8762142128205133</v>
      </c>
      <c r="F282" s="59">
        <v>5.8697507499999997</v>
      </c>
      <c r="G282" s="60">
        <v>355.58</v>
      </c>
      <c r="H282" s="61"/>
    </row>
    <row r="283" spans="1:8" ht="17.25" x14ac:dyDescent="0.3">
      <c r="A283" s="40">
        <v>14119323</v>
      </c>
      <c r="B283" s="40" t="s">
        <v>240</v>
      </c>
      <c r="C283" s="41" t="s">
        <v>795</v>
      </c>
      <c r="D283" s="41" t="s">
        <v>3</v>
      </c>
      <c r="E283" s="59" t="s">
        <v>921</v>
      </c>
      <c r="F283" s="59" t="s">
        <v>921</v>
      </c>
      <c r="G283" s="60">
        <v>355.58</v>
      </c>
      <c r="H283" s="61"/>
    </row>
    <row r="284" spans="1:8" ht="17.25" x14ac:dyDescent="0.3">
      <c r="A284" s="40">
        <v>14119324</v>
      </c>
      <c r="B284" s="40" t="s">
        <v>241</v>
      </c>
      <c r="C284" s="41" t="s">
        <v>795</v>
      </c>
      <c r="D284" s="41" t="s">
        <v>3</v>
      </c>
      <c r="E284" s="59">
        <v>11.418646076923077</v>
      </c>
      <c r="F284" s="59">
        <v>11.373034499999999</v>
      </c>
      <c r="G284" s="60">
        <v>0</v>
      </c>
      <c r="H284" s="61"/>
    </row>
    <row r="285" spans="1:8" ht="17.25" x14ac:dyDescent="0.3">
      <c r="A285" s="40">
        <v>14119357</v>
      </c>
      <c r="B285" s="48" t="s">
        <v>243</v>
      </c>
      <c r="C285" s="41" t="s">
        <v>796</v>
      </c>
      <c r="D285" s="41" t="s">
        <v>3</v>
      </c>
      <c r="E285" s="59">
        <v>3.99</v>
      </c>
      <c r="F285" s="59">
        <v>4.08</v>
      </c>
      <c r="G285" s="60">
        <v>355.58</v>
      </c>
      <c r="H285" s="61"/>
    </row>
    <row r="286" spans="1:8" ht="17.25" x14ac:dyDescent="0.3">
      <c r="A286" s="39">
        <v>14119437</v>
      </c>
      <c r="B286" s="40" t="s">
        <v>245</v>
      </c>
      <c r="C286" s="41" t="s">
        <v>750</v>
      </c>
      <c r="D286" s="41" t="s">
        <v>3</v>
      </c>
      <c r="E286" s="59" t="s">
        <v>920</v>
      </c>
      <c r="F286" s="59" t="s">
        <v>920</v>
      </c>
      <c r="G286" s="60">
        <v>355.58</v>
      </c>
      <c r="H286" s="61"/>
    </row>
    <row r="287" spans="1:8" ht="17.25" x14ac:dyDescent="0.3">
      <c r="A287" s="40">
        <v>14119481</v>
      </c>
      <c r="B287" s="40" t="s">
        <v>246</v>
      </c>
      <c r="C287" s="41" t="s">
        <v>797</v>
      </c>
      <c r="D287" s="41" t="s">
        <v>3</v>
      </c>
      <c r="E287" s="59" t="s">
        <v>920</v>
      </c>
      <c r="F287" s="59" t="s">
        <v>920</v>
      </c>
      <c r="G287" s="60">
        <v>355.58</v>
      </c>
      <c r="H287" s="61"/>
    </row>
    <row r="288" spans="1:8" ht="17.25" x14ac:dyDescent="0.3">
      <c r="A288" s="39">
        <v>14119482</v>
      </c>
      <c r="B288" s="48" t="s">
        <v>247</v>
      </c>
      <c r="C288" s="41" t="s">
        <v>797</v>
      </c>
      <c r="D288" s="41" t="s">
        <v>3</v>
      </c>
      <c r="E288" s="59">
        <v>3.7515715153846148</v>
      </c>
      <c r="F288" s="59">
        <v>4.7154376500000001</v>
      </c>
      <c r="G288" s="60">
        <v>355.58</v>
      </c>
      <c r="H288" s="61"/>
    </row>
    <row r="289" spans="1:8" ht="17.25" x14ac:dyDescent="0.3">
      <c r="A289" s="39">
        <v>14119483</v>
      </c>
      <c r="B289" s="40" t="s">
        <v>248</v>
      </c>
      <c r="C289" s="41" t="s">
        <v>797</v>
      </c>
      <c r="D289" s="41" t="s">
        <v>3</v>
      </c>
      <c r="E289" s="59">
        <v>4.573605802564102</v>
      </c>
      <c r="F289" s="59">
        <v>4.6125866666666662</v>
      </c>
      <c r="G289" s="60">
        <v>355.58</v>
      </c>
      <c r="H289" s="61"/>
    </row>
    <row r="290" spans="1:8" ht="17.25" x14ac:dyDescent="0.3">
      <c r="A290" s="39">
        <v>14119517</v>
      </c>
      <c r="B290" s="48" t="s">
        <v>251</v>
      </c>
      <c r="C290" s="41" t="s">
        <v>581</v>
      </c>
      <c r="D290" s="41" t="s">
        <v>3</v>
      </c>
      <c r="E290" s="59">
        <v>4.1280509571428574</v>
      </c>
      <c r="F290" s="59">
        <v>4.1048309999999999</v>
      </c>
      <c r="G290" s="60">
        <v>0</v>
      </c>
      <c r="H290" s="61"/>
    </row>
    <row r="291" spans="1:8" ht="17.25" x14ac:dyDescent="0.3">
      <c r="A291" s="39">
        <v>14119539</v>
      </c>
      <c r="B291" s="40" t="s">
        <v>252</v>
      </c>
      <c r="C291" s="41" t="s">
        <v>687</v>
      </c>
      <c r="D291" s="41" t="s">
        <v>3</v>
      </c>
      <c r="E291" s="59">
        <v>3.5438558967948719</v>
      </c>
      <c r="F291" s="59">
        <v>5.7984184000000001</v>
      </c>
      <c r="G291" s="60">
        <v>355.58</v>
      </c>
      <c r="H291" s="61"/>
    </row>
    <row r="292" spans="1:8" ht="17.25" x14ac:dyDescent="0.3">
      <c r="A292" s="40">
        <v>14119540</v>
      </c>
      <c r="B292" s="40" t="s">
        <v>253</v>
      </c>
      <c r="C292" s="41" t="s">
        <v>687</v>
      </c>
      <c r="D292" s="41" t="s">
        <v>3</v>
      </c>
      <c r="E292" s="59">
        <v>4.1282664040242167</v>
      </c>
      <c r="F292" s="59">
        <v>4.4046449666666669</v>
      </c>
      <c r="G292" s="60">
        <v>355.58</v>
      </c>
      <c r="H292" s="61"/>
    </row>
    <row r="293" spans="1:8" ht="17.25" x14ac:dyDescent="0.3">
      <c r="A293" s="39">
        <v>14119598</v>
      </c>
      <c r="B293" s="40" t="s">
        <v>254</v>
      </c>
      <c r="C293" s="41" t="s">
        <v>798</v>
      </c>
      <c r="D293" s="41" t="s">
        <v>3</v>
      </c>
      <c r="E293" s="59" t="s">
        <v>920</v>
      </c>
      <c r="F293" s="59" t="s">
        <v>920</v>
      </c>
      <c r="G293" s="60">
        <v>355.58</v>
      </c>
      <c r="H293" s="61"/>
    </row>
    <row r="294" spans="1:8" ht="17.25" x14ac:dyDescent="0.3">
      <c r="A294" s="39">
        <v>14119701</v>
      </c>
      <c r="B294" s="40" t="s">
        <v>256</v>
      </c>
      <c r="C294" s="41" t="s">
        <v>745</v>
      </c>
      <c r="D294" s="41" t="s">
        <v>3</v>
      </c>
      <c r="E294" s="59" t="s">
        <v>920</v>
      </c>
      <c r="F294" s="59" t="s">
        <v>920</v>
      </c>
      <c r="G294" s="60">
        <v>355.58</v>
      </c>
      <c r="H294" s="61"/>
    </row>
    <row r="295" spans="1:8" ht="17.25" x14ac:dyDescent="0.3">
      <c r="A295" s="40">
        <v>14119751</v>
      </c>
      <c r="B295" s="40" t="s">
        <v>257</v>
      </c>
      <c r="C295" s="41" t="s">
        <v>799</v>
      </c>
      <c r="D295" s="41" t="s">
        <v>3</v>
      </c>
      <c r="E295" s="59">
        <v>4.6175667730769243</v>
      </c>
      <c r="F295" s="59">
        <v>5.0440426</v>
      </c>
      <c r="G295" s="60">
        <v>355.58</v>
      </c>
      <c r="H295" s="61"/>
    </row>
    <row r="296" spans="1:8" ht="17.25" x14ac:dyDescent="0.3">
      <c r="A296" s="39">
        <v>14119785</v>
      </c>
      <c r="B296" s="40" t="s">
        <v>258</v>
      </c>
      <c r="C296" s="41" t="s">
        <v>800</v>
      </c>
      <c r="D296" s="41" t="s">
        <v>3</v>
      </c>
      <c r="E296" s="59">
        <v>4.6029998352564103</v>
      </c>
      <c r="F296" s="59">
        <v>5.4989601666666665</v>
      </c>
      <c r="G296" s="60">
        <v>355.58</v>
      </c>
      <c r="H296" s="61"/>
    </row>
    <row r="297" spans="1:8" ht="17.25" x14ac:dyDescent="0.3">
      <c r="A297" s="39">
        <v>14119786</v>
      </c>
      <c r="B297" s="40" t="s">
        <v>259</v>
      </c>
      <c r="C297" s="41" t="s">
        <v>800</v>
      </c>
      <c r="D297" s="41" t="s">
        <v>3</v>
      </c>
      <c r="E297" s="59" t="s">
        <v>920</v>
      </c>
      <c r="F297" s="59" t="s">
        <v>920</v>
      </c>
      <c r="G297" s="60">
        <v>355.58</v>
      </c>
      <c r="H297" s="61"/>
    </row>
    <row r="298" spans="1:8" ht="17.25" x14ac:dyDescent="0.3">
      <c r="A298" s="39">
        <v>14119787</v>
      </c>
      <c r="B298" s="48" t="s">
        <v>260</v>
      </c>
      <c r="C298" s="41" t="s">
        <v>800</v>
      </c>
      <c r="D298" s="41" t="s">
        <v>3</v>
      </c>
      <c r="E298" s="59">
        <v>3.5518514512820505</v>
      </c>
      <c r="F298" s="59">
        <v>2.6314397</v>
      </c>
      <c r="G298" s="60">
        <v>0</v>
      </c>
      <c r="H298" s="61"/>
    </row>
    <row r="299" spans="1:8" ht="17.25" x14ac:dyDescent="0.3">
      <c r="A299" s="39">
        <v>14119825</v>
      </c>
      <c r="B299" s="40" t="s">
        <v>262</v>
      </c>
      <c r="C299" s="41" t="s">
        <v>801</v>
      </c>
      <c r="D299" s="41" t="s">
        <v>3</v>
      </c>
      <c r="E299" s="59">
        <v>4.3286457430555556</v>
      </c>
      <c r="F299" s="59">
        <v>3.6420180000000002</v>
      </c>
      <c r="G299" s="60">
        <v>0</v>
      </c>
      <c r="H299" s="61"/>
    </row>
    <row r="300" spans="1:8" ht="17.25" x14ac:dyDescent="0.3">
      <c r="A300" s="39">
        <v>14119835</v>
      </c>
      <c r="B300" s="40" t="s">
        <v>263</v>
      </c>
      <c r="C300" s="41" t="s">
        <v>580</v>
      </c>
      <c r="D300" s="41" t="s">
        <v>3</v>
      </c>
      <c r="E300" s="59" t="s">
        <v>920</v>
      </c>
      <c r="F300" s="59" t="s">
        <v>920</v>
      </c>
      <c r="G300" s="60">
        <v>355.58</v>
      </c>
      <c r="H300" s="61"/>
    </row>
    <row r="301" spans="1:8" ht="17.25" x14ac:dyDescent="0.3">
      <c r="A301" s="40">
        <v>14119837</v>
      </c>
      <c r="B301" s="40" t="s">
        <v>264</v>
      </c>
      <c r="C301" s="41" t="s">
        <v>580</v>
      </c>
      <c r="D301" s="41" t="s">
        <v>3</v>
      </c>
      <c r="E301" s="59">
        <v>3.9750258160256409</v>
      </c>
      <c r="F301" s="59">
        <v>4.9455084999999999</v>
      </c>
      <c r="G301" s="60">
        <v>355.58</v>
      </c>
      <c r="H301" s="61"/>
    </row>
    <row r="302" spans="1:8" ht="17.25" x14ac:dyDescent="0.3">
      <c r="A302" s="39">
        <v>14119838</v>
      </c>
      <c r="B302" s="40" t="s">
        <v>498</v>
      </c>
      <c r="C302" s="41" t="s">
        <v>802</v>
      </c>
      <c r="D302" s="41" t="s">
        <v>3</v>
      </c>
      <c r="E302" s="59">
        <v>3.5942285166666665</v>
      </c>
      <c r="F302" s="59">
        <v>0.33006260666666665</v>
      </c>
      <c r="G302" s="60">
        <v>0</v>
      </c>
      <c r="H302" s="61"/>
    </row>
    <row r="303" spans="1:8" ht="17.25" x14ac:dyDescent="0.3">
      <c r="A303" s="39">
        <v>14119839</v>
      </c>
      <c r="B303" s="40" t="s">
        <v>265</v>
      </c>
      <c r="C303" s="41" t="s">
        <v>580</v>
      </c>
      <c r="D303" s="41" t="s">
        <v>3</v>
      </c>
      <c r="E303" s="59">
        <v>3.9559738597222225</v>
      </c>
      <c r="F303" s="59">
        <v>4.4182381499999996</v>
      </c>
      <c r="G303" s="60">
        <v>355.58</v>
      </c>
      <c r="H303" s="61"/>
    </row>
    <row r="304" spans="1:8" ht="17.25" x14ac:dyDescent="0.3">
      <c r="A304" s="39">
        <v>14119890</v>
      </c>
      <c r="B304" s="48" t="s">
        <v>266</v>
      </c>
      <c r="C304" s="41" t="s">
        <v>803</v>
      </c>
      <c r="D304" s="41" t="s">
        <v>3</v>
      </c>
      <c r="E304" s="59">
        <v>3.8328438006944445</v>
      </c>
      <c r="F304" s="59">
        <v>3.948</v>
      </c>
      <c r="G304" s="60">
        <v>355.58</v>
      </c>
      <c r="H304" s="61"/>
    </row>
    <row r="305" spans="1:8" ht="17.25" x14ac:dyDescent="0.3">
      <c r="A305" s="39">
        <v>14119955</v>
      </c>
      <c r="B305" s="40" t="s">
        <v>268</v>
      </c>
      <c r="C305" s="41" t="s">
        <v>676</v>
      </c>
      <c r="D305" s="41" t="s">
        <v>3</v>
      </c>
      <c r="E305" s="59" t="s">
        <v>920</v>
      </c>
      <c r="F305" s="59" t="s">
        <v>920</v>
      </c>
      <c r="G305" s="60">
        <v>355.58</v>
      </c>
      <c r="H305" s="61"/>
    </row>
    <row r="306" spans="1:8" ht="17.25" x14ac:dyDescent="0.3">
      <c r="A306" s="39">
        <v>14119956</v>
      </c>
      <c r="B306" s="40" t="s">
        <v>269</v>
      </c>
      <c r="C306" s="41" t="s">
        <v>676</v>
      </c>
      <c r="D306" s="41" t="s">
        <v>3</v>
      </c>
      <c r="E306" s="59">
        <v>4.5091184871794869</v>
      </c>
      <c r="F306" s="59">
        <v>4.5216883666666661</v>
      </c>
      <c r="G306" s="60">
        <v>355.58</v>
      </c>
      <c r="H306" s="61"/>
    </row>
    <row r="307" spans="1:8" ht="17.25" x14ac:dyDescent="0.3">
      <c r="A307" s="39">
        <v>14119958</v>
      </c>
      <c r="B307" s="40" t="s">
        <v>270</v>
      </c>
      <c r="C307" s="41" t="s">
        <v>676</v>
      </c>
      <c r="D307" s="41" t="s">
        <v>3</v>
      </c>
      <c r="E307" s="59">
        <v>8.1038809147435895</v>
      </c>
      <c r="F307" s="59">
        <v>8.2357284499999999</v>
      </c>
      <c r="G307" s="60">
        <v>355.58</v>
      </c>
      <c r="H307" s="61"/>
    </row>
    <row r="308" spans="1:8" ht="17.25" x14ac:dyDescent="0.3">
      <c r="A308" s="39">
        <v>14120041</v>
      </c>
      <c r="B308" s="40" t="s">
        <v>272</v>
      </c>
      <c r="C308" s="41" t="s">
        <v>804</v>
      </c>
      <c r="D308" s="41" t="s">
        <v>3</v>
      </c>
      <c r="E308" s="59">
        <v>4.5927082820512819</v>
      </c>
      <c r="F308" s="59">
        <v>3.2107660499999997</v>
      </c>
      <c r="G308" s="60">
        <v>0</v>
      </c>
      <c r="H308" s="61"/>
    </row>
    <row r="309" spans="1:8" ht="17.25" x14ac:dyDescent="0.3">
      <c r="A309" s="39">
        <v>14120044</v>
      </c>
      <c r="B309" s="40" t="s">
        <v>273</v>
      </c>
      <c r="C309" s="41" t="s">
        <v>804</v>
      </c>
      <c r="D309" s="41" t="s">
        <v>3</v>
      </c>
      <c r="E309" s="59">
        <v>3.9</v>
      </c>
      <c r="F309" s="59">
        <v>4.9504685000000004</v>
      </c>
      <c r="G309" s="60">
        <v>355.58</v>
      </c>
      <c r="H309" s="61"/>
    </row>
    <row r="310" spans="1:8" ht="17.25" x14ac:dyDescent="0.3">
      <c r="A310" s="39">
        <v>14120091</v>
      </c>
      <c r="B310" s="40" t="s">
        <v>275</v>
      </c>
      <c r="C310" s="41" t="s">
        <v>805</v>
      </c>
      <c r="D310" s="41" t="s">
        <v>3</v>
      </c>
      <c r="E310" s="59">
        <v>9.2980275871794866</v>
      </c>
      <c r="F310" s="59">
        <v>7.9673808499999996</v>
      </c>
      <c r="G310" s="60">
        <v>0</v>
      </c>
      <c r="H310" s="61"/>
    </row>
    <row r="311" spans="1:8" ht="17.25" x14ac:dyDescent="0.3">
      <c r="A311" s="39">
        <v>14120104</v>
      </c>
      <c r="B311" s="40" t="s">
        <v>276</v>
      </c>
      <c r="C311" s="41" t="s">
        <v>768</v>
      </c>
      <c r="D311" s="41" t="s">
        <v>3</v>
      </c>
      <c r="E311" s="59" t="s">
        <v>921</v>
      </c>
      <c r="F311" s="59" t="s">
        <v>921</v>
      </c>
      <c r="G311" s="60">
        <v>355.58</v>
      </c>
      <c r="H311" s="61"/>
    </row>
    <row r="312" spans="1:8" ht="17.25" x14ac:dyDescent="0.3">
      <c r="A312" s="40">
        <v>14120106</v>
      </c>
      <c r="B312" s="40" t="s">
        <v>277</v>
      </c>
      <c r="C312" s="41" t="s">
        <v>768</v>
      </c>
      <c r="D312" s="41" t="s">
        <v>3</v>
      </c>
      <c r="E312" s="59" t="s">
        <v>920</v>
      </c>
      <c r="F312" s="59" t="s">
        <v>920</v>
      </c>
      <c r="G312" s="60">
        <v>355.58</v>
      </c>
      <c r="H312" s="61"/>
    </row>
    <row r="313" spans="1:8" ht="17.25" x14ac:dyDescent="0.3">
      <c r="A313" s="39">
        <v>14120121</v>
      </c>
      <c r="B313" s="48" t="s">
        <v>278</v>
      </c>
      <c r="C313" s="41" t="s">
        <v>806</v>
      </c>
      <c r="D313" s="41" t="s">
        <v>3</v>
      </c>
      <c r="E313" s="59">
        <v>3.0464471897435903</v>
      </c>
      <c r="F313" s="59">
        <v>2.8044194</v>
      </c>
      <c r="G313" s="60">
        <v>0</v>
      </c>
      <c r="H313" s="61"/>
    </row>
    <row r="314" spans="1:8" ht="17.25" x14ac:dyDescent="0.3">
      <c r="A314" s="40">
        <v>14120196</v>
      </c>
      <c r="B314" s="40" t="s">
        <v>279</v>
      </c>
      <c r="C314" s="41" t="s">
        <v>807</v>
      </c>
      <c r="D314" s="41" t="s">
        <v>3</v>
      </c>
      <c r="E314" s="59">
        <v>4.2721624564102569</v>
      </c>
      <c r="F314" s="59">
        <v>5.5599148999999999</v>
      </c>
      <c r="G314" s="60">
        <v>355.58</v>
      </c>
      <c r="H314" s="61"/>
    </row>
    <row r="315" spans="1:8" ht="17.25" x14ac:dyDescent="0.3">
      <c r="A315" s="39">
        <v>14120199</v>
      </c>
      <c r="B315" s="40" t="s">
        <v>400</v>
      </c>
      <c r="C315" s="41" t="s">
        <v>760</v>
      </c>
      <c r="D315" s="41" t="s">
        <v>3</v>
      </c>
      <c r="E315" s="59">
        <v>3.9</v>
      </c>
      <c r="F315" s="59">
        <v>4.9823355999999999</v>
      </c>
      <c r="G315" s="60">
        <v>355.58</v>
      </c>
      <c r="H315" s="61"/>
    </row>
    <row r="316" spans="1:8" ht="17.25" x14ac:dyDescent="0.3">
      <c r="A316" s="40">
        <v>14120270</v>
      </c>
      <c r="B316" s="40" t="s">
        <v>281</v>
      </c>
      <c r="C316" s="41" t="s">
        <v>808</v>
      </c>
      <c r="D316" s="41" t="s">
        <v>3</v>
      </c>
      <c r="E316" s="59" t="s">
        <v>920</v>
      </c>
      <c r="F316" s="59" t="s">
        <v>920</v>
      </c>
      <c r="G316" s="60">
        <v>355.58</v>
      </c>
      <c r="H316" s="61"/>
    </row>
    <row r="317" spans="1:8" ht="17.25" x14ac:dyDescent="0.3">
      <c r="A317" s="40">
        <v>14120276</v>
      </c>
      <c r="B317" s="40" t="s">
        <v>282</v>
      </c>
      <c r="C317" s="41" t="s">
        <v>808</v>
      </c>
      <c r="D317" s="41" t="s">
        <v>3</v>
      </c>
      <c r="E317" s="59">
        <v>3.4824243916666666</v>
      </c>
      <c r="F317" s="59">
        <v>3.2775238</v>
      </c>
      <c r="G317" s="60">
        <v>0</v>
      </c>
      <c r="H317" s="61"/>
    </row>
    <row r="318" spans="1:8" ht="17.25" x14ac:dyDescent="0.3">
      <c r="A318" s="39">
        <v>14120349</v>
      </c>
      <c r="B318" s="40" t="s">
        <v>284</v>
      </c>
      <c r="C318" s="41" t="s">
        <v>809</v>
      </c>
      <c r="D318" s="41" t="s">
        <v>3</v>
      </c>
      <c r="E318" s="59">
        <v>3.2853677871794869</v>
      </c>
      <c r="F318" s="59">
        <v>3.3410057000000002</v>
      </c>
      <c r="G318" s="60">
        <v>355.58</v>
      </c>
      <c r="H318" s="61"/>
    </row>
    <row r="319" spans="1:8" ht="17.25" x14ac:dyDescent="0.3">
      <c r="A319" s="39">
        <v>14120351</v>
      </c>
      <c r="B319" s="40" t="s">
        <v>285</v>
      </c>
      <c r="C319" s="41" t="s">
        <v>809</v>
      </c>
      <c r="D319" s="41" t="s">
        <v>3</v>
      </c>
      <c r="E319" s="59">
        <v>9.0327306875000009</v>
      </c>
      <c r="F319" s="59">
        <v>10.955668500000002</v>
      </c>
      <c r="G319" s="60">
        <v>355.58</v>
      </c>
      <c r="H319" s="61"/>
    </row>
    <row r="320" spans="1:8" ht="17.25" x14ac:dyDescent="0.3">
      <c r="A320" s="39">
        <v>14120413</v>
      </c>
      <c r="B320" s="40" t="s">
        <v>933</v>
      </c>
      <c r="C320" s="41" t="s">
        <v>932</v>
      </c>
      <c r="D320" s="41" t="s">
        <v>3</v>
      </c>
      <c r="E320" s="59">
        <v>3.8159580777777773</v>
      </c>
      <c r="F320" s="59">
        <v>3.8238170999999999</v>
      </c>
      <c r="G320" s="60">
        <v>355.58</v>
      </c>
      <c r="H320" s="61"/>
    </row>
    <row r="321" spans="1:8" ht="17.25" x14ac:dyDescent="0.3">
      <c r="A321" s="40">
        <v>14120415</v>
      </c>
      <c r="B321" s="40" t="s">
        <v>286</v>
      </c>
      <c r="C321" s="41" t="s">
        <v>810</v>
      </c>
      <c r="D321" s="41" t="s">
        <v>3</v>
      </c>
      <c r="E321" s="59">
        <v>3.5509246166666668</v>
      </c>
      <c r="F321" s="59">
        <v>4.3188595999999997</v>
      </c>
      <c r="G321" s="60">
        <v>355.58</v>
      </c>
      <c r="H321" s="61"/>
    </row>
    <row r="322" spans="1:8" ht="17.25" x14ac:dyDescent="0.3">
      <c r="A322" s="39">
        <v>14120455</v>
      </c>
      <c r="B322" s="40" t="s">
        <v>287</v>
      </c>
      <c r="C322" s="41" t="s">
        <v>811</v>
      </c>
      <c r="D322" s="41" t="s">
        <v>3</v>
      </c>
      <c r="E322" s="59">
        <v>6.6755000000000013</v>
      </c>
      <c r="F322" s="59">
        <v>7.6461026499999996</v>
      </c>
      <c r="G322" s="60">
        <v>355.58</v>
      </c>
      <c r="H322" s="61"/>
    </row>
    <row r="323" spans="1:8" ht="17.25" x14ac:dyDescent="0.3">
      <c r="A323" s="39">
        <v>14120489</v>
      </c>
      <c r="B323" s="40" t="s">
        <v>288</v>
      </c>
      <c r="C323" s="41" t="s">
        <v>812</v>
      </c>
      <c r="D323" s="41" t="s">
        <v>3</v>
      </c>
      <c r="E323" s="59">
        <v>4.3754269897435893</v>
      </c>
      <c r="F323" s="59">
        <v>3.8235510000000001</v>
      </c>
      <c r="G323" s="60">
        <v>0</v>
      </c>
      <c r="H323" s="61"/>
    </row>
    <row r="324" spans="1:8" ht="17.25" x14ac:dyDescent="0.3">
      <c r="A324" s="39">
        <v>14120611</v>
      </c>
      <c r="B324" s="50" t="s">
        <v>289</v>
      </c>
      <c r="C324" s="41" t="s">
        <v>813</v>
      </c>
      <c r="D324" s="41" t="s">
        <v>3</v>
      </c>
      <c r="E324" s="59">
        <v>3.1938537217948713</v>
      </c>
      <c r="F324" s="59">
        <v>2.6466856999999999</v>
      </c>
      <c r="G324" s="60">
        <v>0</v>
      </c>
      <c r="H324" s="61"/>
    </row>
    <row r="325" spans="1:8" ht="17.25" x14ac:dyDescent="0.3">
      <c r="A325" s="39">
        <v>14120613</v>
      </c>
      <c r="B325" s="48" t="s">
        <v>290</v>
      </c>
      <c r="C325" s="41" t="s">
        <v>813</v>
      </c>
      <c r="D325" s="41" t="s">
        <v>3</v>
      </c>
      <c r="E325" s="59">
        <v>4.7586204615384613</v>
      </c>
      <c r="F325" s="59">
        <v>1.9368448462849999</v>
      </c>
      <c r="G325" s="60">
        <v>0</v>
      </c>
      <c r="H325" s="61"/>
    </row>
    <row r="326" spans="1:8" ht="17.25" x14ac:dyDescent="0.3">
      <c r="A326" s="39">
        <v>14120655</v>
      </c>
      <c r="B326" s="40" t="s">
        <v>293</v>
      </c>
      <c r="C326" s="41" t="s">
        <v>814</v>
      </c>
      <c r="D326" s="41" t="s">
        <v>3</v>
      </c>
      <c r="E326" s="59">
        <v>10.182831208333333</v>
      </c>
      <c r="F326" s="59">
        <v>12.697039</v>
      </c>
      <c r="G326" s="60">
        <v>355.58</v>
      </c>
      <c r="H326" s="61"/>
    </row>
    <row r="327" spans="1:8" ht="17.25" x14ac:dyDescent="0.3">
      <c r="A327" s="39">
        <v>14120668</v>
      </c>
      <c r="B327" s="40" t="s">
        <v>294</v>
      </c>
      <c r="C327" s="41" t="s">
        <v>743</v>
      </c>
      <c r="D327" s="41" t="s">
        <v>3</v>
      </c>
      <c r="E327" s="59">
        <v>4.0883376</v>
      </c>
      <c r="F327" s="59">
        <v>3.4305223000000002</v>
      </c>
      <c r="G327" s="60">
        <v>0</v>
      </c>
      <c r="H327" s="61"/>
    </row>
    <row r="328" spans="1:8" ht="17.25" x14ac:dyDescent="0.3">
      <c r="A328" s="39">
        <v>14120715</v>
      </c>
      <c r="B328" s="40" t="s">
        <v>295</v>
      </c>
      <c r="C328" s="41" t="s">
        <v>599</v>
      </c>
      <c r="D328" s="41" t="s">
        <v>3</v>
      </c>
      <c r="E328" s="59">
        <v>8.503669173076922</v>
      </c>
      <c r="F328" s="59">
        <v>9.0999339999999993</v>
      </c>
      <c r="G328" s="60">
        <v>355.58</v>
      </c>
      <c r="H328" s="61"/>
    </row>
    <row r="329" spans="1:8" ht="17.25" x14ac:dyDescent="0.3">
      <c r="A329" s="39">
        <v>14120788</v>
      </c>
      <c r="B329" s="40" t="s">
        <v>297</v>
      </c>
      <c r="C329" s="41" t="s">
        <v>709</v>
      </c>
      <c r="D329" s="41" t="s">
        <v>3</v>
      </c>
      <c r="E329" s="59" t="s">
        <v>920</v>
      </c>
      <c r="F329" s="59" t="s">
        <v>920</v>
      </c>
      <c r="G329" s="60">
        <v>355.58</v>
      </c>
      <c r="H329" s="61"/>
    </row>
    <row r="330" spans="1:8" ht="17.25" x14ac:dyDescent="0.3">
      <c r="A330" s="39">
        <v>14120789</v>
      </c>
      <c r="B330" s="40" t="s">
        <v>298</v>
      </c>
      <c r="C330" s="41" t="s">
        <v>709</v>
      </c>
      <c r="D330" s="41" t="s">
        <v>3</v>
      </c>
      <c r="E330" s="59">
        <v>2.8934297242424241</v>
      </c>
      <c r="F330" s="59">
        <v>3.8332356999999995</v>
      </c>
      <c r="G330" s="60">
        <v>355.58</v>
      </c>
      <c r="H330" s="61"/>
    </row>
    <row r="331" spans="1:8" ht="17.25" x14ac:dyDescent="0.3">
      <c r="A331" s="39">
        <v>14120806</v>
      </c>
      <c r="B331" s="40" t="s">
        <v>299</v>
      </c>
      <c r="C331" s="41" t="s">
        <v>815</v>
      </c>
      <c r="D331" s="41" t="s">
        <v>3</v>
      </c>
      <c r="E331" s="59">
        <v>3.3682846294871798</v>
      </c>
      <c r="F331" s="59">
        <v>3.614398</v>
      </c>
      <c r="G331" s="60">
        <v>355.58</v>
      </c>
      <c r="H331" s="61"/>
    </row>
    <row r="332" spans="1:8" ht="17.25" x14ac:dyDescent="0.3">
      <c r="A332" s="39">
        <v>14120807</v>
      </c>
      <c r="B332" s="40" t="s">
        <v>300</v>
      </c>
      <c r="C332" s="41" t="s">
        <v>815</v>
      </c>
      <c r="D332" s="41" t="s">
        <v>3</v>
      </c>
      <c r="E332" s="59">
        <v>3.4801414769230772</v>
      </c>
      <c r="F332" s="59">
        <v>2.9130000000000003</v>
      </c>
      <c r="G332" s="60">
        <v>0</v>
      </c>
      <c r="H332" s="61"/>
    </row>
    <row r="333" spans="1:8" ht="17.25" x14ac:dyDescent="0.3">
      <c r="A333" s="39">
        <v>14120850</v>
      </c>
      <c r="B333" s="40" t="s">
        <v>301</v>
      </c>
      <c r="C333" s="41" t="s">
        <v>816</v>
      </c>
      <c r="D333" s="41" t="s">
        <v>3</v>
      </c>
      <c r="E333" s="59" t="s">
        <v>920</v>
      </c>
      <c r="F333" s="59" t="s">
        <v>920</v>
      </c>
      <c r="G333" s="60">
        <v>355.58</v>
      </c>
      <c r="H333" s="61"/>
    </row>
    <row r="334" spans="1:8" ht="17.25" x14ac:dyDescent="0.3">
      <c r="A334" s="39">
        <v>14120885</v>
      </c>
      <c r="B334" s="40" t="s">
        <v>302</v>
      </c>
      <c r="C334" s="41" t="s">
        <v>817</v>
      </c>
      <c r="D334" s="41" t="s">
        <v>3</v>
      </c>
      <c r="E334" s="59">
        <v>3.6837882766025638</v>
      </c>
      <c r="F334" s="59">
        <v>4.0749073500000002</v>
      </c>
      <c r="G334" s="60">
        <v>355.58</v>
      </c>
      <c r="H334" s="61"/>
    </row>
    <row r="335" spans="1:8" ht="17.25" x14ac:dyDescent="0.3">
      <c r="A335" s="39">
        <v>14120925</v>
      </c>
      <c r="B335" s="40" t="s">
        <v>304</v>
      </c>
      <c r="C335" s="41" t="s">
        <v>608</v>
      </c>
      <c r="D335" s="41" t="s">
        <v>3</v>
      </c>
      <c r="E335" s="59">
        <v>4.22522485</v>
      </c>
      <c r="F335" s="59">
        <v>5.4281945</v>
      </c>
      <c r="G335" s="60">
        <v>355.58</v>
      </c>
      <c r="H335" s="61"/>
    </row>
    <row r="336" spans="1:8" ht="17.25" x14ac:dyDescent="0.3">
      <c r="A336" s="39">
        <v>14121013</v>
      </c>
      <c r="B336" s="40" t="s">
        <v>305</v>
      </c>
      <c r="C336" s="41" t="s">
        <v>818</v>
      </c>
      <c r="D336" s="41" t="s">
        <v>3</v>
      </c>
      <c r="E336" s="59">
        <v>3.7954164884615391</v>
      </c>
      <c r="F336" s="59">
        <v>4.7902508666666668</v>
      </c>
      <c r="G336" s="60">
        <v>355.58</v>
      </c>
      <c r="H336" s="61"/>
    </row>
    <row r="337" spans="1:8" ht="17.25" x14ac:dyDescent="0.3">
      <c r="A337" s="39">
        <v>14121015</v>
      </c>
      <c r="B337" s="40" t="s">
        <v>306</v>
      </c>
      <c r="C337" s="41" t="s">
        <v>818</v>
      </c>
      <c r="D337" s="41" t="s">
        <v>3</v>
      </c>
      <c r="E337" s="59">
        <v>3.449987585897436</v>
      </c>
      <c r="F337" s="59">
        <v>3.8391208333333338</v>
      </c>
      <c r="G337" s="60">
        <v>355.58</v>
      </c>
      <c r="H337" s="61"/>
    </row>
    <row r="338" spans="1:8" ht="17.25" x14ac:dyDescent="0.3">
      <c r="A338" s="39">
        <v>14121103</v>
      </c>
      <c r="B338" s="40" t="s">
        <v>307</v>
      </c>
      <c r="C338" s="41" t="s">
        <v>819</v>
      </c>
      <c r="D338" s="41" t="s">
        <v>3</v>
      </c>
      <c r="E338" s="59">
        <v>4.1577925454545461</v>
      </c>
      <c r="F338" s="59">
        <v>2.8777225666666664</v>
      </c>
      <c r="G338" s="60">
        <v>0</v>
      </c>
      <c r="H338" s="61"/>
    </row>
    <row r="339" spans="1:8" ht="17.25" x14ac:dyDescent="0.3">
      <c r="A339" s="39">
        <v>14121104</v>
      </c>
      <c r="B339" s="40" t="s">
        <v>308</v>
      </c>
      <c r="C339" s="41" t="s">
        <v>819</v>
      </c>
      <c r="D339" s="41" t="s">
        <v>3</v>
      </c>
      <c r="E339" s="59">
        <v>4.3880720442307686</v>
      </c>
      <c r="F339" s="59">
        <v>4.4531243333333341</v>
      </c>
      <c r="G339" s="60">
        <v>355.58</v>
      </c>
      <c r="H339" s="61"/>
    </row>
    <row r="340" spans="1:8" ht="17.25" x14ac:dyDescent="0.3">
      <c r="A340" s="39">
        <v>14121116</v>
      </c>
      <c r="B340" s="40" t="s">
        <v>314</v>
      </c>
      <c r="C340" s="41" t="s">
        <v>677</v>
      </c>
      <c r="D340" s="41" t="s">
        <v>3</v>
      </c>
      <c r="E340" s="59">
        <v>3.7394145703846151</v>
      </c>
      <c r="F340" s="59">
        <v>3.8329341000000001</v>
      </c>
      <c r="G340" s="60">
        <v>355.58</v>
      </c>
      <c r="H340" s="61"/>
    </row>
    <row r="341" spans="1:8" ht="17.25" x14ac:dyDescent="0.3">
      <c r="A341" s="39">
        <v>14121152</v>
      </c>
      <c r="B341" s="40" t="s">
        <v>315</v>
      </c>
      <c r="C341" s="41" t="s">
        <v>820</v>
      </c>
      <c r="D341" s="41" t="s">
        <v>3</v>
      </c>
      <c r="E341" s="59">
        <v>3.2237704230769229</v>
      </c>
      <c r="F341" s="59">
        <v>3.7160000000000002</v>
      </c>
      <c r="G341" s="60">
        <v>355.58</v>
      </c>
      <c r="H341" s="61"/>
    </row>
    <row r="342" spans="1:8" ht="17.25" x14ac:dyDescent="0.3">
      <c r="A342" s="39">
        <v>14121153</v>
      </c>
      <c r="B342" s="40" t="s">
        <v>316</v>
      </c>
      <c r="C342" s="41" t="s">
        <v>820</v>
      </c>
      <c r="D342" s="41" t="s">
        <v>3</v>
      </c>
      <c r="E342" s="59">
        <v>5.8100501298601408</v>
      </c>
      <c r="F342" s="59">
        <v>7.3792948666666662</v>
      </c>
      <c r="G342" s="60">
        <v>355.58</v>
      </c>
      <c r="H342" s="61"/>
    </row>
    <row r="343" spans="1:8" ht="17.25" x14ac:dyDescent="0.3">
      <c r="A343" s="39">
        <v>14121158</v>
      </c>
      <c r="B343" s="40" t="s">
        <v>317</v>
      </c>
      <c r="C343" s="41" t="s">
        <v>820</v>
      </c>
      <c r="D343" s="41" t="s">
        <v>3</v>
      </c>
      <c r="E343" s="59">
        <v>2.8832261423076919</v>
      </c>
      <c r="F343" s="59">
        <v>2.3866668999999998</v>
      </c>
      <c r="G343" s="60">
        <v>0</v>
      </c>
      <c r="H343" s="61"/>
    </row>
    <row r="344" spans="1:8" ht="17.25" x14ac:dyDescent="0.3">
      <c r="A344" s="39">
        <v>14121159</v>
      </c>
      <c r="B344" s="40" t="s">
        <v>318</v>
      </c>
      <c r="C344" s="41" t="s">
        <v>820</v>
      </c>
      <c r="D344" s="41" t="s">
        <v>3</v>
      </c>
      <c r="E344" s="59">
        <v>3.3098333333333336</v>
      </c>
      <c r="F344" s="59">
        <v>3.7970461499999999</v>
      </c>
      <c r="G344" s="60">
        <v>355.58</v>
      </c>
      <c r="H344" s="61"/>
    </row>
    <row r="345" spans="1:8" ht="17.25" x14ac:dyDescent="0.3">
      <c r="A345" s="39">
        <v>14121193</v>
      </c>
      <c r="B345" s="40" t="s">
        <v>319</v>
      </c>
      <c r="C345" s="41" t="s">
        <v>755</v>
      </c>
      <c r="D345" s="41" t="s">
        <v>3</v>
      </c>
      <c r="E345" s="59" t="s">
        <v>921</v>
      </c>
      <c r="F345" s="59" t="s">
        <v>921</v>
      </c>
      <c r="G345" s="60">
        <v>355.58</v>
      </c>
      <c r="H345" s="61"/>
    </row>
    <row r="346" spans="1:8" ht="17.25" x14ac:dyDescent="0.3">
      <c r="A346" s="39">
        <v>14121235</v>
      </c>
      <c r="B346" s="40" t="s">
        <v>321</v>
      </c>
      <c r="C346" s="41" t="s">
        <v>576</v>
      </c>
      <c r="D346" s="41" t="s">
        <v>3</v>
      </c>
      <c r="E346" s="59">
        <v>3.6393581141025635</v>
      </c>
      <c r="F346" s="59">
        <v>3.5615595500000001</v>
      </c>
      <c r="G346" s="60">
        <v>0</v>
      </c>
      <c r="H346" s="61"/>
    </row>
    <row r="347" spans="1:8" ht="17.25" x14ac:dyDescent="0.3">
      <c r="A347" s="40">
        <v>14121238</v>
      </c>
      <c r="B347" s="40" t="s">
        <v>322</v>
      </c>
      <c r="C347" s="41" t="s">
        <v>576</v>
      </c>
      <c r="D347" s="41" t="s">
        <v>3</v>
      </c>
      <c r="E347" s="59">
        <v>4.5872073358974363</v>
      </c>
      <c r="F347" s="59">
        <v>4.7903193500000008</v>
      </c>
      <c r="G347" s="60">
        <v>355.58</v>
      </c>
      <c r="H347" s="61"/>
    </row>
    <row r="348" spans="1:8" ht="17.25" x14ac:dyDescent="0.3">
      <c r="A348" s="39">
        <v>14121239</v>
      </c>
      <c r="B348" s="40" t="s">
        <v>323</v>
      </c>
      <c r="C348" s="41" t="s">
        <v>576</v>
      </c>
      <c r="D348" s="41" t="s">
        <v>3</v>
      </c>
      <c r="E348" s="59">
        <v>3.7710972855555558</v>
      </c>
      <c r="F348" s="59">
        <v>4.1991681999999999</v>
      </c>
      <c r="G348" s="60">
        <v>355.58</v>
      </c>
      <c r="H348" s="61"/>
    </row>
    <row r="349" spans="1:8" ht="17.25" x14ac:dyDescent="0.3">
      <c r="A349" s="39">
        <v>14121266</v>
      </c>
      <c r="B349" s="40" t="s">
        <v>324</v>
      </c>
      <c r="C349" s="41" t="s">
        <v>821</v>
      </c>
      <c r="D349" s="41" t="s">
        <v>3</v>
      </c>
      <c r="E349" s="59">
        <v>2.5632572106227109</v>
      </c>
      <c r="F349" s="59">
        <v>2.9423366</v>
      </c>
      <c r="G349" s="60">
        <v>355.58</v>
      </c>
      <c r="H349" s="61"/>
    </row>
    <row r="350" spans="1:8" ht="17.25" x14ac:dyDescent="0.3">
      <c r="A350" s="39">
        <v>14121271</v>
      </c>
      <c r="B350" s="40" t="s">
        <v>325</v>
      </c>
      <c r="C350" s="41" t="s">
        <v>821</v>
      </c>
      <c r="D350" s="41" t="s">
        <v>3</v>
      </c>
      <c r="E350" s="59" t="s">
        <v>920</v>
      </c>
      <c r="F350" s="59" t="s">
        <v>920</v>
      </c>
      <c r="G350" s="60">
        <v>355.58</v>
      </c>
      <c r="H350" s="61"/>
    </row>
    <row r="351" spans="1:8" ht="17.25" x14ac:dyDescent="0.3">
      <c r="A351" s="40">
        <v>14121328</v>
      </c>
      <c r="B351" s="40" t="s">
        <v>326</v>
      </c>
      <c r="C351" s="41" t="s">
        <v>822</v>
      </c>
      <c r="D351" s="41" t="s">
        <v>3</v>
      </c>
      <c r="E351" s="59">
        <v>3.4629630705128207</v>
      </c>
      <c r="F351" s="59">
        <v>4.3213432000000003</v>
      </c>
      <c r="G351" s="60">
        <v>355.58</v>
      </c>
      <c r="H351" s="61"/>
    </row>
    <row r="352" spans="1:8" ht="17.25" x14ac:dyDescent="0.3">
      <c r="A352" s="39">
        <v>14121398</v>
      </c>
      <c r="B352" s="40" t="s">
        <v>327</v>
      </c>
      <c r="C352" s="41" t="s">
        <v>823</v>
      </c>
      <c r="D352" s="41" t="s">
        <v>3</v>
      </c>
      <c r="E352" s="59">
        <v>4.1791154012820506</v>
      </c>
      <c r="F352" s="59">
        <v>2.8786528499999999</v>
      </c>
      <c r="G352" s="60">
        <v>0</v>
      </c>
      <c r="H352" s="61"/>
    </row>
    <row r="353" spans="1:9" ht="17.25" x14ac:dyDescent="0.3">
      <c r="A353" s="39">
        <v>14121522</v>
      </c>
      <c r="B353" s="40" t="s">
        <v>331</v>
      </c>
      <c r="C353" s="41" t="s">
        <v>824</v>
      </c>
      <c r="D353" s="41" t="s">
        <v>3</v>
      </c>
      <c r="E353" s="59">
        <v>4.1654650307692309</v>
      </c>
      <c r="F353" s="59">
        <v>4.8515633333333339</v>
      </c>
      <c r="G353" s="60">
        <v>355.58</v>
      </c>
      <c r="H353" s="61"/>
    </row>
    <row r="354" spans="1:9" ht="17.25" x14ac:dyDescent="0.3">
      <c r="A354" s="39">
        <v>14121523</v>
      </c>
      <c r="B354" s="40" t="s">
        <v>332</v>
      </c>
      <c r="C354" s="41" t="s">
        <v>824</v>
      </c>
      <c r="D354" s="41" t="s">
        <v>3</v>
      </c>
      <c r="E354" s="59">
        <v>3.87</v>
      </c>
      <c r="F354" s="59">
        <v>2.3733317999999999</v>
      </c>
      <c r="G354" s="60">
        <v>0</v>
      </c>
      <c r="H354" s="61"/>
    </row>
    <row r="355" spans="1:9" ht="17.25" x14ac:dyDescent="0.3">
      <c r="A355" s="40">
        <v>14121543</v>
      </c>
      <c r="B355" s="40" t="s">
        <v>333</v>
      </c>
      <c r="C355" s="41" t="s">
        <v>825</v>
      </c>
      <c r="D355" s="41" t="s">
        <v>3</v>
      </c>
      <c r="E355" s="59">
        <v>3.6538385192307694</v>
      </c>
      <c r="F355" s="59">
        <v>4.3782782999999998</v>
      </c>
      <c r="G355" s="60">
        <v>355.58</v>
      </c>
      <c r="H355" s="61"/>
      <c r="I355" s="62"/>
    </row>
    <row r="356" spans="1:9" ht="17.25" x14ac:dyDescent="0.3">
      <c r="A356" s="40">
        <v>14121545</v>
      </c>
      <c r="B356" s="40" t="s">
        <v>334</v>
      </c>
      <c r="C356" s="41" t="s">
        <v>825</v>
      </c>
      <c r="D356" s="41" t="s">
        <v>3</v>
      </c>
      <c r="E356" s="59">
        <v>3.5422789045537799</v>
      </c>
      <c r="F356" s="59">
        <v>4.2881225000000001</v>
      </c>
      <c r="G356" s="60">
        <v>355.58</v>
      </c>
      <c r="H356" s="61"/>
    </row>
    <row r="357" spans="1:9" ht="17.25" x14ac:dyDescent="0.3">
      <c r="A357" s="39">
        <v>14121571</v>
      </c>
      <c r="B357" s="40" t="s">
        <v>336</v>
      </c>
      <c r="C357" s="41" t="s">
        <v>826</v>
      </c>
      <c r="D357" s="41" t="s">
        <v>3</v>
      </c>
      <c r="E357" s="59">
        <v>3.9095466500000007</v>
      </c>
      <c r="F357" s="59">
        <v>2.5433344999999998</v>
      </c>
      <c r="G357" s="60">
        <v>0</v>
      </c>
      <c r="H357" s="61"/>
    </row>
    <row r="358" spans="1:9" ht="17.25" x14ac:dyDescent="0.3">
      <c r="A358" s="39">
        <v>14121582</v>
      </c>
      <c r="B358" s="40" t="s">
        <v>337</v>
      </c>
      <c r="C358" s="41" t="s">
        <v>827</v>
      </c>
      <c r="D358" s="41" t="s">
        <v>3</v>
      </c>
      <c r="E358" s="59">
        <v>3.347436455555556</v>
      </c>
      <c r="F358" s="59">
        <v>4.0291033000000001</v>
      </c>
      <c r="G358" s="60">
        <v>355.58</v>
      </c>
      <c r="H358" s="61"/>
    </row>
    <row r="359" spans="1:9" ht="17.25" x14ac:dyDescent="0.3">
      <c r="A359" s="39">
        <v>14121598</v>
      </c>
      <c r="B359" s="40" t="s">
        <v>338</v>
      </c>
      <c r="C359" s="41" t="s">
        <v>828</v>
      </c>
      <c r="D359" s="41" t="s">
        <v>3</v>
      </c>
      <c r="E359" s="59">
        <v>3.9</v>
      </c>
      <c r="F359" s="59">
        <v>2.9735233000000001</v>
      </c>
      <c r="G359" s="60">
        <v>0</v>
      </c>
      <c r="H359" s="61"/>
    </row>
    <row r="360" spans="1:9" ht="17.25" x14ac:dyDescent="0.3">
      <c r="A360" s="39">
        <v>14121600</v>
      </c>
      <c r="B360" s="40" t="s">
        <v>339</v>
      </c>
      <c r="C360" s="41" t="s">
        <v>828</v>
      </c>
      <c r="D360" s="41" t="s">
        <v>3</v>
      </c>
      <c r="E360" s="59">
        <v>3.8265273679487182</v>
      </c>
      <c r="F360" s="59">
        <v>5.1645023999999999</v>
      </c>
      <c r="G360" s="60">
        <v>355.58</v>
      </c>
      <c r="H360" s="61"/>
    </row>
    <row r="361" spans="1:9" ht="17.25" x14ac:dyDescent="0.3">
      <c r="A361" s="39">
        <v>14121672</v>
      </c>
      <c r="B361" s="40" t="s">
        <v>342</v>
      </c>
      <c r="C361" s="41" t="s">
        <v>829</v>
      </c>
      <c r="D361" s="41" t="s">
        <v>3</v>
      </c>
      <c r="E361" s="59">
        <v>3.1262953576923076</v>
      </c>
      <c r="F361" s="59">
        <v>3.8209327499999999</v>
      </c>
      <c r="G361" s="60">
        <v>355.58</v>
      </c>
      <c r="H361" s="61"/>
    </row>
    <row r="362" spans="1:9" ht="17.25" x14ac:dyDescent="0.3">
      <c r="A362" s="39">
        <v>14121677</v>
      </c>
      <c r="B362" s="40" t="s">
        <v>343</v>
      </c>
      <c r="C362" s="41" t="s">
        <v>829</v>
      </c>
      <c r="D362" s="41" t="s">
        <v>3</v>
      </c>
      <c r="E362" s="59">
        <v>4.2215630541666664</v>
      </c>
      <c r="F362" s="59">
        <v>5.3282245000000001</v>
      </c>
      <c r="G362" s="60">
        <v>355.58</v>
      </c>
      <c r="H362" s="61"/>
    </row>
    <row r="363" spans="1:9" ht="17.25" x14ac:dyDescent="0.3">
      <c r="A363" s="39">
        <v>14121728</v>
      </c>
      <c r="B363" s="40" t="s">
        <v>345</v>
      </c>
      <c r="C363" s="41" t="s">
        <v>830</v>
      </c>
      <c r="D363" s="41" t="s">
        <v>3</v>
      </c>
      <c r="E363" s="59">
        <v>4.7877238638888899</v>
      </c>
      <c r="F363" s="59">
        <v>4.8239331333333331</v>
      </c>
      <c r="G363" s="60">
        <v>355.58</v>
      </c>
      <c r="H363" s="61"/>
    </row>
    <row r="364" spans="1:9" ht="17.25" x14ac:dyDescent="0.3">
      <c r="A364" s="39">
        <v>14121733</v>
      </c>
      <c r="B364" s="40" t="s">
        <v>346</v>
      </c>
      <c r="C364" s="41" t="s">
        <v>713</v>
      </c>
      <c r="D364" s="41" t="s">
        <v>3</v>
      </c>
      <c r="E364" s="59">
        <v>3.3447547083333333</v>
      </c>
      <c r="F364" s="59">
        <v>3.7043074499999999</v>
      </c>
      <c r="G364" s="60">
        <v>355.58</v>
      </c>
      <c r="H364" s="61"/>
    </row>
    <row r="365" spans="1:9" ht="17.25" x14ac:dyDescent="0.3">
      <c r="A365" s="39">
        <v>14121756</v>
      </c>
      <c r="B365" s="40" t="s">
        <v>350</v>
      </c>
      <c r="C365" s="41" t="s">
        <v>831</v>
      </c>
      <c r="D365" s="41" t="s">
        <v>3</v>
      </c>
      <c r="E365" s="59">
        <v>4.3253192999999985</v>
      </c>
      <c r="F365" s="59">
        <v>5.354171</v>
      </c>
      <c r="G365" s="60">
        <v>355.58</v>
      </c>
      <c r="H365" s="61"/>
    </row>
    <row r="366" spans="1:9" ht="17.25" x14ac:dyDescent="0.3">
      <c r="A366" s="39">
        <v>14121766</v>
      </c>
      <c r="B366" s="40" t="s">
        <v>351</v>
      </c>
      <c r="C366" s="41" t="s">
        <v>831</v>
      </c>
      <c r="D366" s="41" t="s">
        <v>3</v>
      </c>
      <c r="E366" s="59">
        <v>4.0314446636363641</v>
      </c>
      <c r="F366" s="59">
        <v>3.5209999999999999</v>
      </c>
      <c r="G366" s="60">
        <v>0</v>
      </c>
      <c r="H366" s="61"/>
    </row>
    <row r="367" spans="1:9" ht="17.25" x14ac:dyDescent="0.3">
      <c r="A367" s="39">
        <v>14121784</v>
      </c>
      <c r="B367" s="40" t="s">
        <v>352</v>
      </c>
      <c r="C367" s="41" t="s">
        <v>832</v>
      </c>
      <c r="D367" s="41" t="s">
        <v>3</v>
      </c>
      <c r="E367" s="59">
        <v>4.3211632769230768</v>
      </c>
      <c r="F367" s="59">
        <v>3.0287148999999998</v>
      </c>
      <c r="G367" s="60">
        <v>0</v>
      </c>
      <c r="H367" s="61"/>
    </row>
    <row r="368" spans="1:9" ht="17.25" x14ac:dyDescent="0.3">
      <c r="A368" s="39">
        <v>14121785</v>
      </c>
      <c r="B368" s="40" t="s">
        <v>353</v>
      </c>
      <c r="C368" s="41" t="s">
        <v>832</v>
      </c>
      <c r="D368" s="41" t="s">
        <v>3</v>
      </c>
      <c r="E368" s="59">
        <v>3.1543333333333337</v>
      </c>
      <c r="F368" s="59">
        <v>3.9425422999999999</v>
      </c>
      <c r="G368" s="60">
        <v>355.58</v>
      </c>
      <c r="H368" s="61"/>
    </row>
    <row r="369" spans="1:8" ht="17.25" x14ac:dyDescent="0.3">
      <c r="A369" s="39">
        <v>14121791</v>
      </c>
      <c r="B369" s="40" t="s">
        <v>354</v>
      </c>
      <c r="C369" s="41" t="s">
        <v>832</v>
      </c>
      <c r="D369" s="41" t="s">
        <v>3</v>
      </c>
      <c r="E369" s="59">
        <v>4.5619196102564095</v>
      </c>
      <c r="F369" s="59">
        <v>4.815006433333334</v>
      </c>
      <c r="G369" s="60">
        <v>355.58</v>
      </c>
      <c r="H369" s="61"/>
    </row>
    <row r="370" spans="1:8" ht="17.25" x14ac:dyDescent="0.3">
      <c r="A370" s="39">
        <v>14121809</v>
      </c>
      <c r="B370" s="48" t="s">
        <v>355</v>
      </c>
      <c r="C370" s="41" t="s">
        <v>833</v>
      </c>
      <c r="D370" s="41" t="s">
        <v>3</v>
      </c>
      <c r="E370" s="59">
        <v>3.7686111111111114</v>
      </c>
      <c r="F370" s="59">
        <v>3.7266691999999999</v>
      </c>
      <c r="G370" s="60">
        <v>0</v>
      </c>
      <c r="H370" s="61"/>
    </row>
    <row r="371" spans="1:8" ht="17.25" x14ac:dyDescent="0.3">
      <c r="A371" s="39">
        <v>14121811</v>
      </c>
      <c r="B371" s="40" t="s">
        <v>356</v>
      </c>
      <c r="C371" s="41" t="s">
        <v>833</v>
      </c>
      <c r="D371" s="41" t="s">
        <v>3</v>
      </c>
      <c r="E371" s="59">
        <v>4.0434598384615379</v>
      </c>
      <c r="F371" s="59">
        <v>4.8204640000000003</v>
      </c>
      <c r="G371" s="60">
        <v>355.58</v>
      </c>
      <c r="H371" s="61"/>
    </row>
    <row r="372" spans="1:8" ht="17.25" x14ac:dyDescent="0.3">
      <c r="A372" s="39">
        <v>14121821</v>
      </c>
      <c r="B372" s="48" t="s">
        <v>357</v>
      </c>
      <c r="C372" s="41" t="s">
        <v>775</v>
      </c>
      <c r="D372" s="41" t="s">
        <v>3</v>
      </c>
      <c r="E372" s="59">
        <v>3.632229208333333</v>
      </c>
      <c r="F372" s="59">
        <v>5.2288562000000001</v>
      </c>
      <c r="G372" s="60">
        <v>355.58</v>
      </c>
      <c r="H372" s="61"/>
    </row>
    <row r="373" spans="1:8" ht="17.25" x14ac:dyDescent="0.3">
      <c r="A373" s="39">
        <v>14121856</v>
      </c>
      <c r="B373" s="40" t="s">
        <v>358</v>
      </c>
      <c r="C373" s="41" t="s">
        <v>695</v>
      </c>
      <c r="D373" s="41" t="s">
        <v>3</v>
      </c>
      <c r="E373" s="59">
        <v>3.9575729865972225</v>
      </c>
      <c r="F373" s="59">
        <v>3.3569422499999999</v>
      </c>
      <c r="G373" s="60">
        <v>0</v>
      </c>
      <c r="H373" s="61"/>
    </row>
    <row r="374" spans="1:8" ht="17.25" x14ac:dyDescent="0.3">
      <c r="A374" s="39">
        <v>14121859</v>
      </c>
      <c r="B374" s="40" t="s">
        <v>359</v>
      </c>
      <c r="C374" s="41" t="s">
        <v>695</v>
      </c>
      <c r="D374" s="41" t="s">
        <v>3</v>
      </c>
      <c r="E374" s="59">
        <v>3.5946552000000001</v>
      </c>
      <c r="F374" s="59">
        <v>4.0682124333333336</v>
      </c>
      <c r="G374" s="60">
        <v>355.58</v>
      </c>
      <c r="H374" s="61"/>
    </row>
    <row r="375" spans="1:8" ht="17.25" x14ac:dyDescent="0.3">
      <c r="A375" s="39">
        <v>14121860</v>
      </c>
      <c r="B375" s="40" t="s">
        <v>360</v>
      </c>
      <c r="C375" s="41" t="s">
        <v>695</v>
      </c>
      <c r="D375" s="41" t="s">
        <v>3</v>
      </c>
      <c r="E375" s="59">
        <v>3.8423248025641024</v>
      </c>
      <c r="F375" s="59">
        <v>3.2029999999999998</v>
      </c>
      <c r="G375" s="60">
        <v>0</v>
      </c>
      <c r="H375" s="61"/>
    </row>
    <row r="376" spans="1:8" ht="17.25" x14ac:dyDescent="0.3">
      <c r="A376" s="39">
        <v>14121869</v>
      </c>
      <c r="B376" s="40" t="s">
        <v>361</v>
      </c>
      <c r="C376" s="41" t="s">
        <v>834</v>
      </c>
      <c r="D376" s="41" t="s">
        <v>3</v>
      </c>
      <c r="E376" s="59">
        <v>6.7890671586301039</v>
      </c>
      <c r="F376" s="59">
        <v>7.468855099999999</v>
      </c>
      <c r="G376" s="60">
        <v>355.58</v>
      </c>
      <c r="H376" s="61"/>
    </row>
    <row r="377" spans="1:8" ht="17.25" x14ac:dyDescent="0.3">
      <c r="A377" s="39">
        <v>14121896</v>
      </c>
      <c r="B377" s="40" t="s">
        <v>362</v>
      </c>
      <c r="C377" s="41" t="s">
        <v>835</v>
      </c>
      <c r="D377" s="41" t="s">
        <v>3</v>
      </c>
      <c r="E377" s="59">
        <v>4.1798254874999996</v>
      </c>
      <c r="F377" s="59">
        <v>4.564967666666667</v>
      </c>
      <c r="G377" s="60">
        <v>355.58</v>
      </c>
      <c r="H377" s="61"/>
    </row>
    <row r="378" spans="1:8" ht="17.25" x14ac:dyDescent="0.3">
      <c r="A378" s="39">
        <v>14121917</v>
      </c>
      <c r="B378" s="40" t="s">
        <v>363</v>
      </c>
      <c r="C378" s="41" t="s">
        <v>836</v>
      </c>
      <c r="D378" s="41" t="s">
        <v>3</v>
      </c>
      <c r="E378" s="59">
        <v>2.6802134653846155</v>
      </c>
      <c r="F378" s="59">
        <v>2.0481373999999999</v>
      </c>
      <c r="G378" s="60">
        <v>0</v>
      </c>
      <c r="H378" s="61"/>
    </row>
    <row r="379" spans="1:8" ht="17.25" x14ac:dyDescent="0.3">
      <c r="A379" s="40">
        <v>14121964</v>
      </c>
      <c r="B379" s="40" t="s">
        <v>368</v>
      </c>
      <c r="C379" s="41" t="s">
        <v>837</v>
      </c>
      <c r="D379" s="41" t="s">
        <v>3</v>
      </c>
      <c r="E379" s="59" t="s">
        <v>920</v>
      </c>
      <c r="F379" s="59" t="s">
        <v>920</v>
      </c>
      <c r="G379" s="60">
        <v>355.58</v>
      </c>
      <c r="H379" s="61"/>
    </row>
    <row r="380" spans="1:8" ht="17.25" x14ac:dyDescent="0.3">
      <c r="A380" s="39">
        <v>14121985</v>
      </c>
      <c r="B380" s="40" t="s">
        <v>369</v>
      </c>
      <c r="C380" s="41" t="s">
        <v>838</v>
      </c>
      <c r="D380" s="41" t="s">
        <v>3</v>
      </c>
      <c r="E380" s="59">
        <v>4.3720720951388889</v>
      </c>
      <c r="F380" s="59">
        <v>2.0946438500000002</v>
      </c>
      <c r="G380" s="60">
        <v>0</v>
      </c>
      <c r="H380" s="61"/>
    </row>
    <row r="381" spans="1:8" ht="17.25" x14ac:dyDescent="0.3">
      <c r="A381" s="39">
        <v>14122033</v>
      </c>
      <c r="B381" s="40" t="s">
        <v>371</v>
      </c>
      <c r="C381" s="41" t="s">
        <v>839</v>
      </c>
      <c r="D381" s="41" t="s">
        <v>3</v>
      </c>
      <c r="E381" s="59" t="s">
        <v>920</v>
      </c>
      <c r="F381" s="59" t="s">
        <v>920</v>
      </c>
      <c r="G381" s="60">
        <v>355.58</v>
      </c>
      <c r="H381" s="61"/>
    </row>
    <row r="382" spans="1:8" ht="17.25" x14ac:dyDescent="0.3">
      <c r="A382" s="39">
        <v>14122034</v>
      </c>
      <c r="B382" s="40" t="s">
        <v>372</v>
      </c>
      <c r="C382" s="41" t="s">
        <v>839</v>
      </c>
      <c r="D382" s="41" t="s">
        <v>3</v>
      </c>
      <c r="E382" s="59">
        <v>4.6420610269230771</v>
      </c>
      <c r="F382" s="59">
        <v>5.5348119999999996</v>
      </c>
      <c r="G382" s="60">
        <v>355.58</v>
      </c>
      <c r="H382" s="61"/>
    </row>
    <row r="383" spans="1:8" ht="17.25" x14ac:dyDescent="0.3">
      <c r="A383" s="39">
        <v>14122035</v>
      </c>
      <c r="B383" s="40" t="s">
        <v>373</v>
      </c>
      <c r="C383" s="41" t="s">
        <v>839</v>
      </c>
      <c r="D383" s="41" t="s">
        <v>3</v>
      </c>
      <c r="E383" s="59">
        <v>3.8711550238095236</v>
      </c>
      <c r="F383" s="59">
        <v>1.26630635</v>
      </c>
      <c r="G383" s="60">
        <v>0</v>
      </c>
      <c r="H383" s="61"/>
    </row>
    <row r="384" spans="1:8" ht="17.25" x14ac:dyDescent="0.3">
      <c r="A384" s="39">
        <v>14122067</v>
      </c>
      <c r="B384" s="40" t="s">
        <v>374</v>
      </c>
      <c r="C384" s="41" t="s">
        <v>840</v>
      </c>
      <c r="D384" s="41" t="s">
        <v>3</v>
      </c>
      <c r="E384" s="59">
        <v>3.3476941125000006</v>
      </c>
      <c r="F384" s="59">
        <v>4.3941850499999999</v>
      </c>
      <c r="G384" s="60">
        <v>355.58</v>
      </c>
      <c r="H384" s="61"/>
    </row>
    <row r="385" spans="1:8" ht="17.25" x14ac:dyDescent="0.3">
      <c r="A385" s="39">
        <v>14122072</v>
      </c>
      <c r="B385" s="40" t="s">
        <v>375</v>
      </c>
      <c r="C385" s="41" t="s">
        <v>841</v>
      </c>
      <c r="D385" s="41" t="s">
        <v>3</v>
      </c>
      <c r="E385" s="59">
        <v>4.1918741569444444</v>
      </c>
      <c r="F385" s="59">
        <v>4.6225736499999996</v>
      </c>
      <c r="G385" s="60">
        <v>355.58</v>
      </c>
      <c r="H385" s="61"/>
    </row>
    <row r="386" spans="1:8" ht="17.25" x14ac:dyDescent="0.3">
      <c r="A386" s="39">
        <v>14122073</v>
      </c>
      <c r="B386" s="40" t="s">
        <v>376</v>
      </c>
      <c r="C386" s="41" t="s">
        <v>841</v>
      </c>
      <c r="D386" s="41" t="s">
        <v>3</v>
      </c>
      <c r="E386" s="59" t="s">
        <v>921</v>
      </c>
      <c r="F386" s="59" t="s">
        <v>921</v>
      </c>
      <c r="G386" s="60">
        <v>355.58</v>
      </c>
      <c r="H386" s="61"/>
    </row>
    <row r="387" spans="1:8" ht="17.25" x14ac:dyDescent="0.3">
      <c r="A387" s="39">
        <v>14122080</v>
      </c>
      <c r="B387" s="40" t="s">
        <v>377</v>
      </c>
      <c r="C387" s="41" t="s">
        <v>842</v>
      </c>
      <c r="D387" s="41" t="s">
        <v>3</v>
      </c>
      <c r="E387" s="59">
        <v>4.1715845121212132</v>
      </c>
      <c r="F387" s="59">
        <v>4.7830000000000004</v>
      </c>
      <c r="G387" s="60">
        <v>355.58</v>
      </c>
      <c r="H387" s="61"/>
    </row>
    <row r="388" spans="1:8" ht="17.25" x14ac:dyDescent="0.3">
      <c r="A388" s="40">
        <v>14122083</v>
      </c>
      <c r="B388" s="40" t="s">
        <v>378</v>
      </c>
      <c r="C388" s="41" t="s">
        <v>842</v>
      </c>
      <c r="D388" s="41" t="s">
        <v>3</v>
      </c>
      <c r="E388" s="59">
        <v>3.5050000000000003</v>
      </c>
      <c r="F388" s="59">
        <v>2.2868338000000001</v>
      </c>
      <c r="G388" s="60">
        <v>0</v>
      </c>
      <c r="H388" s="61"/>
    </row>
    <row r="389" spans="1:8" ht="17.25" x14ac:dyDescent="0.3">
      <c r="A389" s="39">
        <v>14122094</v>
      </c>
      <c r="B389" s="40" t="s">
        <v>379</v>
      </c>
      <c r="C389" s="41" t="s">
        <v>842</v>
      </c>
      <c r="D389" s="41" t="s">
        <v>3</v>
      </c>
      <c r="E389" s="59">
        <v>3.159161554166666</v>
      </c>
      <c r="F389" s="59">
        <v>3.3069781999999996</v>
      </c>
      <c r="G389" s="60">
        <v>355.58</v>
      </c>
      <c r="H389" s="61"/>
    </row>
    <row r="390" spans="1:8" ht="17.25" x14ac:dyDescent="0.3">
      <c r="A390" s="39">
        <v>14122095</v>
      </c>
      <c r="B390" s="40" t="s">
        <v>380</v>
      </c>
      <c r="C390" s="41" t="s">
        <v>842</v>
      </c>
      <c r="D390" s="41" t="s">
        <v>3</v>
      </c>
      <c r="E390" s="59">
        <v>3.8105683090277775</v>
      </c>
      <c r="F390" s="59">
        <v>3.8730747999999999</v>
      </c>
      <c r="G390" s="60">
        <v>355.58</v>
      </c>
      <c r="H390" s="61"/>
    </row>
    <row r="391" spans="1:8" ht="17.25" x14ac:dyDescent="0.3">
      <c r="A391" s="40">
        <v>14122096</v>
      </c>
      <c r="B391" s="40" t="s">
        <v>381</v>
      </c>
      <c r="C391" s="41" t="s">
        <v>842</v>
      </c>
      <c r="D391" s="41" t="s">
        <v>3</v>
      </c>
      <c r="E391" s="59">
        <v>3.6475982424242419</v>
      </c>
      <c r="F391" s="59">
        <v>2.5988294999999999</v>
      </c>
      <c r="G391" s="60">
        <v>0</v>
      </c>
      <c r="H391" s="61"/>
    </row>
    <row r="392" spans="1:8" ht="17.25" x14ac:dyDescent="0.3">
      <c r="A392" s="39">
        <v>14122103</v>
      </c>
      <c r="B392" s="40" t="s">
        <v>382</v>
      </c>
      <c r="C392" s="41" t="s">
        <v>842</v>
      </c>
      <c r="D392" s="41" t="s">
        <v>3</v>
      </c>
      <c r="E392" s="59">
        <v>4.0784475692307698</v>
      </c>
      <c r="F392" s="59">
        <v>5.1269999999999998</v>
      </c>
      <c r="G392" s="60">
        <v>355.58</v>
      </c>
      <c r="H392" s="61"/>
    </row>
    <row r="393" spans="1:8" ht="17.25" x14ac:dyDescent="0.3">
      <c r="A393" s="39">
        <v>14122113</v>
      </c>
      <c r="B393" s="40" t="s">
        <v>383</v>
      </c>
      <c r="C393" s="41" t="s">
        <v>843</v>
      </c>
      <c r="D393" s="41" t="s">
        <v>3</v>
      </c>
      <c r="E393" s="59">
        <v>3.7167415654545461</v>
      </c>
      <c r="F393" s="59">
        <v>3.5016308499999997</v>
      </c>
      <c r="G393" s="60">
        <v>0</v>
      </c>
      <c r="H393" s="61"/>
    </row>
    <row r="394" spans="1:8" ht="17.25" x14ac:dyDescent="0.3">
      <c r="A394" s="39">
        <v>14122133</v>
      </c>
      <c r="B394" s="40" t="s">
        <v>384</v>
      </c>
      <c r="C394" s="41" t="s">
        <v>844</v>
      </c>
      <c r="D394" s="41" t="s">
        <v>3</v>
      </c>
      <c r="E394" s="59">
        <v>4.3489775236111106</v>
      </c>
      <c r="F394" s="59">
        <v>2.0695665000000001</v>
      </c>
      <c r="G394" s="60">
        <v>0</v>
      </c>
      <c r="H394" s="61"/>
    </row>
    <row r="395" spans="1:8" ht="17.25" x14ac:dyDescent="0.3">
      <c r="A395" s="39">
        <v>14122135</v>
      </c>
      <c r="B395" s="40" t="s">
        <v>385</v>
      </c>
      <c r="C395" s="41" t="s">
        <v>844</v>
      </c>
      <c r="D395" s="41" t="s">
        <v>3</v>
      </c>
      <c r="E395" s="59" t="s">
        <v>920</v>
      </c>
      <c r="F395" s="59" t="s">
        <v>920</v>
      </c>
      <c r="G395" s="60">
        <v>355.58</v>
      </c>
      <c r="H395" s="61"/>
    </row>
    <row r="396" spans="1:8" ht="17.25" x14ac:dyDescent="0.3">
      <c r="A396" s="39">
        <v>14122136</v>
      </c>
      <c r="B396" s="40" t="s">
        <v>386</v>
      </c>
      <c r="C396" s="41" t="s">
        <v>844</v>
      </c>
      <c r="D396" s="41" t="s">
        <v>3</v>
      </c>
      <c r="E396" s="59">
        <v>3.6938558333333331</v>
      </c>
      <c r="F396" s="59">
        <v>4.1177980999999999</v>
      </c>
      <c r="G396" s="60">
        <v>355.58</v>
      </c>
      <c r="H396" s="61"/>
    </row>
    <row r="397" spans="1:8" ht="17.25" x14ac:dyDescent="0.3">
      <c r="A397" s="39">
        <v>14122137</v>
      </c>
      <c r="B397" s="40" t="s">
        <v>387</v>
      </c>
      <c r="C397" s="41" t="s">
        <v>844</v>
      </c>
      <c r="D397" s="41" t="s">
        <v>3</v>
      </c>
      <c r="E397" s="59">
        <v>3.4510592282051284</v>
      </c>
      <c r="F397" s="59">
        <v>4.1089289000000004</v>
      </c>
      <c r="G397" s="60">
        <v>355.58</v>
      </c>
      <c r="H397" s="61"/>
    </row>
    <row r="398" spans="1:8" ht="17.25" x14ac:dyDescent="0.3">
      <c r="A398" s="39">
        <v>14122148</v>
      </c>
      <c r="B398" s="40" t="s">
        <v>388</v>
      </c>
      <c r="C398" s="41" t="s">
        <v>845</v>
      </c>
      <c r="D398" s="41" t="s">
        <v>3</v>
      </c>
      <c r="E398" s="59">
        <v>4.2433950222222219</v>
      </c>
      <c r="F398" s="59">
        <v>5.2158945000000001</v>
      </c>
      <c r="G398" s="60">
        <v>355.58</v>
      </c>
      <c r="H398" s="61"/>
    </row>
    <row r="399" spans="1:8" ht="17.25" x14ac:dyDescent="0.3">
      <c r="A399" s="39">
        <v>14122149</v>
      </c>
      <c r="B399" s="40" t="s">
        <v>389</v>
      </c>
      <c r="C399" s="41" t="s">
        <v>845</v>
      </c>
      <c r="D399" s="41" t="s">
        <v>3</v>
      </c>
      <c r="E399" s="59">
        <v>4.33</v>
      </c>
      <c r="F399" s="59">
        <v>4.0641813000000004</v>
      </c>
      <c r="G399" s="60">
        <v>0</v>
      </c>
      <c r="H399" s="61"/>
    </row>
    <row r="400" spans="1:8" ht="17.25" x14ac:dyDescent="0.3">
      <c r="A400" s="39">
        <v>14122158</v>
      </c>
      <c r="B400" s="40" t="s">
        <v>390</v>
      </c>
      <c r="C400" s="41" t="s">
        <v>846</v>
      </c>
      <c r="D400" s="41" t="s">
        <v>3</v>
      </c>
      <c r="E400" s="59">
        <v>3.8816342141025637</v>
      </c>
      <c r="F400" s="59">
        <v>3.9665208666666665</v>
      </c>
      <c r="G400" s="60">
        <v>355.58</v>
      </c>
      <c r="H400" s="61"/>
    </row>
    <row r="401" spans="1:8" ht="17.25" x14ac:dyDescent="0.3">
      <c r="A401" s="39">
        <v>14122160</v>
      </c>
      <c r="B401" s="48" t="s">
        <v>391</v>
      </c>
      <c r="C401" s="41" t="s">
        <v>846</v>
      </c>
      <c r="D401" s="41" t="s">
        <v>3</v>
      </c>
      <c r="E401" s="59" t="s">
        <v>920</v>
      </c>
      <c r="F401" s="59" t="s">
        <v>920</v>
      </c>
      <c r="G401" s="60">
        <v>355.58</v>
      </c>
      <c r="H401" s="61"/>
    </row>
    <row r="402" spans="1:8" ht="17.25" x14ac:dyDescent="0.3">
      <c r="A402" s="39">
        <v>14122191</v>
      </c>
      <c r="B402" s="40" t="s">
        <v>394</v>
      </c>
      <c r="C402" s="41" t="s">
        <v>847</v>
      </c>
      <c r="D402" s="41" t="s">
        <v>3</v>
      </c>
      <c r="E402" s="59">
        <v>8.6315907823129248</v>
      </c>
      <c r="F402" s="59">
        <v>9.4966977999999997</v>
      </c>
      <c r="G402" s="60">
        <v>355.58</v>
      </c>
      <c r="H402" s="61"/>
    </row>
    <row r="403" spans="1:8" ht="17.25" x14ac:dyDescent="0.3">
      <c r="A403" s="39">
        <v>14122194</v>
      </c>
      <c r="B403" s="40" t="s">
        <v>395</v>
      </c>
      <c r="C403" s="41" t="s">
        <v>847</v>
      </c>
      <c r="D403" s="41" t="s">
        <v>3</v>
      </c>
      <c r="E403" s="59">
        <v>3.4020513356060609</v>
      </c>
      <c r="F403" s="59">
        <v>3.9651152999999995</v>
      </c>
      <c r="G403" s="60">
        <v>355.58</v>
      </c>
      <c r="H403" s="61"/>
    </row>
    <row r="404" spans="1:8" ht="17.25" x14ac:dyDescent="0.3">
      <c r="A404" s="39">
        <v>14122221</v>
      </c>
      <c r="B404" s="40" t="s">
        <v>396</v>
      </c>
      <c r="C404" s="41" t="s">
        <v>848</v>
      </c>
      <c r="D404" s="41" t="s">
        <v>3</v>
      </c>
      <c r="E404" s="59">
        <v>4.1585156363636369</v>
      </c>
      <c r="F404" s="59">
        <v>4.6399804000000007</v>
      </c>
      <c r="G404" s="60">
        <v>355.58</v>
      </c>
      <c r="H404" s="61"/>
    </row>
    <row r="405" spans="1:8" ht="17.25" x14ac:dyDescent="0.3">
      <c r="A405" s="39">
        <v>14122230</v>
      </c>
      <c r="B405" s="40" t="s">
        <v>397</v>
      </c>
      <c r="C405" s="41" t="s">
        <v>706</v>
      </c>
      <c r="D405" s="41" t="s">
        <v>3</v>
      </c>
      <c r="E405" s="59">
        <v>4.0227346138888889</v>
      </c>
      <c r="F405" s="59">
        <v>4.6100963333333338</v>
      </c>
      <c r="G405" s="60">
        <v>355.58</v>
      </c>
      <c r="H405" s="61"/>
    </row>
    <row r="406" spans="1:8" ht="17.25" x14ac:dyDescent="0.3">
      <c r="A406" s="39">
        <v>14122263</v>
      </c>
      <c r="B406" s="40" t="s">
        <v>401</v>
      </c>
      <c r="C406" s="41" t="s">
        <v>849</v>
      </c>
      <c r="D406" s="41" t="s">
        <v>3</v>
      </c>
      <c r="E406" s="59">
        <v>3.4436458519230766</v>
      </c>
      <c r="F406" s="59">
        <v>4.1817613500000004</v>
      </c>
      <c r="G406" s="60">
        <v>355.58</v>
      </c>
      <c r="H406" s="61"/>
    </row>
    <row r="407" spans="1:8" ht="17.25" x14ac:dyDescent="0.3">
      <c r="A407" s="39">
        <v>14122291</v>
      </c>
      <c r="B407" s="40" t="s">
        <v>402</v>
      </c>
      <c r="C407" s="41" t="s">
        <v>760</v>
      </c>
      <c r="D407" s="41" t="s">
        <v>3</v>
      </c>
      <c r="E407" s="59">
        <v>3.7108740611111113</v>
      </c>
      <c r="F407" s="59">
        <v>5.9657669999999996</v>
      </c>
      <c r="G407" s="60">
        <v>355.58</v>
      </c>
      <c r="H407" s="61"/>
    </row>
    <row r="408" spans="1:8" ht="17.25" x14ac:dyDescent="0.3">
      <c r="A408" s="39">
        <v>14122293</v>
      </c>
      <c r="B408" s="40" t="s">
        <v>403</v>
      </c>
      <c r="C408" s="41" t="s">
        <v>760</v>
      </c>
      <c r="D408" s="41" t="s">
        <v>3</v>
      </c>
      <c r="E408" s="59" t="s">
        <v>920</v>
      </c>
      <c r="F408" s="59" t="s">
        <v>920</v>
      </c>
      <c r="G408" s="60">
        <v>355.58</v>
      </c>
      <c r="H408" s="61"/>
    </row>
    <row r="409" spans="1:8" ht="17.25" x14ac:dyDescent="0.3">
      <c r="A409" s="39">
        <v>14122294</v>
      </c>
      <c r="B409" s="40" t="s">
        <v>404</v>
      </c>
      <c r="C409" s="41" t="s">
        <v>760</v>
      </c>
      <c r="D409" s="41" t="s">
        <v>3</v>
      </c>
      <c r="E409" s="59">
        <v>3.3457500000000002</v>
      </c>
      <c r="F409" s="59">
        <v>2.8356975000000002</v>
      </c>
      <c r="G409" s="60">
        <v>0</v>
      </c>
      <c r="H409" s="61"/>
    </row>
    <row r="410" spans="1:8" ht="17.25" x14ac:dyDescent="0.3">
      <c r="A410" s="39">
        <v>14122320</v>
      </c>
      <c r="B410" s="40" t="s">
        <v>405</v>
      </c>
      <c r="C410" s="41" t="s">
        <v>850</v>
      </c>
      <c r="D410" s="41" t="s">
        <v>3</v>
      </c>
      <c r="E410" s="59">
        <v>3.7358048320512824</v>
      </c>
      <c r="F410" s="59">
        <v>3.7677593333333337</v>
      </c>
      <c r="G410" s="60">
        <v>355.58</v>
      </c>
      <c r="H410" s="61"/>
    </row>
    <row r="411" spans="1:8" ht="17.25" x14ac:dyDescent="0.3">
      <c r="A411" s="39">
        <v>14122329</v>
      </c>
      <c r="B411" s="40" t="s">
        <v>406</v>
      </c>
      <c r="C411" s="41" t="s">
        <v>851</v>
      </c>
      <c r="D411" s="41" t="s">
        <v>3</v>
      </c>
      <c r="E411" s="59">
        <v>3.6235553641025651</v>
      </c>
      <c r="F411" s="59">
        <v>6.4324184999999998</v>
      </c>
      <c r="G411" s="60">
        <v>355.58</v>
      </c>
      <c r="H411" s="61"/>
    </row>
    <row r="412" spans="1:8" ht="17.25" x14ac:dyDescent="0.3">
      <c r="A412" s="39">
        <v>14122330</v>
      </c>
      <c r="B412" s="40" t="s">
        <v>407</v>
      </c>
      <c r="C412" s="41" t="s">
        <v>852</v>
      </c>
      <c r="D412" s="41" t="s">
        <v>3</v>
      </c>
      <c r="E412" s="59" t="s">
        <v>920</v>
      </c>
      <c r="F412" s="59" t="s">
        <v>920</v>
      </c>
      <c r="G412" s="60">
        <v>355.58</v>
      </c>
      <c r="H412" s="61"/>
    </row>
    <row r="413" spans="1:8" ht="17.25" x14ac:dyDescent="0.3">
      <c r="A413" s="39">
        <v>14122331</v>
      </c>
      <c r="B413" s="40" t="s">
        <v>408</v>
      </c>
      <c r="C413" s="41" t="s">
        <v>852</v>
      </c>
      <c r="D413" s="41" t="s">
        <v>3</v>
      </c>
      <c r="E413" s="59">
        <v>4.0199999999999996</v>
      </c>
      <c r="F413" s="59">
        <v>4.38</v>
      </c>
      <c r="G413" s="60">
        <v>355.58</v>
      </c>
      <c r="H413" s="61"/>
    </row>
    <row r="414" spans="1:8" ht="17.25" x14ac:dyDescent="0.3">
      <c r="A414" s="39">
        <v>14122353</v>
      </c>
      <c r="B414" s="40" t="s">
        <v>409</v>
      </c>
      <c r="C414" s="41" t="s">
        <v>853</v>
      </c>
      <c r="D414" s="41" t="s">
        <v>3</v>
      </c>
      <c r="E414" s="59">
        <v>3.8259631111111112</v>
      </c>
      <c r="F414" s="59">
        <v>5.0501740000000002</v>
      </c>
      <c r="G414" s="60">
        <v>355.58</v>
      </c>
      <c r="H414" s="61"/>
    </row>
    <row r="415" spans="1:8" ht="17.25" x14ac:dyDescent="0.3">
      <c r="A415" s="39">
        <v>14122354</v>
      </c>
      <c r="B415" s="40" t="s">
        <v>410</v>
      </c>
      <c r="C415" s="41" t="s">
        <v>853</v>
      </c>
      <c r="D415" s="41" t="s">
        <v>3</v>
      </c>
      <c r="E415" s="59">
        <v>3.0675083666666665</v>
      </c>
      <c r="F415" s="59">
        <v>2.8259737500000002</v>
      </c>
      <c r="G415" s="60">
        <v>0</v>
      </c>
      <c r="H415" s="61"/>
    </row>
    <row r="416" spans="1:8" ht="17.25" x14ac:dyDescent="0.3">
      <c r="A416" s="39">
        <v>14122355</v>
      </c>
      <c r="B416" s="40" t="s">
        <v>411</v>
      </c>
      <c r="C416" s="41" t="s">
        <v>853</v>
      </c>
      <c r="D416" s="41" t="s">
        <v>3</v>
      </c>
      <c r="E416" s="59">
        <v>3.3245816102564096</v>
      </c>
      <c r="F416" s="59">
        <v>2.4020000000000001</v>
      </c>
      <c r="G416" s="60">
        <v>0</v>
      </c>
      <c r="H416" s="61"/>
    </row>
    <row r="417" spans="1:8" ht="17.25" x14ac:dyDescent="0.3">
      <c r="A417" s="39">
        <v>14122377</v>
      </c>
      <c r="B417" s="40" t="s">
        <v>412</v>
      </c>
      <c r="C417" s="41" t="s">
        <v>853</v>
      </c>
      <c r="D417" s="41" t="s">
        <v>3</v>
      </c>
      <c r="E417" s="59" t="s">
        <v>920</v>
      </c>
      <c r="F417" s="59" t="s">
        <v>920</v>
      </c>
      <c r="G417" s="60">
        <v>355.58</v>
      </c>
      <c r="H417" s="61"/>
    </row>
    <row r="418" spans="1:8" ht="17.25" x14ac:dyDescent="0.3">
      <c r="A418" s="39">
        <v>14122394</v>
      </c>
      <c r="B418" s="40" t="s">
        <v>413</v>
      </c>
      <c r="C418" s="41" t="s">
        <v>854</v>
      </c>
      <c r="D418" s="41" t="s">
        <v>3</v>
      </c>
      <c r="E418" s="59">
        <v>3.6918725930555554</v>
      </c>
      <c r="F418" s="59">
        <v>3.5219499999999999</v>
      </c>
      <c r="G418" s="60">
        <v>0</v>
      </c>
      <c r="H418" s="61"/>
    </row>
    <row r="419" spans="1:8" ht="17.25" x14ac:dyDescent="0.3">
      <c r="A419" s="39">
        <v>14122414</v>
      </c>
      <c r="B419" s="40" t="s">
        <v>988</v>
      </c>
      <c r="C419" s="41" t="s">
        <v>986</v>
      </c>
      <c r="D419" s="41" t="s">
        <v>3</v>
      </c>
      <c r="E419" s="59" t="s">
        <v>987</v>
      </c>
      <c r="F419" s="59" t="s">
        <v>987</v>
      </c>
      <c r="G419" s="60">
        <v>0</v>
      </c>
      <c r="H419" s="61"/>
    </row>
    <row r="420" spans="1:8" ht="17.25" x14ac:dyDescent="0.3">
      <c r="A420" s="39">
        <v>14122416</v>
      </c>
      <c r="B420" s="40" t="s">
        <v>414</v>
      </c>
      <c r="C420" s="41" t="s">
        <v>855</v>
      </c>
      <c r="D420" s="41" t="s">
        <v>3</v>
      </c>
      <c r="E420" s="59">
        <v>4.0464718333333334</v>
      </c>
      <c r="F420" s="59">
        <v>4.4201249999999996</v>
      </c>
      <c r="G420" s="60">
        <v>355.58</v>
      </c>
      <c r="H420" s="61"/>
    </row>
    <row r="421" spans="1:8" ht="17.25" x14ac:dyDescent="0.3">
      <c r="A421" s="39">
        <v>14122417</v>
      </c>
      <c r="B421" s="40" t="s">
        <v>415</v>
      </c>
      <c r="C421" s="41" t="s">
        <v>855</v>
      </c>
      <c r="D421" s="41" t="s">
        <v>3</v>
      </c>
      <c r="E421" s="59">
        <v>3.319520412121213</v>
      </c>
      <c r="F421" s="59">
        <v>4.6121361499999995</v>
      </c>
      <c r="G421" s="60">
        <v>355.58</v>
      </c>
      <c r="H421" s="61"/>
    </row>
    <row r="422" spans="1:8" ht="17.25" x14ac:dyDescent="0.3">
      <c r="A422" s="39">
        <v>14122419</v>
      </c>
      <c r="B422" s="40" t="s">
        <v>416</v>
      </c>
      <c r="C422" s="41" t="s">
        <v>855</v>
      </c>
      <c r="D422" s="41" t="s">
        <v>3</v>
      </c>
      <c r="E422" s="59" t="s">
        <v>920</v>
      </c>
      <c r="F422" s="59" t="s">
        <v>920</v>
      </c>
      <c r="G422" s="60">
        <v>355.58</v>
      </c>
      <c r="H422" s="61"/>
    </row>
    <row r="423" spans="1:8" ht="17.25" x14ac:dyDescent="0.3">
      <c r="A423" s="39">
        <v>14122428</v>
      </c>
      <c r="B423" s="40" t="s">
        <v>417</v>
      </c>
      <c r="C423" s="41" t="s">
        <v>856</v>
      </c>
      <c r="D423" s="41" t="s">
        <v>3</v>
      </c>
      <c r="E423" s="59" t="s">
        <v>920</v>
      </c>
      <c r="F423" s="59" t="s">
        <v>920</v>
      </c>
      <c r="G423" s="60">
        <v>355.58</v>
      </c>
      <c r="H423" s="61"/>
    </row>
    <row r="424" spans="1:8" ht="17.25" x14ac:dyDescent="0.3">
      <c r="A424" s="108">
        <v>14122429</v>
      </c>
      <c r="B424" s="109" t="s">
        <v>418</v>
      </c>
      <c r="C424" s="110" t="s">
        <v>856</v>
      </c>
      <c r="D424" s="110" t="s">
        <v>3</v>
      </c>
      <c r="E424" s="59">
        <v>4.1521675861111111</v>
      </c>
      <c r="F424" s="59">
        <v>0.71779877000000003</v>
      </c>
      <c r="G424" s="60">
        <v>0</v>
      </c>
      <c r="H424" s="61"/>
    </row>
    <row r="425" spans="1:8" ht="17.25" x14ac:dyDescent="0.3">
      <c r="A425" s="39">
        <v>14122431</v>
      </c>
      <c r="B425" s="40" t="s">
        <v>419</v>
      </c>
      <c r="C425" s="41" t="s">
        <v>856</v>
      </c>
      <c r="D425" s="41" t="s">
        <v>3</v>
      </c>
      <c r="E425" s="59" t="s">
        <v>921</v>
      </c>
      <c r="F425" s="59" t="s">
        <v>921</v>
      </c>
      <c r="G425" s="60">
        <v>711.16</v>
      </c>
      <c r="H425" s="61"/>
    </row>
    <row r="426" spans="1:8" ht="17.25" x14ac:dyDescent="0.3">
      <c r="A426" s="39">
        <v>14122481</v>
      </c>
      <c r="B426" s="40" t="s">
        <v>420</v>
      </c>
      <c r="C426" s="41" t="s">
        <v>857</v>
      </c>
      <c r="D426" s="41" t="s">
        <v>3</v>
      </c>
      <c r="E426" s="59">
        <v>3.82</v>
      </c>
      <c r="F426" s="59">
        <v>3.85</v>
      </c>
      <c r="G426" s="60">
        <v>355.58</v>
      </c>
      <c r="H426" s="61"/>
    </row>
    <row r="427" spans="1:8" ht="17.25" x14ac:dyDescent="0.3">
      <c r="A427" s="40">
        <v>14122495</v>
      </c>
      <c r="B427" s="40" t="s">
        <v>423</v>
      </c>
      <c r="C427" s="41" t="s">
        <v>858</v>
      </c>
      <c r="D427" s="41" t="s">
        <v>3</v>
      </c>
      <c r="E427" s="59">
        <v>9.5098819848484837</v>
      </c>
      <c r="F427" s="59">
        <v>7.8549553499999991</v>
      </c>
      <c r="G427" s="60">
        <v>0</v>
      </c>
      <c r="H427" s="61"/>
    </row>
    <row r="428" spans="1:8" ht="17.25" x14ac:dyDescent="0.3">
      <c r="A428" s="39">
        <v>14122510</v>
      </c>
      <c r="B428" s="40" t="s">
        <v>424</v>
      </c>
      <c r="C428" s="41" t="s">
        <v>672</v>
      </c>
      <c r="D428" s="41" t="s">
        <v>3</v>
      </c>
      <c r="E428" s="59">
        <v>4.37</v>
      </c>
      <c r="F428" s="59">
        <v>5.14</v>
      </c>
      <c r="G428" s="60">
        <v>355.58</v>
      </c>
      <c r="H428" s="61"/>
    </row>
    <row r="429" spans="1:8" ht="17.25" x14ac:dyDescent="0.3">
      <c r="A429" s="39">
        <v>14122543</v>
      </c>
      <c r="B429" s="40" t="s">
        <v>427</v>
      </c>
      <c r="C429" s="41" t="s">
        <v>859</v>
      </c>
      <c r="D429" s="41" t="s">
        <v>3</v>
      </c>
      <c r="E429" s="59">
        <v>9.0251739379797993</v>
      </c>
      <c r="F429" s="59">
        <v>8.372655366666665</v>
      </c>
      <c r="G429" s="60">
        <v>0</v>
      </c>
      <c r="H429" s="61"/>
    </row>
    <row r="430" spans="1:8" ht="17.25" x14ac:dyDescent="0.3">
      <c r="A430" s="40">
        <v>14122546</v>
      </c>
      <c r="B430" s="40" t="s">
        <v>428</v>
      </c>
      <c r="C430" s="41" t="s">
        <v>860</v>
      </c>
      <c r="D430" s="41" t="s">
        <v>3</v>
      </c>
      <c r="E430" s="59">
        <v>3.607124587179487</v>
      </c>
      <c r="F430" s="59">
        <v>5.1722609999999998</v>
      </c>
      <c r="G430" s="60">
        <v>355.58</v>
      </c>
      <c r="H430" s="61"/>
    </row>
    <row r="431" spans="1:8" ht="17.25" x14ac:dyDescent="0.3">
      <c r="A431" s="39">
        <v>14122617</v>
      </c>
      <c r="B431" s="40" t="s">
        <v>429</v>
      </c>
      <c r="C431" s="41" t="s">
        <v>861</v>
      </c>
      <c r="D431" s="41" t="s">
        <v>3</v>
      </c>
      <c r="E431" s="59">
        <v>2.8524217125</v>
      </c>
      <c r="F431" s="59">
        <v>6.7159789999999999</v>
      </c>
      <c r="G431" s="60">
        <v>355.58</v>
      </c>
      <c r="H431" s="61"/>
    </row>
    <row r="432" spans="1:8" ht="17.25" x14ac:dyDescent="0.3">
      <c r="A432" s="39">
        <v>14122618</v>
      </c>
      <c r="B432" s="40" t="s">
        <v>430</v>
      </c>
      <c r="C432" s="41" t="s">
        <v>861</v>
      </c>
      <c r="D432" s="41" t="s">
        <v>3</v>
      </c>
      <c r="E432" s="59">
        <v>3.8681061224358975</v>
      </c>
      <c r="F432" s="59">
        <v>5.0493359</v>
      </c>
      <c r="G432" s="60">
        <v>355.58</v>
      </c>
      <c r="H432" s="61"/>
    </row>
    <row r="433" spans="1:8" ht="17.25" x14ac:dyDescent="0.3">
      <c r="A433" s="39">
        <v>14122621</v>
      </c>
      <c r="B433" s="40" t="s">
        <v>431</v>
      </c>
      <c r="C433" s="41" t="s">
        <v>861</v>
      </c>
      <c r="D433" s="41" t="s">
        <v>3</v>
      </c>
      <c r="E433" s="59">
        <v>3.8337597833333334</v>
      </c>
      <c r="F433" s="59">
        <v>3.9254495999999999</v>
      </c>
      <c r="G433" s="60">
        <v>355.58</v>
      </c>
      <c r="H433" s="61"/>
    </row>
    <row r="434" spans="1:8" ht="17.25" x14ac:dyDescent="0.3">
      <c r="A434" s="39">
        <v>14122673</v>
      </c>
      <c r="B434" s="40" t="s">
        <v>432</v>
      </c>
      <c r="C434" s="41" t="s">
        <v>862</v>
      </c>
      <c r="D434" s="41" t="s">
        <v>3</v>
      </c>
      <c r="E434" s="59">
        <v>4.3855960874999997</v>
      </c>
      <c r="F434" s="59">
        <v>3.4340622333333335</v>
      </c>
      <c r="G434" s="60">
        <v>0</v>
      </c>
      <c r="H434" s="61"/>
    </row>
    <row r="435" spans="1:8" ht="17.25" x14ac:dyDescent="0.3">
      <c r="A435" s="39">
        <v>14122681</v>
      </c>
      <c r="B435" s="40" t="s">
        <v>433</v>
      </c>
      <c r="C435" s="41" t="s">
        <v>863</v>
      </c>
      <c r="D435" s="41" t="s">
        <v>3</v>
      </c>
      <c r="E435" s="59">
        <v>9.6703387999999997</v>
      </c>
      <c r="F435" s="59">
        <v>10.1737135</v>
      </c>
      <c r="G435" s="60">
        <v>355.58</v>
      </c>
      <c r="H435" s="61"/>
    </row>
    <row r="436" spans="1:8" ht="17.25" x14ac:dyDescent="0.3">
      <c r="A436" s="39">
        <v>14122682</v>
      </c>
      <c r="B436" s="40" t="s">
        <v>434</v>
      </c>
      <c r="C436" s="41" t="s">
        <v>863</v>
      </c>
      <c r="D436" s="41" t="s">
        <v>3</v>
      </c>
      <c r="E436" s="59" t="s">
        <v>920</v>
      </c>
      <c r="F436" s="59" t="s">
        <v>920</v>
      </c>
      <c r="G436" s="60">
        <v>355.58</v>
      </c>
      <c r="H436" s="61"/>
    </row>
    <row r="437" spans="1:8" ht="17.25" x14ac:dyDescent="0.3">
      <c r="A437" s="39">
        <v>14122683</v>
      </c>
      <c r="B437" s="40" t="s">
        <v>435</v>
      </c>
      <c r="C437" s="41" t="s">
        <v>863</v>
      </c>
      <c r="D437" s="41" t="s">
        <v>3</v>
      </c>
      <c r="E437" s="59">
        <v>4.3262518953846154</v>
      </c>
      <c r="F437" s="59">
        <v>6.5167985333333336</v>
      </c>
      <c r="G437" s="60">
        <v>355.58</v>
      </c>
      <c r="H437" s="61"/>
    </row>
    <row r="438" spans="1:8" ht="17.25" x14ac:dyDescent="0.3">
      <c r="A438" s="39">
        <v>14122685</v>
      </c>
      <c r="B438" s="40" t="s">
        <v>436</v>
      </c>
      <c r="C438" s="41" t="s">
        <v>864</v>
      </c>
      <c r="D438" s="41" t="s">
        <v>3</v>
      </c>
      <c r="E438" s="59">
        <v>3.5721117194444445</v>
      </c>
      <c r="F438" s="59">
        <v>3.6739746499999999</v>
      </c>
      <c r="G438" s="60">
        <v>355.58</v>
      </c>
      <c r="H438" s="61"/>
    </row>
    <row r="439" spans="1:8" ht="17.25" x14ac:dyDescent="0.3">
      <c r="A439" s="39">
        <v>14122687</v>
      </c>
      <c r="B439" s="40" t="s">
        <v>437</v>
      </c>
      <c r="C439" s="41" t="s">
        <v>864</v>
      </c>
      <c r="D439" s="41" t="s">
        <v>3</v>
      </c>
      <c r="E439" s="59">
        <v>4.1649792121212128</v>
      </c>
      <c r="F439" s="59">
        <v>5.0827421999999993</v>
      </c>
      <c r="G439" s="60">
        <v>355.58</v>
      </c>
      <c r="H439" s="61"/>
    </row>
    <row r="440" spans="1:8" ht="17.25" x14ac:dyDescent="0.3">
      <c r="A440" s="39">
        <v>14122706</v>
      </c>
      <c r="B440" s="40" t="s">
        <v>438</v>
      </c>
      <c r="C440" s="41" t="s">
        <v>865</v>
      </c>
      <c r="D440" s="41" t="s">
        <v>3</v>
      </c>
      <c r="E440" s="59">
        <v>7.4247490699999998</v>
      </c>
      <c r="F440" s="59">
        <v>7.0001363999999997</v>
      </c>
      <c r="G440" s="60">
        <v>0</v>
      </c>
      <c r="H440" s="61"/>
    </row>
    <row r="441" spans="1:8" ht="17.25" x14ac:dyDescent="0.3">
      <c r="A441" s="39">
        <v>14122707</v>
      </c>
      <c r="B441" s="40" t="s">
        <v>439</v>
      </c>
      <c r="C441" s="41" t="s">
        <v>865</v>
      </c>
      <c r="D441" s="41" t="s">
        <v>3</v>
      </c>
      <c r="E441" s="59" t="s">
        <v>920</v>
      </c>
      <c r="F441" s="59" t="s">
        <v>920</v>
      </c>
      <c r="G441" s="60">
        <v>355.58</v>
      </c>
      <c r="H441" s="61"/>
    </row>
    <row r="442" spans="1:8" ht="17.25" x14ac:dyDescent="0.3">
      <c r="A442" s="39">
        <v>14122708</v>
      </c>
      <c r="B442" s="40" t="s">
        <v>440</v>
      </c>
      <c r="C442" s="41" t="s">
        <v>865</v>
      </c>
      <c r="D442" s="41" t="s">
        <v>3</v>
      </c>
      <c r="E442" s="59">
        <v>7.9774986666666683</v>
      </c>
      <c r="F442" s="59">
        <v>6.2889999999999997</v>
      </c>
      <c r="G442" s="60">
        <v>0</v>
      </c>
      <c r="H442" s="61"/>
    </row>
    <row r="443" spans="1:8" ht="17.25" x14ac:dyDescent="0.3">
      <c r="A443" s="39">
        <v>14122709</v>
      </c>
      <c r="B443" s="48" t="s">
        <v>441</v>
      </c>
      <c r="C443" s="41" t="s">
        <v>865</v>
      </c>
      <c r="D443" s="41" t="s">
        <v>3</v>
      </c>
      <c r="E443" s="59">
        <v>4.1260915262820514</v>
      </c>
      <c r="F443" s="59">
        <v>5.2219216999999993</v>
      </c>
      <c r="G443" s="60">
        <v>355.58</v>
      </c>
      <c r="H443" s="61"/>
    </row>
    <row r="444" spans="1:8" ht="17.25" x14ac:dyDescent="0.3">
      <c r="A444" s="39">
        <v>14122758</v>
      </c>
      <c r="B444" s="40" t="s">
        <v>442</v>
      </c>
      <c r="C444" s="41" t="s">
        <v>767</v>
      </c>
      <c r="D444" s="41" t="s">
        <v>3</v>
      </c>
      <c r="E444" s="59">
        <v>3.2688755763888886</v>
      </c>
      <c r="F444" s="59">
        <v>3.89085445</v>
      </c>
      <c r="G444" s="60">
        <v>355.58</v>
      </c>
      <c r="H444" s="61"/>
    </row>
    <row r="445" spans="1:8" ht="17.25" x14ac:dyDescent="0.3">
      <c r="A445" s="39">
        <v>14122772</v>
      </c>
      <c r="B445" s="40" t="s">
        <v>443</v>
      </c>
      <c r="C445" s="41" t="s">
        <v>866</v>
      </c>
      <c r="D445" s="41" t="s">
        <v>3</v>
      </c>
      <c r="E445" s="59">
        <v>3.4282975458333329</v>
      </c>
      <c r="F445" s="59">
        <v>4.2098499499999997</v>
      </c>
      <c r="G445" s="60">
        <v>355.58</v>
      </c>
      <c r="H445" s="61"/>
    </row>
    <row r="446" spans="1:8" ht="17.25" x14ac:dyDescent="0.3">
      <c r="A446" s="39">
        <v>14122773</v>
      </c>
      <c r="B446" s="40" t="s">
        <v>444</v>
      </c>
      <c r="C446" s="41" t="s">
        <v>866</v>
      </c>
      <c r="D446" s="41" t="s">
        <v>3</v>
      </c>
      <c r="E446" s="59">
        <v>9.7003598833333324</v>
      </c>
      <c r="F446" s="59">
        <v>15.719796000000001</v>
      </c>
      <c r="G446" s="60">
        <v>355.58</v>
      </c>
      <c r="H446" s="61"/>
    </row>
    <row r="447" spans="1:8" ht="17.25" x14ac:dyDescent="0.3">
      <c r="A447" s="39">
        <v>14122775</v>
      </c>
      <c r="B447" s="48" t="s">
        <v>445</v>
      </c>
      <c r="C447" s="41" t="s">
        <v>866</v>
      </c>
      <c r="D447" s="41" t="s">
        <v>3</v>
      </c>
      <c r="E447" s="59">
        <v>3.7629980430555556</v>
      </c>
      <c r="F447" s="59">
        <v>4.4341838000000005</v>
      </c>
      <c r="G447" s="60">
        <v>355.58</v>
      </c>
      <c r="H447" s="61"/>
    </row>
    <row r="448" spans="1:8" ht="17.25" x14ac:dyDescent="0.3">
      <c r="A448" s="39">
        <v>14122809</v>
      </c>
      <c r="B448" s="40" t="s">
        <v>446</v>
      </c>
      <c r="C448" s="41" t="s">
        <v>867</v>
      </c>
      <c r="D448" s="41" t="s">
        <v>3</v>
      </c>
      <c r="E448" s="59">
        <v>3.7424692833333335</v>
      </c>
      <c r="F448" s="59">
        <v>5.4011066000000003</v>
      </c>
      <c r="G448" s="60">
        <v>355.58</v>
      </c>
      <c r="H448" s="61"/>
    </row>
    <row r="449" spans="1:8" ht="17.25" x14ac:dyDescent="0.3">
      <c r="A449" s="39">
        <v>14122831</v>
      </c>
      <c r="B449" s="48" t="s">
        <v>447</v>
      </c>
      <c r="C449" s="41" t="s">
        <v>868</v>
      </c>
      <c r="D449" s="41" t="s">
        <v>3</v>
      </c>
      <c r="E449" s="59">
        <v>3.9124224935897445</v>
      </c>
      <c r="F449" s="59">
        <v>4.5339999999999998</v>
      </c>
      <c r="G449" s="60">
        <v>355.58</v>
      </c>
      <c r="H449" s="61"/>
    </row>
    <row r="450" spans="1:8" ht="17.25" x14ac:dyDescent="0.3">
      <c r="A450" s="39">
        <v>14122832</v>
      </c>
      <c r="B450" s="40" t="s">
        <v>448</v>
      </c>
      <c r="C450" s="41" t="s">
        <v>868</v>
      </c>
      <c r="D450" s="41" t="s">
        <v>3</v>
      </c>
      <c r="E450" s="59">
        <v>3.6173487974358971</v>
      </c>
      <c r="F450" s="59">
        <v>3.0531155000000001</v>
      </c>
      <c r="G450" s="60">
        <v>0</v>
      </c>
      <c r="H450" s="61"/>
    </row>
    <row r="451" spans="1:8" ht="17.25" x14ac:dyDescent="0.3">
      <c r="A451" s="39">
        <v>14122852</v>
      </c>
      <c r="B451" s="40" t="s">
        <v>449</v>
      </c>
      <c r="C451" s="41" t="s">
        <v>734</v>
      </c>
      <c r="D451" s="41" t="s">
        <v>3</v>
      </c>
      <c r="E451" s="59">
        <v>4.2669830727272728</v>
      </c>
      <c r="F451" s="59">
        <v>4.3643809999999998</v>
      </c>
      <c r="G451" s="60">
        <v>355.58</v>
      </c>
      <c r="H451" s="61"/>
    </row>
    <row r="452" spans="1:8" ht="17.25" x14ac:dyDescent="0.3">
      <c r="A452" s="39">
        <v>14122854</v>
      </c>
      <c r="B452" s="48" t="s">
        <v>450</v>
      </c>
      <c r="C452" s="41" t="s">
        <v>734</v>
      </c>
      <c r="D452" s="41" t="s">
        <v>3</v>
      </c>
      <c r="E452" s="59">
        <v>3.1509422194444441</v>
      </c>
      <c r="F452" s="59">
        <v>4.0710012500000001</v>
      </c>
      <c r="G452" s="60">
        <v>355.58</v>
      </c>
      <c r="H452" s="61"/>
    </row>
    <row r="453" spans="1:8" ht="17.25" x14ac:dyDescent="0.3">
      <c r="A453" s="39">
        <v>14122855</v>
      </c>
      <c r="B453" s="40" t="s">
        <v>451</v>
      </c>
      <c r="C453" s="41" t="s">
        <v>734</v>
      </c>
      <c r="D453" s="41" t="s">
        <v>3</v>
      </c>
      <c r="E453" s="59">
        <v>3.4671994269230768</v>
      </c>
      <c r="F453" s="59">
        <v>2.5939999999999999</v>
      </c>
      <c r="G453" s="60">
        <v>0</v>
      </c>
      <c r="H453" s="61"/>
    </row>
    <row r="454" spans="1:8" ht="17.25" x14ac:dyDescent="0.3">
      <c r="A454" s="40">
        <v>14122856</v>
      </c>
      <c r="B454" s="48" t="s">
        <v>452</v>
      </c>
      <c r="C454" s="41" t="s">
        <v>734</v>
      </c>
      <c r="D454" s="41" t="s">
        <v>3</v>
      </c>
      <c r="E454" s="59">
        <v>4.2395321666666668</v>
      </c>
      <c r="F454" s="59">
        <v>5.5203249999999997</v>
      </c>
      <c r="G454" s="60">
        <v>355.58</v>
      </c>
      <c r="H454" s="61"/>
    </row>
    <row r="455" spans="1:8" ht="17.25" x14ac:dyDescent="0.3">
      <c r="A455" s="39">
        <v>14122871</v>
      </c>
      <c r="B455" s="48" t="s">
        <v>453</v>
      </c>
      <c r="C455" s="41" t="s">
        <v>734</v>
      </c>
      <c r="D455" s="41" t="s">
        <v>3</v>
      </c>
      <c r="E455" s="59">
        <v>3.9</v>
      </c>
      <c r="F455" s="59">
        <v>3.8170000000000002</v>
      </c>
      <c r="G455" s="60">
        <v>0</v>
      </c>
      <c r="H455" s="61"/>
    </row>
    <row r="456" spans="1:8" ht="17.25" x14ac:dyDescent="0.3">
      <c r="A456" s="39">
        <v>14122873</v>
      </c>
      <c r="B456" s="40" t="s">
        <v>454</v>
      </c>
      <c r="C456" s="41" t="s">
        <v>734</v>
      </c>
      <c r="D456" s="41" t="s">
        <v>3</v>
      </c>
      <c r="E456" s="59">
        <v>4.6324259499999991</v>
      </c>
      <c r="F456" s="59">
        <v>4.6390031333333335</v>
      </c>
      <c r="G456" s="60">
        <v>355.58</v>
      </c>
      <c r="H456" s="61"/>
    </row>
    <row r="457" spans="1:8" ht="17.25" x14ac:dyDescent="0.3">
      <c r="A457" s="40">
        <v>14122904</v>
      </c>
      <c r="B457" s="48" t="s">
        <v>457</v>
      </c>
      <c r="C457" s="41" t="s">
        <v>598</v>
      </c>
      <c r="D457" s="41" t="s">
        <v>3</v>
      </c>
      <c r="E457" s="59">
        <v>7.1864442397435893</v>
      </c>
      <c r="F457" s="59">
        <v>7.0420156</v>
      </c>
      <c r="G457" s="60">
        <v>0</v>
      </c>
      <c r="H457" s="61"/>
    </row>
    <row r="458" spans="1:8" ht="17.25" x14ac:dyDescent="0.3">
      <c r="A458" s="39">
        <v>14122922</v>
      </c>
      <c r="B458" s="48" t="s">
        <v>458</v>
      </c>
      <c r="C458" s="41" t="s">
        <v>741</v>
      </c>
      <c r="D458" s="41" t="s">
        <v>3</v>
      </c>
      <c r="E458" s="59">
        <v>3.1021127591666664</v>
      </c>
      <c r="F458" s="59">
        <v>12.227204</v>
      </c>
      <c r="G458" s="60">
        <v>355.58</v>
      </c>
      <c r="H458" s="61"/>
    </row>
    <row r="459" spans="1:8" ht="17.25" x14ac:dyDescent="0.3">
      <c r="A459" s="39">
        <v>14122923</v>
      </c>
      <c r="B459" s="48" t="s">
        <v>459</v>
      </c>
      <c r="C459" s="41" t="s">
        <v>741</v>
      </c>
      <c r="D459" s="41" t="s">
        <v>3</v>
      </c>
      <c r="E459" s="59">
        <v>6.0702635554292925</v>
      </c>
      <c r="F459" s="59">
        <v>9.9440332500000004</v>
      </c>
      <c r="G459" s="60">
        <v>355.58</v>
      </c>
      <c r="H459" s="61"/>
    </row>
    <row r="460" spans="1:8" ht="17.25" x14ac:dyDescent="0.3">
      <c r="A460" s="39">
        <v>14122925</v>
      </c>
      <c r="B460" s="48" t="s">
        <v>460</v>
      </c>
      <c r="C460" s="41" t="s">
        <v>741</v>
      </c>
      <c r="D460" s="41" t="s">
        <v>3</v>
      </c>
      <c r="E460" s="59" t="s">
        <v>920</v>
      </c>
      <c r="F460" s="59" t="s">
        <v>920</v>
      </c>
      <c r="G460" s="60">
        <v>355.58</v>
      </c>
      <c r="H460" s="61"/>
    </row>
    <row r="461" spans="1:8" ht="17.25" x14ac:dyDescent="0.3">
      <c r="A461" s="39">
        <v>14122927</v>
      </c>
      <c r="B461" s="48" t="s">
        <v>461</v>
      </c>
      <c r="C461" s="41" t="s">
        <v>741</v>
      </c>
      <c r="D461" s="41" t="s">
        <v>3</v>
      </c>
      <c r="E461" s="59">
        <v>2.4752476791666664</v>
      </c>
      <c r="F461" s="59">
        <v>0.24949008</v>
      </c>
      <c r="G461" s="60">
        <v>0</v>
      </c>
      <c r="H461" s="61"/>
    </row>
    <row r="462" spans="1:8" ht="17.25" x14ac:dyDescent="0.3">
      <c r="A462" s="39">
        <v>14122928</v>
      </c>
      <c r="B462" s="40" t="s">
        <v>462</v>
      </c>
      <c r="C462" s="41" t="s">
        <v>741</v>
      </c>
      <c r="D462" s="41" t="s">
        <v>3</v>
      </c>
      <c r="E462" s="59" t="s">
        <v>921</v>
      </c>
      <c r="F462" s="59" t="s">
        <v>921</v>
      </c>
      <c r="G462" s="60">
        <v>355.58</v>
      </c>
      <c r="H462" s="61"/>
    </row>
    <row r="463" spans="1:8" ht="17.25" x14ac:dyDescent="0.3">
      <c r="A463" s="39">
        <v>14122929</v>
      </c>
      <c r="B463" s="48" t="s">
        <v>463</v>
      </c>
      <c r="C463" s="41" t="s">
        <v>741</v>
      </c>
      <c r="D463" s="41" t="s">
        <v>3</v>
      </c>
      <c r="E463" s="59">
        <v>3.4256312756410261</v>
      </c>
      <c r="F463" s="59">
        <v>2.28442005</v>
      </c>
      <c r="G463" s="60">
        <v>0</v>
      </c>
      <c r="H463" s="61"/>
    </row>
    <row r="464" spans="1:8" ht="17.25" x14ac:dyDescent="0.3">
      <c r="A464" s="39">
        <v>14122992</v>
      </c>
      <c r="B464" s="48" t="s">
        <v>465</v>
      </c>
      <c r="C464" s="41" t="s">
        <v>869</v>
      </c>
      <c r="D464" s="41" t="s">
        <v>3</v>
      </c>
      <c r="E464" s="59">
        <v>4.0121197737179486</v>
      </c>
      <c r="F464" s="59">
        <v>5.0907518500000002</v>
      </c>
      <c r="G464" s="60">
        <v>355.58</v>
      </c>
      <c r="H464" s="61"/>
    </row>
    <row r="465" spans="1:8" ht="17.25" x14ac:dyDescent="0.3">
      <c r="A465" s="39">
        <v>14122993</v>
      </c>
      <c r="B465" s="48" t="s">
        <v>466</v>
      </c>
      <c r="C465" s="41" t="s">
        <v>869</v>
      </c>
      <c r="D465" s="41" t="s">
        <v>3</v>
      </c>
      <c r="E465" s="59">
        <v>3.4539024555555558</v>
      </c>
      <c r="F465" s="59">
        <v>5.8931264499999996</v>
      </c>
      <c r="G465" s="60">
        <v>355.58</v>
      </c>
      <c r="H465" s="61"/>
    </row>
    <row r="466" spans="1:8" ht="17.25" x14ac:dyDescent="0.3">
      <c r="A466" s="39">
        <v>14122994</v>
      </c>
      <c r="B466" s="48" t="s">
        <v>467</v>
      </c>
      <c r="C466" s="41" t="s">
        <v>869</v>
      </c>
      <c r="D466" s="41" t="s">
        <v>3</v>
      </c>
      <c r="E466" s="59">
        <v>7.7683749999999998</v>
      </c>
      <c r="F466" s="59">
        <v>10.725180999999999</v>
      </c>
      <c r="G466" s="60">
        <v>355.58</v>
      </c>
      <c r="H466" s="61"/>
    </row>
    <row r="467" spans="1:8" ht="17.25" x14ac:dyDescent="0.3">
      <c r="A467" s="39">
        <v>14123004</v>
      </c>
      <c r="B467" s="48" t="s">
        <v>468</v>
      </c>
      <c r="C467" s="41" t="s">
        <v>870</v>
      </c>
      <c r="D467" s="41" t="s">
        <v>3</v>
      </c>
      <c r="E467" s="59">
        <v>3.5655851194444446</v>
      </c>
      <c r="F467" s="59">
        <v>4.4562548</v>
      </c>
      <c r="G467" s="60">
        <v>355.58</v>
      </c>
      <c r="H467" s="61"/>
    </row>
    <row r="468" spans="1:8" ht="17.25" x14ac:dyDescent="0.3">
      <c r="A468" s="40">
        <v>14123008</v>
      </c>
      <c r="B468" s="48" t="s">
        <v>469</v>
      </c>
      <c r="C468" s="41" t="s">
        <v>870</v>
      </c>
      <c r="D468" s="41" t="s">
        <v>3</v>
      </c>
      <c r="E468" s="59">
        <v>3.5514511166666658</v>
      </c>
      <c r="F468" s="59">
        <v>4.9279489500000002</v>
      </c>
      <c r="G468" s="60">
        <v>355.58</v>
      </c>
      <c r="H468" s="61"/>
    </row>
    <row r="469" spans="1:8" ht="17.25" x14ac:dyDescent="0.3">
      <c r="A469" s="40">
        <v>14123010</v>
      </c>
      <c r="B469" s="48" t="s">
        <v>470</v>
      </c>
      <c r="C469" s="41" t="s">
        <v>669</v>
      </c>
      <c r="D469" s="41" t="s">
        <v>3</v>
      </c>
      <c r="E469" s="59">
        <v>5.3133318750000003</v>
      </c>
      <c r="F469" s="59">
        <v>5.8042720000000001</v>
      </c>
      <c r="G469" s="60">
        <v>355.58</v>
      </c>
      <c r="H469" s="61"/>
    </row>
    <row r="470" spans="1:8" ht="17.25" x14ac:dyDescent="0.3">
      <c r="A470" s="40">
        <v>14123012</v>
      </c>
      <c r="B470" s="48" t="s">
        <v>471</v>
      </c>
      <c r="C470" s="41" t="s">
        <v>669</v>
      </c>
      <c r="D470" s="41" t="s">
        <v>3</v>
      </c>
      <c r="E470" s="59">
        <v>3.7727623840659339</v>
      </c>
      <c r="F470" s="59">
        <v>5.9756</v>
      </c>
      <c r="G470" s="60">
        <v>355.58</v>
      </c>
      <c r="H470" s="61"/>
    </row>
    <row r="471" spans="1:8" ht="17.25" x14ac:dyDescent="0.3">
      <c r="A471" s="39">
        <v>14123049</v>
      </c>
      <c r="B471" s="48" t="s">
        <v>472</v>
      </c>
      <c r="C471" s="41" t="s">
        <v>777</v>
      </c>
      <c r="D471" s="41" t="s">
        <v>3</v>
      </c>
      <c r="E471" s="59">
        <v>3.4754543583333337</v>
      </c>
      <c r="F471" s="59">
        <v>3.8195679</v>
      </c>
      <c r="G471" s="60">
        <v>355.58</v>
      </c>
      <c r="H471" s="61"/>
    </row>
    <row r="472" spans="1:8" ht="17.25" x14ac:dyDescent="0.3">
      <c r="A472" s="40">
        <v>14123063</v>
      </c>
      <c r="B472" s="48" t="s">
        <v>473</v>
      </c>
      <c r="C472" s="41" t="s">
        <v>639</v>
      </c>
      <c r="D472" s="41" t="s">
        <v>3</v>
      </c>
      <c r="E472" s="59">
        <v>2.7</v>
      </c>
      <c r="F472" s="59">
        <v>3.6589999999999998</v>
      </c>
      <c r="G472" s="60">
        <v>355.58</v>
      </c>
      <c r="H472" s="61"/>
    </row>
    <row r="473" spans="1:8" ht="17.25" x14ac:dyDescent="0.3">
      <c r="A473" s="40">
        <v>14123066</v>
      </c>
      <c r="B473" s="48" t="s">
        <v>474</v>
      </c>
      <c r="C473" s="41" t="s">
        <v>639</v>
      </c>
      <c r="D473" s="41" t="s">
        <v>3</v>
      </c>
      <c r="E473" s="59">
        <v>3.5403343692307696</v>
      </c>
      <c r="F473" s="59">
        <v>3.5150669333333333</v>
      </c>
      <c r="G473" s="60">
        <v>0</v>
      </c>
      <c r="H473" s="61"/>
    </row>
    <row r="474" spans="1:8" ht="17.25" x14ac:dyDescent="0.3">
      <c r="A474" s="39">
        <v>14123080</v>
      </c>
      <c r="B474" s="48" t="s">
        <v>475</v>
      </c>
      <c r="C474" s="41" t="s">
        <v>871</v>
      </c>
      <c r="D474" s="41" t="s">
        <v>3</v>
      </c>
      <c r="E474" s="59">
        <v>3.1038907589743592</v>
      </c>
      <c r="F474" s="59">
        <v>3.5833431999999998</v>
      </c>
      <c r="G474" s="60">
        <v>355.58</v>
      </c>
      <c r="H474" s="61"/>
    </row>
    <row r="475" spans="1:8" ht="17.25" x14ac:dyDescent="0.3">
      <c r="A475" s="40">
        <v>14123081</v>
      </c>
      <c r="B475" s="48" t="s">
        <v>476</v>
      </c>
      <c r="C475" s="41" t="s">
        <v>871</v>
      </c>
      <c r="D475" s="41" t="s">
        <v>3</v>
      </c>
      <c r="E475" s="59">
        <v>9.4700000000000006</v>
      </c>
      <c r="F475" s="59">
        <v>9.6225111404369024</v>
      </c>
      <c r="G475" s="60">
        <v>355.58</v>
      </c>
      <c r="H475" s="61"/>
    </row>
    <row r="476" spans="1:8" ht="17.25" x14ac:dyDescent="0.3">
      <c r="A476" s="39">
        <v>14123082</v>
      </c>
      <c r="B476" s="48" t="s">
        <v>477</v>
      </c>
      <c r="C476" s="41" t="s">
        <v>871</v>
      </c>
      <c r="D476" s="41" t="s">
        <v>3</v>
      </c>
      <c r="E476" s="59" t="s">
        <v>920</v>
      </c>
      <c r="F476" s="59" t="s">
        <v>920</v>
      </c>
      <c r="G476" s="60">
        <v>355.58</v>
      </c>
      <c r="H476" s="61"/>
    </row>
    <row r="477" spans="1:8" ht="17.25" x14ac:dyDescent="0.3">
      <c r="A477" s="40">
        <v>14123083</v>
      </c>
      <c r="B477" s="40" t="s">
        <v>478</v>
      </c>
      <c r="C477" s="41" t="s">
        <v>871</v>
      </c>
      <c r="D477" s="41" t="s">
        <v>3</v>
      </c>
      <c r="E477" s="59">
        <v>3.9867171653846154</v>
      </c>
      <c r="F477" s="59">
        <v>3.7898388000000001</v>
      </c>
      <c r="G477" s="60">
        <v>0</v>
      </c>
      <c r="H477" s="61"/>
    </row>
    <row r="478" spans="1:8" ht="17.25" x14ac:dyDescent="0.3">
      <c r="A478" s="40">
        <v>14123084</v>
      </c>
      <c r="B478" s="48" t="s">
        <v>479</v>
      </c>
      <c r="C478" s="41" t="s">
        <v>871</v>
      </c>
      <c r="D478" s="41" t="s">
        <v>3</v>
      </c>
      <c r="E478" s="59" t="s">
        <v>920</v>
      </c>
      <c r="F478" s="59" t="s">
        <v>920</v>
      </c>
      <c r="G478" s="60">
        <v>355.58</v>
      </c>
      <c r="H478" s="61"/>
    </row>
    <row r="479" spans="1:8" ht="17.25" x14ac:dyDescent="0.3">
      <c r="A479" s="39">
        <v>14123107</v>
      </c>
      <c r="B479" s="48" t="s">
        <v>480</v>
      </c>
      <c r="C479" s="41" t="s">
        <v>872</v>
      </c>
      <c r="D479" s="41" t="s">
        <v>3</v>
      </c>
      <c r="E479" s="59">
        <v>7.1864442397435893</v>
      </c>
      <c r="F479" s="59">
        <v>8.523987</v>
      </c>
      <c r="G479" s="60">
        <v>355.58</v>
      </c>
      <c r="H479" s="61"/>
    </row>
    <row r="480" spans="1:8" ht="17.25" x14ac:dyDescent="0.3">
      <c r="A480" s="40">
        <v>14123133</v>
      </c>
      <c r="B480" s="48" t="s">
        <v>481</v>
      </c>
      <c r="C480" s="41" t="s">
        <v>873</v>
      </c>
      <c r="D480" s="41" t="s">
        <v>3</v>
      </c>
      <c r="E480" s="59" t="s">
        <v>920</v>
      </c>
      <c r="F480" s="59" t="s">
        <v>920</v>
      </c>
      <c r="G480" s="60">
        <v>355.58</v>
      </c>
      <c r="H480" s="61"/>
    </row>
    <row r="481" spans="1:8" ht="17.25" x14ac:dyDescent="0.3">
      <c r="A481" s="39">
        <v>14123145</v>
      </c>
      <c r="B481" s="48" t="s">
        <v>482</v>
      </c>
      <c r="C481" s="41" t="s">
        <v>874</v>
      </c>
      <c r="D481" s="41" t="s">
        <v>3</v>
      </c>
      <c r="E481" s="59">
        <v>7.8050896266071428</v>
      </c>
      <c r="F481" s="59">
        <v>8.1531760333333327</v>
      </c>
      <c r="G481" s="60">
        <v>355.58</v>
      </c>
      <c r="H481" s="61"/>
    </row>
    <row r="482" spans="1:8" ht="17.25" x14ac:dyDescent="0.3">
      <c r="A482" s="39">
        <v>14123193</v>
      </c>
      <c r="B482" s="48" t="s">
        <v>484</v>
      </c>
      <c r="C482" s="41" t="s">
        <v>875</v>
      </c>
      <c r="D482" s="41" t="s">
        <v>3</v>
      </c>
      <c r="E482" s="59">
        <v>9.3213941909722227</v>
      </c>
      <c r="F482" s="59">
        <v>10.7304105</v>
      </c>
      <c r="G482" s="60">
        <v>355.58</v>
      </c>
      <c r="H482" s="61"/>
    </row>
    <row r="483" spans="1:8" ht="17.25" x14ac:dyDescent="0.3">
      <c r="A483" s="39">
        <v>14123199</v>
      </c>
      <c r="B483" s="48" t="s">
        <v>485</v>
      </c>
      <c r="C483" s="41" t="s">
        <v>876</v>
      </c>
      <c r="D483" s="41" t="s">
        <v>3</v>
      </c>
      <c r="E483" s="59" t="s">
        <v>920</v>
      </c>
      <c r="F483" s="59" t="s">
        <v>920</v>
      </c>
      <c r="G483" s="60">
        <v>355.58</v>
      </c>
      <c r="H483" s="61"/>
    </row>
    <row r="484" spans="1:8" ht="17.25" x14ac:dyDescent="0.3">
      <c r="A484" s="39">
        <v>14123228</v>
      </c>
      <c r="B484" s="40" t="s">
        <v>486</v>
      </c>
      <c r="C484" s="41" t="s">
        <v>877</v>
      </c>
      <c r="D484" s="41" t="s">
        <v>3</v>
      </c>
      <c r="E484" s="59">
        <v>3.4572708326923074</v>
      </c>
      <c r="F484" s="59">
        <v>3.9119815999999998</v>
      </c>
      <c r="G484" s="60">
        <v>355.58</v>
      </c>
      <c r="H484" s="61"/>
    </row>
    <row r="485" spans="1:8" ht="17.25" x14ac:dyDescent="0.3">
      <c r="A485" s="39">
        <v>14123238</v>
      </c>
      <c r="B485" s="48" t="s">
        <v>487</v>
      </c>
      <c r="C485" s="41" t="s">
        <v>878</v>
      </c>
      <c r="D485" s="41" t="s">
        <v>3</v>
      </c>
      <c r="E485" s="59">
        <v>3.2984920592948721</v>
      </c>
      <c r="F485" s="59">
        <v>4.0858991499999995</v>
      </c>
      <c r="G485" s="60">
        <v>355.58</v>
      </c>
      <c r="H485" s="61"/>
    </row>
    <row r="486" spans="1:8" ht="17.25" x14ac:dyDescent="0.3">
      <c r="A486" s="39">
        <v>14123240</v>
      </c>
      <c r="B486" s="50" t="s">
        <v>488</v>
      </c>
      <c r="C486" s="41" t="s">
        <v>878</v>
      </c>
      <c r="D486" s="41" t="s">
        <v>3</v>
      </c>
      <c r="E486" s="59">
        <v>4.0874030666666661</v>
      </c>
      <c r="F486" s="59">
        <v>4.8662314000000002</v>
      </c>
      <c r="G486" s="60">
        <v>355.58</v>
      </c>
      <c r="H486" s="61"/>
    </row>
    <row r="487" spans="1:8" ht="17.25" x14ac:dyDescent="0.3">
      <c r="A487" s="39">
        <v>14123246</v>
      </c>
      <c r="B487" s="48" t="s">
        <v>489</v>
      </c>
      <c r="C487" s="41" t="s">
        <v>879</v>
      </c>
      <c r="D487" s="41" t="s">
        <v>3</v>
      </c>
      <c r="E487" s="59">
        <v>3.35</v>
      </c>
      <c r="F487" s="59">
        <v>3.2000909999999996</v>
      </c>
      <c r="G487" s="60">
        <v>0</v>
      </c>
      <c r="H487" s="61"/>
    </row>
    <row r="488" spans="1:8" ht="17.25" x14ac:dyDescent="0.3">
      <c r="A488" s="39">
        <v>14123254</v>
      </c>
      <c r="B488" s="48" t="s">
        <v>490</v>
      </c>
      <c r="C488" s="41" t="s">
        <v>880</v>
      </c>
      <c r="D488" s="41" t="s">
        <v>3</v>
      </c>
      <c r="E488" s="59">
        <v>3.46</v>
      </c>
      <c r="F488" s="59">
        <v>4.62</v>
      </c>
      <c r="G488" s="60">
        <v>355.58</v>
      </c>
      <c r="H488" s="61"/>
    </row>
    <row r="489" spans="1:8" ht="17.25" x14ac:dyDescent="0.3">
      <c r="A489" s="39">
        <v>14123272</v>
      </c>
      <c r="B489" s="48" t="s">
        <v>881</v>
      </c>
      <c r="C489" s="41" t="s">
        <v>882</v>
      </c>
      <c r="D489" s="41" t="s">
        <v>3</v>
      </c>
      <c r="E489" s="59" t="s">
        <v>920</v>
      </c>
      <c r="F489" s="59" t="s">
        <v>920</v>
      </c>
      <c r="G489" s="60">
        <v>355.58</v>
      </c>
      <c r="H489" s="61"/>
    </row>
    <row r="490" spans="1:8" ht="17.25" x14ac:dyDescent="0.3">
      <c r="A490" s="39">
        <v>14123273</v>
      </c>
      <c r="B490" s="48" t="s">
        <v>491</v>
      </c>
      <c r="C490" s="41" t="s">
        <v>882</v>
      </c>
      <c r="D490" s="41" t="s">
        <v>3</v>
      </c>
      <c r="E490" s="59">
        <v>3.9179245258190885</v>
      </c>
      <c r="F490" s="59">
        <v>5.0285795000000002</v>
      </c>
      <c r="G490" s="60">
        <v>355.58</v>
      </c>
      <c r="H490" s="61"/>
    </row>
    <row r="491" spans="1:8" ht="17.25" x14ac:dyDescent="0.3">
      <c r="A491" s="39">
        <v>14123274</v>
      </c>
      <c r="B491" s="48" t="s">
        <v>492</v>
      </c>
      <c r="C491" s="41" t="s">
        <v>882</v>
      </c>
      <c r="D491" s="41" t="s">
        <v>3</v>
      </c>
      <c r="E491" s="59">
        <v>3.7079185886363644</v>
      </c>
      <c r="F491" s="59">
        <v>4.1076668999999999</v>
      </c>
      <c r="G491" s="60">
        <v>355.58</v>
      </c>
      <c r="H491" s="61"/>
    </row>
    <row r="492" spans="1:8" ht="17.25" x14ac:dyDescent="0.3">
      <c r="A492" s="39">
        <v>14123275</v>
      </c>
      <c r="B492" s="48" t="s">
        <v>493</v>
      </c>
      <c r="C492" s="41" t="s">
        <v>882</v>
      </c>
      <c r="D492" s="41" t="s">
        <v>3</v>
      </c>
      <c r="E492" s="59" t="s">
        <v>920</v>
      </c>
      <c r="F492" s="59" t="s">
        <v>920</v>
      </c>
      <c r="G492" s="60">
        <v>355.58</v>
      </c>
      <c r="H492" s="61"/>
    </row>
    <row r="493" spans="1:8" ht="17.25" x14ac:dyDescent="0.3">
      <c r="A493" s="39">
        <v>14123276</v>
      </c>
      <c r="B493" s="48" t="s">
        <v>494</v>
      </c>
      <c r="C493" s="41" t="s">
        <v>882</v>
      </c>
      <c r="D493" s="41" t="s">
        <v>3</v>
      </c>
      <c r="E493" s="59">
        <v>4.0577554410256411</v>
      </c>
      <c r="F493" s="59">
        <v>4.3609660000000003</v>
      </c>
      <c r="G493" s="60">
        <v>355.58</v>
      </c>
      <c r="H493" s="61"/>
    </row>
    <row r="494" spans="1:8" ht="17.25" x14ac:dyDescent="0.3">
      <c r="A494" s="39">
        <v>14123277</v>
      </c>
      <c r="B494" s="48" t="s">
        <v>495</v>
      </c>
      <c r="C494" s="41" t="s">
        <v>882</v>
      </c>
      <c r="D494" s="41" t="s">
        <v>3</v>
      </c>
      <c r="E494" s="59">
        <v>10.47313181784188</v>
      </c>
      <c r="F494" s="59">
        <v>-61.817577666666665</v>
      </c>
      <c r="G494" s="60">
        <v>0</v>
      </c>
      <c r="H494" s="61"/>
    </row>
    <row r="495" spans="1:8" ht="17.25" x14ac:dyDescent="0.3">
      <c r="A495" s="39">
        <v>14123312</v>
      </c>
      <c r="B495" s="48" t="s">
        <v>496</v>
      </c>
      <c r="C495" s="41" t="s">
        <v>883</v>
      </c>
      <c r="D495" s="41" t="s">
        <v>3</v>
      </c>
      <c r="E495" s="59">
        <v>3.7432190233333333</v>
      </c>
      <c r="F495" s="59">
        <v>3.5708680666666663</v>
      </c>
      <c r="G495" s="60">
        <v>0</v>
      </c>
      <c r="H495" s="61"/>
    </row>
    <row r="496" spans="1:8" ht="17.25" x14ac:dyDescent="0.3">
      <c r="A496" s="40">
        <v>14123313</v>
      </c>
      <c r="B496" s="48" t="s">
        <v>497</v>
      </c>
      <c r="C496" s="41" t="s">
        <v>883</v>
      </c>
      <c r="D496" s="41" t="s">
        <v>3</v>
      </c>
      <c r="E496" s="59">
        <v>4.4005339416666667</v>
      </c>
      <c r="F496" s="59">
        <v>3.6690214000000001</v>
      </c>
      <c r="G496" s="60">
        <v>0</v>
      </c>
      <c r="H496" s="61"/>
    </row>
    <row r="497" spans="1:8" ht="17.25" x14ac:dyDescent="0.3">
      <c r="A497" s="39">
        <v>14123331</v>
      </c>
      <c r="B497" s="48" t="s">
        <v>500</v>
      </c>
      <c r="C497" s="41" t="s">
        <v>884</v>
      </c>
      <c r="D497" s="41" t="s">
        <v>3</v>
      </c>
      <c r="E497" s="59">
        <v>3.528887732860658</v>
      </c>
      <c r="F497" s="59">
        <v>4.6470452666666668</v>
      </c>
      <c r="G497" s="60">
        <v>355.58</v>
      </c>
      <c r="H497" s="61"/>
    </row>
    <row r="498" spans="1:8" ht="17.25" x14ac:dyDescent="0.3">
      <c r="A498" s="39">
        <v>14123332</v>
      </c>
      <c r="B498" s="48" t="s">
        <v>501</v>
      </c>
      <c r="C498" s="41" t="s">
        <v>802</v>
      </c>
      <c r="D498" s="41" t="s">
        <v>3</v>
      </c>
      <c r="E498" s="59">
        <v>8.82077688888889</v>
      </c>
      <c r="F498" s="59">
        <v>11.962678499999999</v>
      </c>
      <c r="G498" s="60">
        <v>355.58</v>
      </c>
      <c r="H498" s="61"/>
    </row>
    <row r="499" spans="1:8" ht="17.25" x14ac:dyDescent="0.3">
      <c r="A499" s="39">
        <v>14123334</v>
      </c>
      <c r="B499" s="48" t="s">
        <v>502</v>
      </c>
      <c r="C499" s="41" t="s">
        <v>802</v>
      </c>
      <c r="D499" s="41" t="s">
        <v>3</v>
      </c>
      <c r="E499" s="59">
        <v>3.3839536263888892</v>
      </c>
      <c r="F499" s="59">
        <v>3.9465129999999999</v>
      </c>
      <c r="G499" s="60">
        <v>355.58</v>
      </c>
      <c r="H499" s="61"/>
    </row>
    <row r="500" spans="1:8" ht="17.25" x14ac:dyDescent="0.3">
      <c r="A500" s="39">
        <v>14123336</v>
      </c>
      <c r="B500" s="48" t="s">
        <v>503</v>
      </c>
      <c r="C500" s="41" t="s">
        <v>802</v>
      </c>
      <c r="D500" s="41" t="s">
        <v>3</v>
      </c>
      <c r="E500" s="59">
        <v>3.0991670717948718</v>
      </c>
      <c r="F500" s="59">
        <v>2.7425394999999999</v>
      </c>
      <c r="G500" s="60">
        <v>0</v>
      </c>
      <c r="H500" s="61"/>
    </row>
    <row r="501" spans="1:8" ht="17.25" x14ac:dyDescent="0.3">
      <c r="A501" s="39">
        <v>14123375</v>
      </c>
      <c r="B501" s="48" t="s">
        <v>504</v>
      </c>
      <c r="C501" s="41" t="s">
        <v>885</v>
      </c>
      <c r="D501" s="41" t="s">
        <v>3</v>
      </c>
      <c r="E501" s="59">
        <v>4.4800000000000004</v>
      </c>
      <c r="F501" s="59">
        <v>4.1100000000000003</v>
      </c>
      <c r="G501" s="60">
        <v>0</v>
      </c>
      <c r="H501" s="61"/>
    </row>
    <row r="502" spans="1:8" ht="17.25" x14ac:dyDescent="0.3">
      <c r="A502" s="39">
        <v>14123377</v>
      </c>
      <c r="B502" s="40" t="s">
        <v>505</v>
      </c>
      <c r="C502" s="41" t="s">
        <v>885</v>
      </c>
      <c r="D502" s="41" t="s">
        <v>3</v>
      </c>
      <c r="E502" s="59">
        <v>4.4589126615384611</v>
      </c>
      <c r="F502" s="59">
        <v>4.5355615</v>
      </c>
      <c r="G502" s="60">
        <v>355.58</v>
      </c>
      <c r="H502" s="61"/>
    </row>
    <row r="503" spans="1:8" ht="17.25" x14ac:dyDescent="0.3">
      <c r="A503" s="39">
        <v>14123445</v>
      </c>
      <c r="B503" s="48" t="s">
        <v>506</v>
      </c>
      <c r="C503" s="41" t="s">
        <v>886</v>
      </c>
      <c r="D503" s="41" t="s">
        <v>3</v>
      </c>
      <c r="E503" s="59">
        <v>3.0276598256410261</v>
      </c>
      <c r="F503" s="59">
        <v>4.1663876499999999</v>
      </c>
      <c r="G503" s="60">
        <v>355.58</v>
      </c>
      <c r="H503" s="61"/>
    </row>
    <row r="504" spans="1:8" ht="17.25" x14ac:dyDescent="0.3">
      <c r="A504" s="39">
        <v>14123446</v>
      </c>
      <c r="B504" s="48" t="s">
        <v>507</v>
      </c>
      <c r="C504" s="41" t="s">
        <v>886</v>
      </c>
      <c r="D504" s="41" t="s">
        <v>3</v>
      </c>
      <c r="E504" s="59">
        <v>4.0504243717948718</v>
      </c>
      <c r="F504" s="59">
        <v>4.2439057</v>
      </c>
      <c r="G504" s="60">
        <v>355.58</v>
      </c>
      <c r="H504" s="61"/>
    </row>
    <row r="505" spans="1:8" ht="17.25" x14ac:dyDescent="0.3">
      <c r="A505" s="39">
        <v>14123447</v>
      </c>
      <c r="B505" s="48" t="s">
        <v>508</v>
      </c>
      <c r="C505" s="41" t="s">
        <v>886</v>
      </c>
      <c r="D505" s="41" t="s">
        <v>3</v>
      </c>
      <c r="E505" s="59">
        <v>4.2236444583333332</v>
      </c>
      <c r="F505" s="59">
        <v>4.7689376000000001</v>
      </c>
      <c r="G505" s="60">
        <v>355.58</v>
      </c>
      <c r="H505" s="61"/>
    </row>
    <row r="506" spans="1:8" ht="17.25" x14ac:dyDescent="0.3">
      <c r="A506" s="39">
        <v>14123459</v>
      </c>
      <c r="B506" s="48" t="s">
        <v>509</v>
      </c>
      <c r="C506" s="41" t="s">
        <v>887</v>
      </c>
      <c r="D506" s="41" t="s">
        <v>3</v>
      </c>
      <c r="E506" s="59" t="s">
        <v>920</v>
      </c>
      <c r="F506" s="59" t="s">
        <v>920</v>
      </c>
      <c r="G506" s="60">
        <v>355.58</v>
      </c>
      <c r="H506" s="61"/>
    </row>
    <row r="507" spans="1:8" ht="17.25" x14ac:dyDescent="0.3">
      <c r="A507" s="39">
        <v>14123460</v>
      </c>
      <c r="B507" s="48" t="s">
        <v>510</v>
      </c>
      <c r="C507" s="41" t="s">
        <v>887</v>
      </c>
      <c r="D507" s="41" t="s">
        <v>3</v>
      </c>
      <c r="E507" s="59">
        <v>3.1789575442307698</v>
      </c>
      <c r="F507" s="59">
        <v>4.07</v>
      </c>
      <c r="G507" s="60">
        <v>355.58</v>
      </c>
      <c r="H507" s="61"/>
    </row>
    <row r="508" spans="1:8" ht="17.25" x14ac:dyDescent="0.3">
      <c r="A508" s="39">
        <v>14123461</v>
      </c>
      <c r="B508" s="48" t="s">
        <v>511</v>
      </c>
      <c r="C508" s="41" t="s">
        <v>887</v>
      </c>
      <c r="D508" s="41" t="s">
        <v>3</v>
      </c>
      <c r="E508" s="59">
        <v>3.8730761673076923</v>
      </c>
      <c r="F508" s="59">
        <v>4.3698535999999999</v>
      </c>
      <c r="G508" s="60">
        <v>355.58</v>
      </c>
      <c r="H508" s="61"/>
    </row>
    <row r="509" spans="1:8" ht="17.25" x14ac:dyDescent="0.3">
      <c r="A509" s="40">
        <v>14123462</v>
      </c>
      <c r="B509" s="40" t="s">
        <v>517</v>
      </c>
      <c r="C509" s="41" t="s">
        <v>887</v>
      </c>
      <c r="D509" s="41" t="s">
        <v>3</v>
      </c>
      <c r="E509" s="59">
        <v>3.8578650573717952</v>
      </c>
      <c r="F509" s="59">
        <v>3.8958131999999996</v>
      </c>
      <c r="G509" s="60">
        <v>355.58</v>
      </c>
      <c r="H509" s="61"/>
    </row>
    <row r="510" spans="1:8" ht="17.25" x14ac:dyDescent="0.3">
      <c r="A510" s="39">
        <v>14123463</v>
      </c>
      <c r="B510" s="48" t="s">
        <v>512</v>
      </c>
      <c r="C510" s="41" t="s">
        <v>887</v>
      </c>
      <c r="D510" s="41" t="s">
        <v>3</v>
      </c>
      <c r="E510" s="59">
        <v>4.9616087750000011</v>
      </c>
      <c r="F510" s="59">
        <v>5.3869999999999996</v>
      </c>
      <c r="G510" s="60">
        <v>355.58</v>
      </c>
      <c r="H510" s="61"/>
    </row>
    <row r="511" spans="1:8" ht="17.25" x14ac:dyDescent="0.3">
      <c r="A511" s="39">
        <v>14123471</v>
      </c>
      <c r="B511" s="48" t="s">
        <v>513</v>
      </c>
      <c r="C511" s="41" t="s">
        <v>888</v>
      </c>
      <c r="D511" s="41" t="s">
        <v>3</v>
      </c>
      <c r="E511" s="59" t="s">
        <v>920</v>
      </c>
      <c r="F511" s="59" t="s">
        <v>920</v>
      </c>
      <c r="G511" s="60">
        <v>355.58</v>
      </c>
      <c r="H511" s="61"/>
    </row>
    <row r="512" spans="1:8" ht="17.25" x14ac:dyDescent="0.3">
      <c r="A512" s="39">
        <v>14123473</v>
      </c>
      <c r="B512" s="48" t="s">
        <v>514</v>
      </c>
      <c r="C512" s="41" t="s">
        <v>888</v>
      </c>
      <c r="D512" s="41" t="s">
        <v>3</v>
      </c>
      <c r="E512" s="59">
        <v>4.0386569551282054</v>
      </c>
      <c r="F512" s="59">
        <v>4.8068095</v>
      </c>
      <c r="G512" s="60">
        <v>355.58</v>
      </c>
      <c r="H512" s="61"/>
    </row>
    <row r="513" spans="1:8" ht="17.25" x14ac:dyDescent="0.3">
      <c r="A513" s="39">
        <v>14123488</v>
      </c>
      <c r="B513" s="48" t="s">
        <v>515</v>
      </c>
      <c r="C513" s="41" t="s">
        <v>889</v>
      </c>
      <c r="D513" s="41" t="s">
        <v>3</v>
      </c>
      <c r="E513" s="59">
        <v>10.804496562499999</v>
      </c>
      <c r="F513" s="59">
        <v>13.270906</v>
      </c>
      <c r="G513" s="60">
        <v>355.58</v>
      </c>
      <c r="H513" s="61"/>
    </row>
    <row r="514" spans="1:8" ht="17.25" x14ac:dyDescent="0.3">
      <c r="A514" s="39">
        <v>14123489</v>
      </c>
      <c r="B514" s="48" t="s">
        <v>516</v>
      </c>
      <c r="C514" s="41" t="s">
        <v>889</v>
      </c>
      <c r="D514" s="41" t="s">
        <v>3</v>
      </c>
      <c r="E514" s="59">
        <v>3.52</v>
      </c>
      <c r="F514" s="59">
        <v>4.07</v>
      </c>
      <c r="G514" s="60">
        <v>355.58</v>
      </c>
      <c r="H514" s="61"/>
    </row>
    <row r="515" spans="1:8" ht="17.25" x14ac:dyDescent="0.3">
      <c r="A515" s="39">
        <v>14123514</v>
      </c>
      <c r="B515" s="48" t="s">
        <v>519</v>
      </c>
      <c r="C515" s="41" t="s">
        <v>890</v>
      </c>
      <c r="D515" s="41" t="s">
        <v>3</v>
      </c>
      <c r="E515" s="59">
        <v>3.9238213307692309</v>
      </c>
      <c r="F515" s="59">
        <v>4.4585442999999998</v>
      </c>
      <c r="G515" s="60">
        <v>355.58</v>
      </c>
      <c r="H515" s="61"/>
    </row>
    <row r="516" spans="1:8" ht="17.25" x14ac:dyDescent="0.3">
      <c r="A516" s="40">
        <v>14123516</v>
      </c>
      <c r="B516" s="48" t="s">
        <v>520</v>
      </c>
      <c r="C516" s="41" t="s">
        <v>890</v>
      </c>
      <c r="D516" s="41" t="s">
        <v>3</v>
      </c>
      <c r="E516" s="59">
        <v>4.1781465243589739</v>
      </c>
      <c r="F516" s="59">
        <v>4.1280510000000001</v>
      </c>
      <c r="G516" s="60">
        <v>0</v>
      </c>
      <c r="H516" s="61"/>
    </row>
    <row r="517" spans="1:8" ht="17.25" x14ac:dyDescent="0.3">
      <c r="A517" s="39">
        <v>14123519</v>
      </c>
      <c r="B517" s="48" t="s">
        <v>521</v>
      </c>
      <c r="C517" s="41" t="s">
        <v>891</v>
      </c>
      <c r="D517" s="41" t="s">
        <v>3</v>
      </c>
      <c r="E517" s="59">
        <v>4.3199234589743591</v>
      </c>
      <c r="F517" s="59">
        <v>4.3116722333333337</v>
      </c>
      <c r="G517" s="60">
        <v>0</v>
      </c>
      <c r="H517" s="61"/>
    </row>
    <row r="518" spans="1:8" ht="17.25" x14ac:dyDescent="0.3">
      <c r="A518" s="39">
        <v>14123522</v>
      </c>
      <c r="B518" s="48" t="s">
        <v>522</v>
      </c>
      <c r="C518" s="41" t="s">
        <v>891</v>
      </c>
      <c r="D518" s="41" t="s">
        <v>3</v>
      </c>
      <c r="E518" s="59">
        <v>3.2599988910256408</v>
      </c>
      <c r="F518" s="59">
        <v>4.4660892500000005</v>
      </c>
      <c r="G518" s="60">
        <v>355.58</v>
      </c>
      <c r="H518" s="61"/>
    </row>
    <row r="519" spans="1:8" ht="17.25" x14ac:dyDescent="0.3">
      <c r="A519" s="39">
        <v>14123523</v>
      </c>
      <c r="B519" s="48" t="s">
        <v>523</v>
      </c>
      <c r="C519" s="41" t="s">
        <v>891</v>
      </c>
      <c r="D519" s="41" t="s">
        <v>3</v>
      </c>
      <c r="E519" s="59">
        <v>3.9448622149999992</v>
      </c>
      <c r="F519" s="59">
        <v>4.154659033333334</v>
      </c>
      <c r="G519" s="60">
        <v>355.58</v>
      </c>
      <c r="H519" s="61"/>
    </row>
    <row r="520" spans="1:8" ht="17.25" x14ac:dyDescent="0.3">
      <c r="A520" s="39">
        <v>14123526</v>
      </c>
      <c r="B520" s="48" t="s">
        <v>524</v>
      </c>
      <c r="C520" s="41" t="s">
        <v>892</v>
      </c>
      <c r="D520" s="41" t="s">
        <v>3</v>
      </c>
      <c r="E520" s="59">
        <v>3.8544722727272727</v>
      </c>
      <c r="F520" s="59">
        <v>4.3463162000000004</v>
      </c>
      <c r="G520" s="60">
        <v>355.58</v>
      </c>
      <c r="H520" s="61"/>
    </row>
    <row r="521" spans="1:8" ht="17.25" x14ac:dyDescent="0.3">
      <c r="A521" s="40">
        <v>14123527</v>
      </c>
      <c r="B521" s="48" t="s">
        <v>525</v>
      </c>
      <c r="C521" s="41" t="s">
        <v>596</v>
      </c>
      <c r="D521" s="41" t="s">
        <v>3</v>
      </c>
      <c r="E521" s="59">
        <v>4.043035325323566</v>
      </c>
      <c r="F521" s="59">
        <v>5.7803110666666671</v>
      </c>
      <c r="G521" s="60">
        <v>355.58</v>
      </c>
      <c r="H521" s="61"/>
    </row>
    <row r="522" spans="1:8" ht="17.25" x14ac:dyDescent="0.3">
      <c r="A522" s="39">
        <v>14123528</v>
      </c>
      <c r="B522" s="48" t="s">
        <v>526</v>
      </c>
      <c r="C522" s="41" t="s">
        <v>596</v>
      </c>
      <c r="D522" s="41" t="s">
        <v>3</v>
      </c>
      <c r="E522" s="59">
        <v>4.1752207839743587</v>
      </c>
      <c r="F522" s="59">
        <v>5.0501690000000004</v>
      </c>
      <c r="G522" s="60">
        <v>355.58</v>
      </c>
      <c r="H522" s="61"/>
    </row>
    <row r="523" spans="1:8" ht="17.25" x14ac:dyDescent="0.3">
      <c r="A523" s="40">
        <v>14123530</v>
      </c>
      <c r="B523" s="48" t="s">
        <v>527</v>
      </c>
      <c r="C523" s="41" t="s">
        <v>596</v>
      </c>
      <c r="D523" s="41" t="s">
        <v>3</v>
      </c>
      <c r="E523" s="59">
        <v>5.1981644294871794</v>
      </c>
      <c r="F523" s="59">
        <v>5.4044658666666665</v>
      </c>
      <c r="G523" s="60">
        <v>355.58</v>
      </c>
      <c r="H523" s="61"/>
    </row>
    <row r="524" spans="1:8" ht="17.25" x14ac:dyDescent="0.3">
      <c r="A524" s="39">
        <v>14123536</v>
      </c>
      <c r="B524" s="48" t="s">
        <v>528</v>
      </c>
      <c r="C524" s="41" t="s">
        <v>596</v>
      </c>
      <c r="D524" s="41" t="s">
        <v>3</v>
      </c>
      <c r="E524" s="59" t="s">
        <v>920</v>
      </c>
      <c r="F524" s="59" t="s">
        <v>920</v>
      </c>
      <c r="G524" s="60">
        <v>355.58</v>
      </c>
      <c r="H524" s="61"/>
    </row>
    <row r="525" spans="1:8" ht="17.25" x14ac:dyDescent="0.3">
      <c r="A525" s="39">
        <v>14123541</v>
      </c>
      <c r="B525" s="48" t="s">
        <v>529</v>
      </c>
      <c r="C525" s="41" t="s">
        <v>596</v>
      </c>
      <c r="D525" s="41" t="s">
        <v>3</v>
      </c>
      <c r="E525" s="59">
        <v>4.9931033192307694</v>
      </c>
      <c r="F525" s="59">
        <v>4.4996770000000001</v>
      </c>
      <c r="G525" s="60">
        <v>0</v>
      </c>
      <c r="H525" s="61"/>
    </row>
    <row r="526" spans="1:8" ht="17.25" x14ac:dyDescent="0.3">
      <c r="A526" s="39">
        <v>14123557</v>
      </c>
      <c r="B526" s="40" t="s">
        <v>530</v>
      </c>
      <c r="C526" s="41" t="s">
        <v>893</v>
      </c>
      <c r="D526" s="41" t="s">
        <v>3</v>
      </c>
      <c r="E526" s="59">
        <v>4.4690041583333331</v>
      </c>
      <c r="F526" s="59">
        <v>5.7160688333333338</v>
      </c>
      <c r="G526" s="60">
        <v>355.58</v>
      </c>
      <c r="H526" s="61"/>
    </row>
    <row r="527" spans="1:8" ht="17.25" x14ac:dyDescent="0.3">
      <c r="A527" s="39">
        <v>14123559</v>
      </c>
      <c r="B527" s="40" t="s">
        <v>531</v>
      </c>
      <c r="C527" s="41" t="s">
        <v>893</v>
      </c>
      <c r="D527" s="41" t="s">
        <v>3</v>
      </c>
      <c r="E527" s="59">
        <v>4.0102547692307686</v>
      </c>
      <c r="F527" s="59">
        <v>4.9294214499999995</v>
      </c>
      <c r="G527" s="60">
        <v>355.58</v>
      </c>
      <c r="H527" s="61"/>
    </row>
    <row r="528" spans="1:8" ht="17.25" x14ac:dyDescent="0.3">
      <c r="A528" s="39">
        <v>14123562</v>
      </c>
      <c r="B528" s="48" t="s">
        <v>532</v>
      </c>
      <c r="C528" s="41" t="s">
        <v>893</v>
      </c>
      <c r="D528" s="41" t="s">
        <v>3</v>
      </c>
      <c r="E528" s="59" t="s">
        <v>920</v>
      </c>
      <c r="F528" s="59" t="s">
        <v>920</v>
      </c>
      <c r="G528" s="60">
        <v>355.58</v>
      </c>
      <c r="H528" s="61"/>
    </row>
    <row r="529" spans="1:8" ht="17.25" x14ac:dyDescent="0.3">
      <c r="A529" s="39">
        <v>14123568</v>
      </c>
      <c r="B529" s="40" t="s">
        <v>533</v>
      </c>
      <c r="C529" s="41" t="s">
        <v>894</v>
      </c>
      <c r="D529" s="41" t="s">
        <v>3</v>
      </c>
      <c r="E529" s="59">
        <v>3.73</v>
      </c>
      <c r="F529" s="59">
        <v>3.54</v>
      </c>
      <c r="G529" s="60">
        <v>0</v>
      </c>
      <c r="H529" s="61"/>
    </row>
    <row r="530" spans="1:8" ht="17.25" x14ac:dyDescent="0.3">
      <c r="A530" s="39">
        <v>14123569</v>
      </c>
      <c r="B530" s="48" t="s">
        <v>534</v>
      </c>
      <c r="C530" s="41" t="s">
        <v>894</v>
      </c>
      <c r="D530" s="41" t="s">
        <v>3</v>
      </c>
      <c r="E530" s="59">
        <v>4.6345071141025649</v>
      </c>
      <c r="F530" s="59">
        <v>5.3128034999999993</v>
      </c>
      <c r="G530" s="60">
        <v>355.58</v>
      </c>
      <c r="H530" s="61"/>
    </row>
    <row r="531" spans="1:8" ht="17.25" x14ac:dyDescent="0.3">
      <c r="A531" s="39">
        <v>14123570</v>
      </c>
      <c r="B531" s="48" t="s">
        <v>535</v>
      </c>
      <c r="C531" s="41" t="s">
        <v>894</v>
      </c>
      <c r="D531" s="41" t="s">
        <v>3</v>
      </c>
      <c r="E531" s="59">
        <v>2.739242405128206</v>
      </c>
      <c r="F531" s="59">
        <v>4.3073125000000001</v>
      </c>
      <c r="G531" s="60">
        <v>355.58</v>
      </c>
      <c r="H531" s="61"/>
    </row>
    <row r="532" spans="1:8" ht="17.25" x14ac:dyDescent="0.3">
      <c r="A532" s="39">
        <v>14123571</v>
      </c>
      <c r="B532" s="48" t="s">
        <v>536</v>
      </c>
      <c r="C532" s="41" t="s">
        <v>894</v>
      </c>
      <c r="D532" s="41" t="s">
        <v>3</v>
      </c>
      <c r="E532" s="59">
        <v>4.2003433181818179</v>
      </c>
      <c r="F532" s="59">
        <v>4.2354745999999999</v>
      </c>
      <c r="G532" s="60">
        <v>355.58</v>
      </c>
      <c r="H532" s="61"/>
    </row>
    <row r="533" spans="1:8" ht="17.25" x14ac:dyDescent="0.3">
      <c r="A533" s="39">
        <v>14123572</v>
      </c>
      <c r="B533" s="48" t="s">
        <v>537</v>
      </c>
      <c r="C533" s="41" t="s">
        <v>895</v>
      </c>
      <c r="D533" s="41" t="s">
        <v>3</v>
      </c>
      <c r="E533" s="59">
        <v>4.1471954615384607</v>
      </c>
      <c r="F533" s="59">
        <v>3.7229641</v>
      </c>
      <c r="G533" s="60">
        <v>0</v>
      </c>
      <c r="H533" s="61"/>
    </row>
    <row r="534" spans="1:8" ht="17.25" x14ac:dyDescent="0.3">
      <c r="A534" s="40">
        <v>14123573</v>
      </c>
      <c r="B534" s="48" t="s">
        <v>538</v>
      </c>
      <c r="C534" s="41" t="s">
        <v>895</v>
      </c>
      <c r="D534" s="41" t="s">
        <v>3</v>
      </c>
      <c r="E534" s="59">
        <v>3.79</v>
      </c>
      <c r="F534" s="59">
        <v>4.03</v>
      </c>
      <c r="G534" s="60">
        <v>355.58</v>
      </c>
      <c r="H534" s="61"/>
    </row>
    <row r="535" spans="1:8" ht="17.25" x14ac:dyDescent="0.3">
      <c r="A535" s="39">
        <v>14123591</v>
      </c>
      <c r="B535" s="48" t="s">
        <v>539</v>
      </c>
      <c r="C535" s="41" t="s">
        <v>589</v>
      </c>
      <c r="D535" s="41" t="s">
        <v>3</v>
      </c>
      <c r="E535" s="59" t="s">
        <v>920</v>
      </c>
      <c r="F535" s="59" t="s">
        <v>920</v>
      </c>
      <c r="G535" s="60">
        <v>355.58</v>
      </c>
      <c r="H535" s="61"/>
    </row>
    <row r="536" spans="1:8" ht="17.25" x14ac:dyDescent="0.3">
      <c r="A536" s="39">
        <v>14123599</v>
      </c>
      <c r="B536" s="48" t="s">
        <v>540</v>
      </c>
      <c r="C536" s="41" t="s">
        <v>589</v>
      </c>
      <c r="D536" s="41" t="s">
        <v>3</v>
      </c>
      <c r="E536" s="59">
        <v>2.8611054294444447</v>
      </c>
      <c r="F536" s="59">
        <v>3.3795058666666669</v>
      </c>
      <c r="G536" s="60">
        <v>355.58</v>
      </c>
      <c r="H536" s="61"/>
    </row>
    <row r="537" spans="1:8" ht="17.25" x14ac:dyDescent="0.3">
      <c r="A537" s="40">
        <v>14123629</v>
      </c>
      <c r="B537" s="48" t="s">
        <v>541</v>
      </c>
      <c r="C537" s="41" t="s">
        <v>896</v>
      </c>
      <c r="D537" s="41" t="s">
        <v>3</v>
      </c>
      <c r="E537" s="59" t="s">
        <v>920</v>
      </c>
      <c r="F537" s="59" t="s">
        <v>920</v>
      </c>
      <c r="G537" s="60">
        <v>355.58</v>
      </c>
      <c r="H537" s="61"/>
    </row>
    <row r="538" spans="1:8" ht="17.25" x14ac:dyDescent="0.3">
      <c r="A538" s="39">
        <v>14123634</v>
      </c>
      <c r="B538" s="48" t="s">
        <v>897</v>
      </c>
      <c r="C538" s="41" t="s">
        <v>898</v>
      </c>
      <c r="D538" s="41" t="s">
        <v>3</v>
      </c>
      <c r="E538" s="59">
        <v>3.3964744541666665</v>
      </c>
      <c r="F538" s="59">
        <v>0.74550000000000005</v>
      </c>
      <c r="G538" s="60">
        <v>0</v>
      </c>
      <c r="H538" s="61"/>
    </row>
    <row r="539" spans="1:8" ht="17.25" x14ac:dyDescent="0.3">
      <c r="A539" s="40">
        <v>14123635</v>
      </c>
      <c r="B539" s="48" t="s">
        <v>899</v>
      </c>
      <c r="C539" s="41" t="s">
        <v>898</v>
      </c>
      <c r="D539" s="41" t="s">
        <v>3</v>
      </c>
      <c r="E539" s="59" t="s">
        <v>921</v>
      </c>
      <c r="F539" s="59" t="s">
        <v>921</v>
      </c>
      <c r="G539" s="60">
        <v>355.58</v>
      </c>
      <c r="H539" s="61"/>
    </row>
    <row r="540" spans="1:8" ht="17.25" x14ac:dyDescent="0.3">
      <c r="A540" s="39">
        <v>14123640</v>
      </c>
      <c r="B540" s="48" t="s">
        <v>900</v>
      </c>
      <c r="C540" s="41" t="s">
        <v>898</v>
      </c>
      <c r="D540" s="41" t="s">
        <v>3</v>
      </c>
      <c r="E540" s="59">
        <v>4.38</v>
      </c>
      <c r="F540" s="59">
        <v>4.5234326999999999</v>
      </c>
      <c r="G540" s="60">
        <v>355.58</v>
      </c>
      <c r="H540" s="61"/>
    </row>
    <row r="541" spans="1:8" ht="17.25" x14ac:dyDescent="0.3">
      <c r="A541" s="39">
        <v>14123642</v>
      </c>
      <c r="B541" s="40" t="s">
        <v>901</v>
      </c>
      <c r="C541" s="41" t="s">
        <v>898</v>
      </c>
      <c r="D541" s="41" t="s">
        <v>3</v>
      </c>
      <c r="E541" s="59">
        <v>8.809712243589745</v>
      </c>
      <c r="F541" s="59">
        <v>9.7859898999999988</v>
      </c>
      <c r="G541" s="60">
        <v>355.58</v>
      </c>
      <c r="H541" s="61"/>
    </row>
    <row r="542" spans="1:8" ht="17.25" x14ac:dyDescent="0.3">
      <c r="A542" s="40">
        <v>14123649</v>
      </c>
      <c r="B542" s="48" t="s">
        <v>902</v>
      </c>
      <c r="C542" s="41" t="s">
        <v>903</v>
      </c>
      <c r="D542" s="41" t="s">
        <v>3</v>
      </c>
      <c r="E542" s="59">
        <v>3.8204948807692314</v>
      </c>
      <c r="F542" s="59">
        <v>5.4104962749999999</v>
      </c>
      <c r="G542" s="60">
        <v>355.58</v>
      </c>
      <c r="H542" s="61"/>
    </row>
    <row r="543" spans="1:8" ht="17.25" x14ac:dyDescent="0.3">
      <c r="A543" s="40">
        <v>14123651</v>
      </c>
      <c r="B543" s="48" t="s">
        <v>904</v>
      </c>
      <c r="C543" s="41" t="s">
        <v>903</v>
      </c>
      <c r="D543" s="41" t="s">
        <v>3</v>
      </c>
      <c r="E543" s="59">
        <v>2.8422280660256414</v>
      </c>
      <c r="F543" s="59">
        <v>3.13605175</v>
      </c>
      <c r="G543" s="60">
        <v>355.58</v>
      </c>
      <c r="H543" s="61"/>
    </row>
    <row r="544" spans="1:8" ht="17.25" x14ac:dyDescent="0.3">
      <c r="A544" s="40">
        <v>14123652</v>
      </c>
      <c r="B544" s="48" t="s">
        <v>905</v>
      </c>
      <c r="C544" s="41" t="s">
        <v>903</v>
      </c>
      <c r="D544" s="41" t="s">
        <v>3</v>
      </c>
      <c r="E544" s="59">
        <v>4.1336947532051287</v>
      </c>
      <c r="F544" s="59">
        <v>4.1541847999999995</v>
      </c>
      <c r="G544" s="60">
        <v>355.58</v>
      </c>
      <c r="H544" s="61"/>
    </row>
    <row r="545" spans="1:8" ht="17.25" x14ac:dyDescent="0.3">
      <c r="A545" s="40">
        <v>14123654</v>
      </c>
      <c r="B545" s="48" t="s">
        <v>934</v>
      </c>
      <c r="C545" s="41" t="s">
        <v>932</v>
      </c>
      <c r="D545" s="41" t="s">
        <v>3</v>
      </c>
      <c r="E545" s="59">
        <v>3.8257239205128206</v>
      </c>
      <c r="F545" s="59">
        <v>4.3195979500000004</v>
      </c>
      <c r="G545" s="60">
        <v>355.58</v>
      </c>
      <c r="H545" s="61"/>
    </row>
    <row r="546" spans="1:8" ht="17.25" x14ac:dyDescent="0.3">
      <c r="A546" s="39">
        <v>14123655</v>
      </c>
      <c r="B546" s="48" t="s">
        <v>935</v>
      </c>
      <c r="C546" s="41" t="s">
        <v>932</v>
      </c>
      <c r="D546" s="41" t="s">
        <v>3</v>
      </c>
      <c r="E546" s="59" t="s">
        <v>920</v>
      </c>
      <c r="F546" s="59" t="s">
        <v>920</v>
      </c>
      <c r="G546" s="60">
        <v>355.58</v>
      </c>
      <c r="H546" s="61"/>
    </row>
    <row r="547" spans="1:8" ht="17.25" x14ac:dyDescent="0.3">
      <c r="A547" s="39">
        <v>14123656</v>
      </c>
      <c r="B547" s="48" t="s">
        <v>936</v>
      </c>
      <c r="C547" s="41" t="s">
        <v>932</v>
      </c>
      <c r="D547" s="41" t="s">
        <v>3</v>
      </c>
      <c r="E547" s="59">
        <v>3.6071728041666664</v>
      </c>
      <c r="F547" s="59">
        <v>4.1490954999999996</v>
      </c>
      <c r="G547" s="60">
        <v>355.58</v>
      </c>
      <c r="H547" s="61"/>
    </row>
    <row r="548" spans="1:8" ht="17.25" x14ac:dyDescent="0.3">
      <c r="A548" s="39">
        <v>14123657</v>
      </c>
      <c r="B548" s="48" t="s">
        <v>937</v>
      </c>
      <c r="C548" s="41" t="s">
        <v>932</v>
      </c>
      <c r="D548" s="41" t="s">
        <v>3</v>
      </c>
      <c r="E548" s="59">
        <v>4.4263550899999995</v>
      </c>
      <c r="F548" s="59">
        <v>4.548</v>
      </c>
      <c r="G548" s="60">
        <v>355.58</v>
      </c>
      <c r="H548" s="61"/>
    </row>
    <row r="549" spans="1:8" ht="17.25" x14ac:dyDescent="0.3">
      <c r="A549" s="39">
        <v>14123696</v>
      </c>
      <c r="B549" s="48" t="s">
        <v>938</v>
      </c>
      <c r="C549" s="41" t="s">
        <v>939</v>
      </c>
      <c r="D549" s="41" t="s">
        <v>3</v>
      </c>
      <c r="E549" s="59">
        <v>8.82077688888889</v>
      </c>
      <c r="F549" s="59">
        <v>12.999236</v>
      </c>
      <c r="G549" s="60">
        <v>355.58</v>
      </c>
      <c r="H549" s="61"/>
    </row>
    <row r="550" spans="1:8" ht="17.25" x14ac:dyDescent="0.3">
      <c r="A550" s="39">
        <v>14123702</v>
      </c>
      <c r="B550" s="48" t="s">
        <v>940</v>
      </c>
      <c r="C550" s="41" t="s">
        <v>941</v>
      </c>
      <c r="D550" s="41" t="s">
        <v>3</v>
      </c>
      <c r="E550" s="59">
        <v>3.696903484615385</v>
      </c>
      <c r="F550" s="59">
        <v>3.8410000000000002</v>
      </c>
      <c r="G550" s="60">
        <v>355.58</v>
      </c>
      <c r="H550" s="61"/>
    </row>
    <row r="551" spans="1:8" ht="17.25" x14ac:dyDescent="0.3">
      <c r="A551" s="39">
        <v>14123704</v>
      </c>
      <c r="B551" s="48" t="s">
        <v>942</v>
      </c>
      <c r="C551" s="41" t="s">
        <v>943</v>
      </c>
      <c r="D551" s="41" t="s">
        <v>3</v>
      </c>
      <c r="E551" s="59">
        <v>2.9027915555555559</v>
      </c>
      <c r="F551" s="59">
        <v>4.1897954999999998</v>
      </c>
      <c r="G551" s="60">
        <v>355.58</v>
      </c>
      <c r="H551" s="61"/>
    </row>
    <row r="552" spans="1:8" ht="17.25" x14ac:dyDescent="0.3">
      <c r="A552" s="40">
        <v>14123708</v>
      </c>
      <c r="B552" s="48" t="s">
        <v>945</v>
      </c>
      <c r="C552" s="41" t="s">
        <v>944</v>
      </c>
      <c r="D552" s="41" t="s">
        <v>3</v>
      </c>
      <c r="E552" s="59">
        <v>3.43</v>
      </c>
      <c r="F552" s="59">
        <v>3.43</v>
      </c>
      <c r="G552" s="60">
        <v>355.58</v>
      </c>
      <c r="H552" s="61"/>
    </row>
    <row r="553" spans="1:8" ht="17.25" x14ac:dyDescent="0.3">
      <c r="A553" s="40">
        <v>14123709</v>
      </c>
      <c r="B553" s="40" t="s">
        <v>946</v>
      </c>
      <c r="C553" s="41" t="s">
        <v>944</v>
      </c>
      <c r="D553" s="41" t="s">
        <v>3</v>
      </c>
      <c r="E553" s="59">
        <v>3.609470458974358</v>
      </c>
      <c r="F553" s="59">
        <v>4.4064399999999999</v>
      </c>
      <c r="G553" s="60">
        <v>355.58</v>
      </c>
      <c r="H553" s="61"/>
    </row>
    <row r="554" spans="1:8" ht="17.25" x14ac:dyDescent="0.3">
      <c r="A554" s="40">
        <v>14123719</v>
      </c>
      <c r="B554" s="40" t="s">
        <v>953</v>
      </c>
      <c r="C554" s="41" t="s">
        <v>954</v>
      </c>
      <c r="D554" s="41" t="s">
        <v>3</v>
      </c>
      <c r="E554" s="59">
        <v>4.43</v>
      </c>
      <c r="F554" s="59">
        <v>4.7</v>
      </c>
      <c r="G554" s="60">
        <v>355.58</v>
      </c>
      <c r="H554" s="61"/>
    </row>
    <row r="555" spans="1:8" ht="17.25" x14ac:dyDescent="0.3">
      <c r="A555" s="39">
        <v>14123720</v>
      </c>
      <c r="B555" s="48" t="s">
        <v>955</v>
      </c>
      <c r="C555" s="41" t="s">
        <v>954</v>
      </c>
      <c r="D555" s="41" t="s">
        <v>3</v>
      </c>
      <c r="E555" s="59">
        <v>4.51</v>
      </c>
      <c r="F555" s="59">
        <v>4.4734360000000004</v>
      </c>
      <c r="G555" s="60">
        <v>0</v>
      </c>
      <c r="H555" s="61"/>
    </row>
    <row r="556" spans="1:8" ht="17.25" x14ac:dyDescent="0.3">
      <c r="A556" s="39">
        <v>14123725</v>
      </c>
      <c r="B556" s="48" t="s">
        <v>956</v>
      </c>
      <c r="C556" s="41" t="s">
        <v>954</v>
      </c>
      <c r="D556" s="41" t="s">
        <v>3</v>
      </c>
      <c r="E556" s="59">
        <v>3.5981729199999997</v>
      </c>
      <c r="F556" s="59">
        <v>3.4176498500000001</v>
      </c>
      <c r="G556" s="60">
        <v>0</v>
      </c>
      <c r="H556" s="61"/>
    </row>
    <row r="557" spans="1:8" ht="17.25" x14ac:dyDescent="0.3">
      <c r="A557" s="39">
        <v>14123754</v>
      </c>
      <c r="B557" s="48" t="s">
        <v>957</v>
      </c>
      <c r="C557" s="41" t="s">
        <v>958</v>
      </c>
      <c r="D557" s="41" t="s">
        <v>3</v>
      </c>
      <c r="E557" s="59">
        <v>3.7338981893939391</v>
      </c>
      <c r="F557" s="59">
        <v>4.6901107</v>
      </c>
      <c r="G557" s="60">
        <v>355.58</v>
      </c>
      <c r="H557" s="61"/>
    </row>
    <row r="558" spans="1:8" ht="17.25" x14ac:dyDescent="0.3">
      <c r="A558" s="39">
        <v>14123770</v>
      </c>
      <c r="B558" s="48" t="s">
        <v>959</v>
      </c>
      <c r="C558" s="41" t="s">
        <v>952</v>
      </c>
      <c r="D558" s="41" t="s">
        <v>3</v>
      </c>
      <c r="E558" s="59">
        <v>4.47</v>
      </c>
      <c r="F558" s="59">
        <v>4.8099999999999996</v>
      </c>
      <c r="G558" s="60">
        <v>355.58</v>
      </c>
      <c r="H558" s="61"/>
    </row>
    <row r="559" spans="1:8" ht="17.25" x14ac:dyDescent="0.3">
      <c r="A559" s="39">
        <v>14123771</v>
      </c>
      <c r="B559" s="48" t="s">
        <v>960</v>
      </c>
      <c r="C559" s="41" t="s">
        <v>952</v>
      </c>
      <c r="D559" s="41" t="s">
        <v>3</v>
      </c>
      <c r="E559" s="59">
        <v>3.31</v>
      </c>
      <c r="F559" s="59">
        <v>4.47</v>
      </c>
      <c r="G559" s="60">
        <v>355.58</v>
      </c>
      <c r="H559" s="61"/>
    </row>
    <row r="560" spans="1:8" ht="17.25" x14ac:dyDescent="0.3">
      <c r="A560" s="39">
        <v>14123786</v>
      </c>
      <c r="B560" s="48" t="s">
        <v>961</v>
      </c>
      <c r="C560" s="41" t="s">
        <v>962</v>
      </c>
      <c r="D560" s="41" t="s">
        <v>3</v>
      </c>
      <c r="E560" s="59">
        <v>4.1100000000000003</v>
      </c>
      <c r="F560" s="59">
        <v>3.12</v>
      </c>
      <c r="G560" s="60">
        <v>0</v>
      </c>
      <c r="H560" s="61"/>
    </row>
    <row r="561" spans="1:8" ht="17.25" x14ac:dyDescent="0.3">
      <c r="A561" s="39">
        <v>14123787</v>
      </c>
      <c r="B561" s="48" t="s">
        <v>963</v>
      </c>
      <c r="C561" s="41" t="s">
        <v>962</v>
      </c>
      <c r="D561" s="41" t="s">
        <v>3</v>
      </c>
      <c r="E561" s="59">
        <v>3.98</v>
      </c>
      <c r="F561" s="59">
        <v>4.12</v>
      </c>
      <c r="G561" s="60">
        <v>355.58</v>
      </c>
      <c r="H561" s="61"/>
    </row>
    <row r="562" spans="1:8" ht="17.25" x14ac:dyDescent="0.3">
      <c r="A562" s="39">
        <v>14123789</v>
      </c>
      <c r="B562" s="48" t="s">
        <v>964</v>
      </c>
      <c r="C562" s="41" t="s">
        <v>962</v>
      </c>
      <c r="D562" s="41" t="s">
        <v>3</v>
      </c>
      <c r="E562" s="59">
        <v>3.29</v>
      </c>
      <c r="F562" s="59">
        <v>4.3600000000000003</v>
      </c>
      <c r="G562" s="60">
        <v>355.58</v>
      </c>
      <c r="H562" s="61"/>
    </row>
    <row r="563" spans="1:8" ht="17.25" x14ac:dyDescent="0.3">
      <c r="A563" s="39">
        <v>14123808</v>
      </c>
      <c r="B563" s="48" t="s">
        <v>965</v>
      </c>
      <c r="C563" s="41" t="s">
        <v>966</v>
      </c>
      <c r="D563" s="41" t="s">
        <v>3</v>
      </c>
      <c r="E563" s="59">
        <v>3.83</v>
      </c>
      <c r="F563" s="59">
        <v>3.59</v>
      </c>
      <c r="G563" s="60">
        <v>0</v>
      </c>
      <c r="H563" s="61"/>
    </row>
    <row r="564" spans="1:8" ht="17.25" x14ac:dyDescent="0.3">
      <c r="A564" s="40">
        <v>14123819</v>
      </c>
      <c r="B564" s="40" t="s">
        <v>967</v>
      </c>
      <c r="C564" s="41" t="s">
        <v>968</v>
      </c>
      <c r="D564" s="41" t="s">
        <v>3</v>
      </c>
      <c r="E564" s="59">
        <v>4.72</v>
      </c>
      <c r="F564" s="59">
        <v>4.45</v>
      </c>
      <c r="G564" s="60">
        <v>0</v>
      </c>
      <c r="H564" s="61"/>
    </row>
    <row r="565" spans="1:8" ht="17.25" x14ac:dyDescent="0.3">
      <c r="A565" s="39">
        <v>14123843</v>
      </c>
      <c r="B565" s="48" t="s">
        <v>970</v>
      </c>
      <c r="C565" s="41" t="s">
        <v>971</v>
      </c>
      <c r="D565" s="41" t="s">
        <v>3</v>
      </c>
      <c r="E565" s="59">
        <v>4.18</v>
      </c>
      <c r="F565" s="59">
        <v>3.8</v>
      </c>
      <c r="G565" s="60">
        <v>0</v>
      </c>
      <c r="H565" s="61"/>
    </row>
    <row r="566" spans="1:8" ht="17.25" x14ac:dyDescent="0.3">
      <c r="A566" s="40">
        <v>14123844</v>
      </c>
      <c r="B566" s="48" t="s">
        <v>972</v>
      </c>
      <c r="C566" s="41" t="s">
        <v>971</v>
      </c>
      <c r="D566" s="41" t="s">
        <v>3</v>
      </c>
      <c r="E566" s="59">
        <v>5.36</v>
      </c>
      <c r="F566" s="59">
        <v>6.06</v>
      </c>
      <c r="G566" s="60">
        <v>355.58</v>
      </c>
      <c r="H566" s="61"/>
    </row>
    <row r="567" spans="1:8" ht="17.25" x14ac:dyDescent="0.3">
      <c r="A567" s="39">
        <v>14123845</v>
      </c>
      <c r="B567" s="40" t="s">
        <v>973</v>
      </c>
      <c r="C567" s="41" t="s">
        <v>971</v>
      </c>
      <c r="D567" s="41" t="s">
        <v>3</v>
      </c>
      <c r="E567" s="59">
        <v>3.55</v>
      </c>
      <c r="F567" s="59">
        <v>3.83</v>
      </c>
      <c r="G567" s="60">
        <v>355.58</v>
      </c>
      <c r="H567" s="61"/>
    </row>
    <row r="568" spans="1:8" ht="17.25" x14ac:dyDescent="0.3">
      <c r="A568" s="39">
        <v>14123846</v>
      </c>
      <c r="B568" s="48" t="s">
        <v>974</v>
      </c>
      <c r="C568" s="41" t="s">
        <v>971</v>
      </c>
      <c r="D568" s="41" t="s">
        <v>3</v>
      </c>
      <c r="E568" s="59" t="s">
        <v>987</v>
      </c>
      <c r="F568" s="59" t="s">
        <v>987</v>
      </c>
      <c r="G568" s="60">
        <v>0</v>
      </c>
      <c r="H568" s="61"/>
    </row>
    <row r="569" spans="1:8" ht="17.25" x14ac:dyDescent="0.3">
      <c r="A569" s="39">
        <v>14123855</v>
      </c>
      <c r="B569" s="48" t="s">
        <v>975</v>
      </c>
      <c r="C569" s="41" t="s">
        <v>971</v>
      </c>
      <c r="D569" s="41" t="s">
        <v>3</v>
      </c>
      <c r="E569" s="59">
        <v>2.8</v>
      </c>
      <c r="F569" s="59">
        <v>3.84</v>
      </c>
      <c r="G569" s="60">
        <v>355.58</v>
      </c>
      <c r="H569" s="61"/>
    </row>
    <row r="570" spans="1:8" ht="17.25" x14ac:dyDescent="0.3">
      <c r="A570" s="39">
        <v>14123884</v>
      </c>
      <c r="B570" s="48" t="s">
        <v>976</v>
      </c>
      <c r="C570" s="41" t="s">
        <v>977</v>
      </c>
      <c r="D570" s="41" t="s">
        <v>3</v>
      </c>
      <c r="E570" s="59">
        <v>4.1100000000000003</v>
      </c>
      <c r="F570" s="59">
        <v>3.01</v>
      </c>
      <c r="G570" s="60">
        <v>0</v>
      </c>
      <c r="H570" s="61"/>
    </row>
    <row r="571" spans="1:8" ht="17.25" x14ac:dyDescent="0.3">
      <c r="A571" s="39">
        <v>14123885</v>
      </c>
      <c r="B571" s="48" t="s">
        <v>978</v>
      </c>
      <c r="C571" s="41" t="s">
        <v>977</v>
      </c>
      <c r="D571" s="41" t="s">
        <v>3</v>
      </c>
      <c r="E571" s="59">
        <v>3.88</v>
      </c>
      <c r="F571" s="59">
        <v>4.0999999999999996</v>
      </c>
      <c r="G571" s="60">
        <v>355.58</v>
      </c>
      <c r="H571" s="61"/>
    </row>
    <row r="572" spans="1:8" ht="17.25" x14ac:dyDescent="0.3">
      <c r="A572" s="48">
        <v>14123893</v>
      </c>
      <c r="B572" s="40" t="s">
        <v>979</v>
      </c>
      <c r="C572" s="41" t="s">
        <v>980</v>
      </c>
      <c r="D572" s="41" t="s">
        <v>3</v>
      </c>
      <c r="E572" s="59" t="s">
        <v>987</v>
      </c>
      <c r="F572" s="59" t="s">
        <v>987</v>
      </c>
      <c r="G572" s="60">
        <v>0</v>
      </c>
      <c r="H572" s="61"/>
    </row>
    <row r="573" spans="1:8" ht="17.25" x14ac:dyDescent="0.3">
      <c r="A573" s="48">
        <v>14123894</v>
      </c>
      <c r="B573" s="40" t="s">
        <v>981</v>
      </c>
      <c r="C573" s="41" t="s">
        <v>980</v>
      </c>
      <c r="D573" s="41" t="s">
        <v>3</v>
      </c>
      <c r="E573" s="59">
        <v>4.17</v>
      </c>
      <c r="F573" s="59">
        <v>4.28</v>
      </c>
      <c r="G573" s="60">
        <v>355.58</v>
      </c>
      <c r="H573" s="61"/>
    </row>
    <row r="574" spans="1:8" ht="17.25" x14ac:dyDescent="0.3">
      <c r="A574" s="40">
        <v>14123917</v>
      </c>
      <c r="B574" s="40" t="s">
        <v>989</v>
      </c>
      <c r="C574" s="41" t="s">
        <v>990</v>
      </c>
      <c r="D574" s="41" t="s">
        <v>3</v>
      </c>
      <c r="E574" s="59" t="s">
        <v>987</v>
      </c>
      <c r="F574" s="59" t="s">
        <v>987</v>
      </c>
      <c r="G574" s="60">
        <v>0</v>
      </c>
      <c r="H574" s="61"/>
    </row>
    <row r="575" spans="1:8" ht="17.25" x14ac:dyDescent="0.3">
      <c r="A575" s="109">
        <v>14123918</v>
      </c>
      <c r="B575" s="111" t="s">
        <v>991</v>
      </c>
      <c r="C575" s="110" t="s">
        <v>990</v>
      </c>
      <c r="D575" s="110" t="s">
        <v>3</v>
      </c>
      <c r="E575" s="59">
        <v>4.46</v>
      </c>
      <c r="F575" s="59">
        <v>5.4</v>
      </c>
      <c r="G575" s="60">
        <v>355.58</v>
      </c>
      <c r="H575" s="61"/>
    </row>
    <row r="576" spans="1:8" ht="17.25" x14ac:dyDescent="0.3">
      <c r="A576" s="109">
        <v>14123919</v>
      </c>
      <c r="B576" s="111" t="s">
        <v>992</v>
      </c>
      <c r="C576" s="110" t="s">
        <v>990</v>
      </c>
      <c r="D576" s="110" t="s">
        <v>3</v>
      </c>
      <c r="E576" s="59">
        <v>4.62</v>
      </c>
      <c r="F576" s="59">
        <v>4.7300000000000004</v>
      </c>
      <c r="G576" s="60">
        <v>355.58</v>
      </c>
      <c r="H576" s="61"/>
    </row>
    <row r="577" spans="1:8" ht="17.25" x14ac:dyDescent="0.3">
      <c r="A577" s="109">
        <v>14123920</v>
      </c>
      <c r="B577" s="109" t="s">
        <v>993</v>
      </c>
      <c r="C577" s="110" t="s">
        <v>990</v>
      </c>
      <c r="D577" s="110" t="s">
        <v>3</v>
      </c>
      <c r="E577" s="59">
        <v>3.29</v>
      </c>
      <c r="F577" s="59">
        <v>3.16</v>
      </c>
      <c r="G577" s="60">
        <v>0</v>
      </c>
      <c r="H577" s="61"/>
    </row>
    <row r="578" spans="1:8" ht="17.25" x14ac:dyDescent="0.3">
      <c r="A578" s="111">
        <v>14123925</v>
      </c>
      <c r="B578" s="111" t="s">
        <v>994</v>
      </c>
      <c r="C578" s="110" t="s">
        <v>986</v>
      </c>
      <c r="D578" s="110" t="s">
        <v>3</v>
      </c>
      <c r="E578" s="59">
        <v>4.2300000000000004</v>
      </c>
      <c r="F578" s="59">
        <v>4.6100000000000003</v>
      </c>
      <c r="G578" s="60">
        <v>355.58</v>
      </c>
      <c r="H578" s="61"/>
    </row>
    <row r="579" spans="1:8" ht="17.25" x14ac:dyDescent="0.3">
      <c r="A579" s="111">
        <v>14123926</v>
      </c>
      <c r="B579" s="111" t="s">
        <v>995</v>
      </c>
      <c r="C579" s="110" t="s">
        <v>986</v>
      </c>
      <c r="D579" s="110" t="s">
        <v>3</v>
      </c>
      <c r="E579" s="59">
        <v>3.55</v>
      </c>
      <c r="F579" s="59">
        <v>3.63</v>
      </c>
      <c r="G579" s="60">
        <v>355.58</v>
      </c>
      <c r="H579" s="61"/>
    </row>
    <row r="580" spans="1:8" ht="17.25" x14ac:dyDescent="0.3">
      <c r="A580" s="112">
        <v>14123927</v>
      </c>
      <c r="B580" s="112" t="s">
        <v>996</v>
      </c>
      <c r="C580" s="110" t="s">
        <v>986</v>
      </c>
      <c r="D580" s="110" t="s">
        <v>3</v>
      </c>
      <c r="E580" s="59">
        <v>3.92</v>
      </c>
      <c r="F580" s="59">
        <v>3.13</v>
      </c>
      <c r="G580" s="60">
        <v>0</v>
      </c>
      <c r="H580" s="61"/>
    </row>
    <row r="581" spans="1:8" ht="17.25" x14ac:dyDescent="0.3">
      <c r="A581" s="112">
        <v>14123950</v>
      </c>
      <c r="B581" s="112" t="s">
        <v>997</v>
      </c>
      <c r="C581" s="110" t="s">
        <v>986</v>
      </c>
      <c r="D581" s="110" t="s">
        <v>3</v>
      </c>
      <c r="E581" s="59">
        <v>4.1500000000000004</v>
      </c>
      <c r="F581" s="59">
        <v>3.55</v>
      </c>
      <c r="G581" s="60">
        <v>0</v>
      </c>
      <c r="H581" s="61"/>
    </row>
    <row r="582" spans="1:8" ht="17.25" x14ac:dyDescent="0.3">
      <c r="A582" s="112">
        <v>14123951</v>
      </c>
      <c r="B582" s="112" t="s">
        <v>998</v>
      </c>
      <c r="C582" s="110" t="s">
        <v>986</v>
      </c>
      <c r="D582" s="110" t="s">
        <v>3</v>
      </c>
      <c r="E582" s="59">
        <v>7.19</v>
      </c>
      <c r="F582" s="59">
        <v>7.49</v>
      </c>
      <c r="G582" s="60">
        <v>355.58</v>
      </c>
      <c r="H582" s="61"/>
    </row>
    <row r="583" spans="1:8" ht="17.25" x14ac:dyDescent="0.3">
      <c r="A583" s="112">
        <v>14123971</v>
      </c>
      <c r="B583" s="112" t="s">
        <v>999</v>
      </c>
      <c r="C583" s="110" t="s">
        <v>1000</v>
      </c>
      <c r="D583" s="110" t="s">
        <v>3</v>
      </c>
      <c r="E583" s="59">
        <v>3.18</v>
      </c>
      <c r="F583" s="59">
        <v>3.79</v>
      </c>
      <c r="G583" s="60">
        <v>355.58</v>
      </c>
      <c r="H583" s="61"/>
    </row>
    <row r="584" spans="1:8" ht="17.25" x14ac:dyDescent="0.3">
      <c r="A584" s="112">
        <v>14123985</v>
      </c>
      <c r="B584" s="112" t="s">
        <v>1001</v>
      </c>
      <c r="C584" s="110" t="s">
        <v>1000</v>
      </c>
      <c r="D584" s="110" t="s">
        <v>3</v>
      </c>
      <c r="E584" s="59">
        <v>9.9600000000000009</v>
      </c>
      <c r="F584" s="59">
        <v>9.5299999999999994</v>
      </c>
      <c r="G584" s="60">
        <v>0</v>
      </c>
      <c r="H584" s="61"/>
    </row>
    <row r="585" spans="1:8" ht="17.25" x14ac:dyDescent="0.3">
      <c r="A585" s="112">
        <v>14123986</v>
      </c>
      <c r="B585" s="112" t="s">
        <v>1002</v>
      </c>
      <c r="C585" s="113" t="s">
        <v>1000</v>
      </c>
      <c r="D585" s="113" t="s">
        <v>3</v>
      </c>
      <c r="E585" s="59">
        <v>3.39</v>
      </c>
      <c r="F585" s="59">
        <v>3.35</v>
      </c>
      <c r="G585" s="60">
        <v>0</v>
      </c>
      <c r="H585" s="61"/>
    </row>
    <row r="586" spans="1:8" ht="17.25" x14ac:dyDescent="0.3">
      <c r="A586" s="112">
        <v>14123987</v>
      </c>
      <c r="B586" s="112" t="s">
        <v>1003</v>
      </c>
      <c r="C586" s="113" t="s">
        <v>1000</v>
      </c>
      <c r="D586" s="113" t="s">
        <v>3</v>
      </c>
      <c r="E586" s="59" t="s">
        <v>987</v>
      </c>
      <c r="F586" s="59" t="s">
        <v>987</v>
      </c>
      <c r="G586" s="60">
        <v>0</v>
      </c>
      <c r="H586" s="61"/>
    </row>
    <row r="587" spans="1:8" ht="17.25" x14ac:dyDescent="0.3">
      <c r="A587" s="112">
        <v>14123988</v>
      </c>
      <c r="B587" s="112" t="s">
        <v>1004</v>
      </c>
      <c r="C587" s="113" t="s">
        <v>1000</v>
      </c>
      <c r="D587" s="113" t="s">
        <v>3</v>
      </c>
      <c r="E587" s="59" t="s">
        <v>987</v>
      </c>
      <c r="F587" s="59" t="s">
        <v>987</v>
      </c>
      <c r="G587" s="60">
        <v>0</v>
      </c>
      <c r="H587" s="61"/>
    </row>
    <row r="588" spans="1:8" ht="17.25" x14ac:dyDescent="0.3">
      <c r="A588" s="112">
        <v>14124002</v>
      </c>
      <c r="B588" s="112" t="s">
        <v>1005</v>
      </c>
      <c r="C588" s="113" t="s">
        <v>984</v>
      </c>
      <c r="D588" s="113" t="s">
        <v>3</v>
      </c>
      <c r="E588" s="59">
        <v>4.2699999999999996</v>
      </c>
      <c r="F588" s="59">
        <v>4.33</v>
      </c>
      <c r="G588" s="60">
        <v>355.58</v>
      </c>
      <c r="H588" s="61"/>
    </row>
    <row r="589" spans="1:8" ht="17.25" x14ac:dyDescent="0.3">
      <c r="A589" s="112">
        <v>14124020</v>
      </c>
      <c r="B589" s="112" t="s">
        <v>1006</v>
      </c>
      <c r="C589" s="110" t="s">
        <v>1007</v>
      </c>
      <c r="D589" s="110" t="s">
        <v>3</v>
      </c>
      <c r="E589" s="59" t="s">
        <v>987</v>
      </c>
      <c r="F589" s="59" t="s">
        <v>987</v>
      </c>
      <c r="G589" s="60">
        <v>0</v>
      </c>
      <c r="H589" s="61"/>
    </row>
    <row r="590" spans="1:8" ht="17.25" x14ac:dyDescent="0.3">
      <c r="A590" s="112">
        <v>14124028</v>
      </c>
      <c r="B590" s="112" t="s">
        <v>1008</v>
      </c>
      <c r="C590" s="113" t="s">
        <v>1009</v>
      </c>
      <c r="D590" s="113" t="s">
        <v>3</v>
      </c>
      <c r="E590" s="59" t="s">
        <v>987</v>
      </c>
      <c r="F590" s="59" t="s">
        <v>987</v>
      </c>
      <c r="G590" s="60">
        <v>0</v>
      </c>
      <c r="H590" s="61"/>
    </row>
    <row r="591" spans="1:8" ht="17.25" x14ac:dyDescent="0.3">
      <c r="A591" s="112">
        <v>14124031</v>
      </c>
      <c r="B591" s="112" t="s">
        <v>1010</v>
      </c>
      <c r="C591" s="110" t="s">
        <v>1009</v>
      </c>
      <c r="D591" s="110" t="s">
        <v>3</v>
      </c>
      <c r="E591" s="59" t="s">
        <v>987</v>
      </c>
      <c r="F591" s="59" t="s">
        <v>987</v>
      </c>
      <c r="G591" s="60">
        <v>0</v>
      </c>
      <c r="H591" s="61"/>
    </row>
    <row r="592" spans="1:8" ht="17.25" x14ac:dyDescent="0.3">
      <c r="A592" s="112">
        <v>14124041</v>
      </c>
      <c r="B592" s="112" t="s">
        <v>1011</v>
      </c>
      <c r="C592" s="113" t="s">
        <v>1012</v>
      </c>
      <c r="D592" s="113" t="s">
        <v>3</v>
      </c>
      <c r="E592" s="59" t="s">
        <v>987</v>
      </c>
      <c r="F592" s="59" t="s">
        <v>987</v>
      </c>
      <c r="G592" s="60">
        <v>0</v>
      </c>
      <c r="H592" s="61"/>
    </row>
    <row r="593" spans="1:8" ht="17.25" x14ac:dyDescent="0.3">
      <c r="A593" s="112">
        <v>14101142</v>
      </c>
      <c r="B593" s="112" t="s">
        <v>906</v>
      </c>
      <c r="C593" s="110" t="s">
        <v>907</v>
      </c>
      <c r="D593" s="110" t="s">
        <v>969</v>
      </c>
      <c r="E593" s="59">
        <v>9.2132755484848463</v>
      </c>
      <c r="F593" s="59">
        <v>11.339141250000001</v>
      </c>
      <c r="G593" s="60">
        <v>355.58</v>
      </c>
      <c r="H593" s="61"/>
    </row>
    <row r="594" spans="1:8" ht="17.25" x14ac:dyDescent="0.3">
      <c r="A594" s="51">
        <v>14101145</v>
      </c>
      <c r="B594" s="51" t="s">
        <v>908</v>
      </c>
      <c r="C594" s="114" t="s">
        <v>909</v>
      </c>
      <c r="D594" s="114" t="s">
        <v>969</v>
      </c>
      <c r="E594" s="59">
        <v>3.8659444444444446</v>
      </c>
      <c r="F594" s="59">
        <v>4.45194885</v>
      </c>
      <c r="G594" s="60">
        <v>355.58</v>
      </c>
      <c r="H594" s="61"/>
    </row>
    <row r="595" spans="1:8" ht="17.25" x14ac:dyDescent="0.3">
      <c r="A595" s="51">
        <v>14103700</v>
      </c>
      <c r="B595" s="51" t="s">
        <v>910</v>
      </c>
      <c r="C595" s="41" t="s">
        <v>911</v>
      </c>
      <c r="D595" s="41" t="s">
        <v>969</v>
      </c>
      <c r="E595" s="59">
        <v>4.3600000000000003</v>
      </c>
      <c r="F595" s="59">
        <v>5.511781</v>
      </c>
      <c r="G595" s="60">
        <v>355.58</v>
      </c>
      <c r="H595" s="61"/>
    </row>
    <row r="596" spans="1:8" ht="17.25" x14ac:dyDescent="0.3">
      <c r="A596" s="51">
        <v>14109275</v>
      </c>
      <c r="B596" s="51" t="s">
        <v>912</v>
      </c>
      <c r="C596" s="114" t="s">
        <v>913</v>
      </c>
      <c r="D596" s="114" t="s">
        <v>969</v>
      </c>
      <c r="E596" s="59">
        <v>3.6161367000000006</v>
      </c>
      <c r="F596" s="59">
        <v>4.0687540000000002</v>
      </c>
      <c r="G596" s="60">
        <v>355.58</v>
      </c>
      <c r="H596" s="61"/>
    </row>
    <row r="597" spans="1:8" ht="17.25" x14ac:dyDescent="0.3">
      <c r="A597" s="51">
        <v>14109276</v>
      </c>
      <c r="B597" s="51" t="s">
        <v>914</v>
      </c>
      <c r="C597" s="41" t="s">
        <v>915</v>
      </c>
      <c r="D597" s="41" t="s">
        <v>969</v>
      </c>
      <c r="E597" s="59">
        <v>4.2209176730769231</v>
      </c>
      <c r="F597" s="59">
        <v>5.5265164000000002</v>
      </c>
      <c r="G597" s="60">
        <v>355.58</v>
      </c>
      <c r="H597" s="61"/>
    </row>
    <row r="598" spans="1:8" ht="17.25" x14ac:dyDescent="0.3">
      <c r="A598" s="51"/>
      <c r="B598" s="51"/>
      <c r="C598" s="114"/>
      <c r="D598" s="114"/>
      <c r="E598" s="59"/>
      <c r="F598" s="59"/>
      <c r="G598" s="60"/>
      <c r="H598" s="61"/>
    </row>
  </sheetData>
  <conditionalFormatting sqref="A3:A89">
    <cfRule type="duplicateValues" dxfId="56" priority="3"/>
  </conditionalFormatting>
  <conditionalFormatting sqref="A195:A251 A90:A108">
    <cfRule type="duplicateValues" dxfId="55" priority="1"/>
  </conditionalFormatting>
  <conditionalFormatting sqref="A260:A598">
    <cfRule type="duplicateValues" dxfId="54" priority="4"/>
    <cfRule type="duplicateValues" dxfId="53" priority="5"/>
    <cfRule type="duplicateValues" dxfId="52" priority="6"/>
    <cfRule type="duplicateValues" dxfId="51" priority="7"/>
    <cfRule type="duplicateValues" dxfId="50" priority="8"/>
    <cfRule type="duplicateValues" dxfId="49" priority="9"/>
    <cfRule type="duplicateValues" dxfId="48" priority="10"/>
    <cfRule type="duplicateValues" dxfId="47" priority="11"/>
    <cfRule type="duplicateValues" dxfId="46" priority="12"/>
    <cfRule type="duplicateValues" dxfId="45" priority="13"/>
    <cfRule type="duplicateValues" dxfId="44" priority="14"/>
    <cfRule type="duplicateValues" dxfId="43" priority="15"/>
    <cfRule type="duplicateValues" dxfId="42" priority="16"/>
  </conditionalFormatting>
  <conditionalFormatting sqref="A109:B186">
    <cfRule type="duplicateValues" dxfId="41" priority="2"/>
  </conditionalFormatting>
  <dataValidations count="2">
    <dataValidation type="decimal" allowBlank="1" showErrorMessage="1" sqref="A469" xr:uid="{119EEFBB-FF77-4798-91E5-883035E150A6}">
      <formula1>14000000</formula1>
      <formula2>15000000</formula2>
    </dataValidation>
    <dataValidation type="whole" showInputMessage="1" showErrorMessage="1" sqref="A463:A466 A153" xr:uid="{5FB005A6-300D-40F4-8138-C3D773576423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C051-498C-47E0-92C3-DCA92BDEDC43}">
  <dimension ref="A1:V605"/>
  <sheetViews>
    <sheetView zoomScale="70" zoomScaleNormal="70" workbookViewId="0">
      <selection activeCell="A11" sqref="A11"/>
    </sheetView>
  </sheetViews>
  <sheetFormatPr baseColWidth="10" defaultColWidth="11.42578125" defaultRowHeight="18.75" x14ac:dyDescent="0.3"/>
  <cols>
    <col min="1" max="1" width="24.85546875" style="52" customWidth="1"/>
    <col min="2" max="2" width="55.7109375" style="52" bestFit="1" customWidth="1"/>
    <col min="3" max="3" width="22.42578125" style="53" customWidth="1"/>
    <col min="4" max="4" width="13.7109375" style="53" customWidth="1"/>
    <col min="5" max="5" width="34.5703125" style="54" customWidth="1"/>
    <col min="6" max="7" width="16.140625" style="54" customWidth="1"/>
    <col min="8" max="8" width="20.28515625" style="54" customWidth="1"/>
    <col min="9" max="9" width="20.5703125" style="54" customWidth="1"/>
    <col min="10" max="10" width="25.7109375" style="54" bestFit="1" customWidth="1"/>
    <col min="11" max="11" width="24.5703125" style="18" bestFit="1" customWidth="1"/>
    <col min="12" max="12" width="20.7109375" style="18" bestFit="1" customWidth="1"/>
    <col min="13" max="13" width="27.140625" style="18" bestFit="1" customWidth="1"/>
    <col min="14" max="14" width="19.42578125" style="18" bestFit="1" customWidth="1"/>
    <col min="15" max="15" width="21.28515625" style="55" bestFit="1" customWidth="1"/>
    <col min="16" max="16" width="29.42578125" style="18" hidden="1" customWidth="1"/>
    <col min="17" max="17" width="23.5703125" style="126" hidden="1" customWidth="1"/>
    <col min="18" max="18" width="36.5703125" style="18" hidden="1" customWidth="1"/>
    <col min="19" max="19" width="27.5703125" style="18" bestFit="1" customWidth="1"/>
    <col min="20" max="20" width="27.5703125" style="18" customWidth="1"/>
    <col min="21" max="21" width="43.42578125" style="56" bestFit="1" customWidth="1"/>
    <col min="22" max="22" width="14.28515625" style="19" bestFit="1" customWidth="1"/>
    <col min="23" max="16384" width="11.42578125" style="19"/>
  </cols>
  <sheetData>
    <row r="1" spans="1:22" ht="39" customHeight="1" x14ac:dyDescent="0.2">
      <c r="A1" s="9"/>
      <c r="B1" s="10"/>
      <c r="C1" s="11"/>
      <c r="D1" s="12"/>
      <c r="E1" s="13"/>
      <c r="F1" s="166" t="s">
        <v>542</v>
      </c>
      <c r="G1" s="166"/>
      <c r="H1" s="166"/>
      <c r="I1" s="167"/>
      <c r="J1" s="14"/>
      <c r="K1" s="15" t="s">
        <v>2</v>
      </c>
      <c r="L1" s="16" t="s">
        <v>543</v>
      </c>
      <c r="M1" s="16" t="s">
        <v>544</v>
      </c>
      <c r="N1" s="17" t="s">
        <v>545</v>
      </c>
      <c r="O1" s="17" t="s">
        <v>546</v>
      </c>
      <c r="P1" s="19"/>
      <c r="Q1" s="115"/>
      <c r="R1" s="19"/>
    </row>
    <row r="2" spans="1:22" ht="45.75" customHeight="1" thickBot="1" x14ac:dyDescent="0.25">
      <c r="A2" s="168" t="s">
        <v>982</v>
      </c>
      <c r="B2" s="168"/>
      <c r="C2" s="20"/>
      <c r="D2" s="21"/>
      <c r="E2" s="13"/>
      <c r="F2" s="14" t="s">
        <v>547</v>
      </c>
      <c r="G2" s="14"/>
      <c r="H2" s="14"/>
      <c r="I2" s="14"/>
      <c r="J2" s="14"/>
      <c r="K2" s="22">
        <v>134.18</v>
      </c>
      <c r="L2" s="23">
        <v>134.18</v>
      </c>
      <c r="M2" s="23"/>
      <c r="N2" s="24">
        <v>200</v>
      </c>
      <c r="O2" s="24">
        <v>177.44</v>
      </c>
      <c r="P2" s="19"/>
      <c r="Q2" s="115"/>
      <c r="R2" s="19"/>
    </row>
    <row r="3" spans="1:22" x14ac:dyDescent="0.3">
      <c r="A3" s="9"/>
      <c r="B3" s="9"/>
      <c r="C3" s="11"/>
      <c r="D3" s="11"/>
      <c r="E3" s="14"/>
      <c r="F3" s="14"/>
      <c r="G3" s="14"/>
      <c r="H3" s="14"/>
      <c r="I3" s="14"/>
      <c r="J3" s="14"/>
      <c r="K3" s="25"/>
      <c r="L3" s="25"/>
      <c r="M3" s="25"/>
      <c r="N3" s="26"/>
      <c r="O3" s="27"/>
      <c r="P3" s="19"/>
      <c r="Q3" s="115"/>
      <c r="R3" s="19"/>
      <c r="S3" s="19"/>
      <c r="T3" s="19"/>
    </row>
    <row r="4" spans="1:22" x14ac:dyDescent="0.3">
      <c r="A4" s="9"/>
      <c r="B4" s="9"/>
      <c r="C4" s="11"/>
      <c r="D4" s="11"/>
      <c r="E4" s="14"/>
      <c r="F4" s="14"/>
      <c r="G4" s="14"/>
      <c r="H4" s="14"/>
      <c r="I4" s="14"/>
      <c r="J4" s="14"/>
      <c r="K4" s="28">
        <v>69639.419999999911</v>
      </c>
      <c r="L4" s="28">
        <v>67895.08</v>
      </c>
      <c r="M4" s="28">
        <v>0</v>
      </c>
      <c r="N4" s="28">
        <v>48200</v>
      </c>
      <c r="O4" s="28">
        <v>50215.52000000012</v>
      </c>
      <c r="P4" s="28">
        <v>0</v>
      </c>
      <c r="Q4" s="28">
        <v>0</v>
      </c>
      <c r="R4" s="28">
        <v>0</v>
      </c>
      <c r="S4" s="28">
        <v>235950.01999999746</v>
      </c>
      <c r="T4" s="28"/>
    </row>
    <row r="5" spans="1:22" x14ac:dyDescent="0.3">
      <c r="A5" s="9"/>
      <c r="B5" s="9"/>
      <c r="C5" s="11"/>
      <c r="D5" s="11"/>
      <c r="E5" s="14" t="s">
        <v>548</v>
      </c>
      <c r="F5" s="14" t="s">
        <v>548</v>
      </c>
      <c r="G5" s="14" t="s">
        <v>1</v>
      </c>
      <c r="H5" s="14" t="s">
        <v>549</v>
      </c>
      <c r="I5" s="14" t="s">
        <v>549</v>
      </c>
      <c r="J5" s="14" t="s">
        <v>550</v>
      </c>
      <c r="K5" s="169" t="s">
        <v>551</v>
      </c>
      <c r="L5" s="169"/>
      <c r="M5" s="169"/>
      <c r="N5" s="169"/>
      <c r="O5" s="29"/>
      <c r="P5" s="19"/>
      <c r="Q5" s="115"/>
      <c r="R5" s="19"/>
      <c r="S5" s="30" t="s">
        <v>552</v>
      </c>
      <c r="T5" s="30"/>
    </row>
    <row r="6" spans="1:22" s="38" customFormat="1" ht="38.25" customHeight="1" x14ac:dyDescent="0.2">
      <c r="A6" s="31" t="s">
        <v>553</v>
      </c>
      <c r="B6" s="31" t="s">
        <v>554</v>
      </c>
      <c r="C6" s="31" t="s">
        <v>555</v>
      </c>
      <c r="D6" s="31" t="s">
        <v>556</v>
      </c>
      <c r="E6" s="31" t="s">
        <v>2</v>
      </c>
      <c r="F6" s="32" t="s">
        <v>543</v>
      </c>
      <c r="G6" s="32" t="s">
        <v>557</v>
      </c>
      <c r="H6" s="32" t="s">
        <v>558</v>
      </c>
      <c r="I6" s="32" t="s">
        <v>544</v>
      </c>
      <c r="J6" s="32" t="s">
        <v>559</v>
      </c>
      <c r="K6" s="33" t="s">
        <v>560</v>
      </c>
      <c r="L6" s="33" t="s">
        <v>561</v>
      </c>
      <c r="M6" s="33" t="s">
        <v>947</v>
      </c>
      <c r="N6" s="33" t="s">
        <v>925</v>
      </c>
      <c r="O6" s="33" t="s">
        <v>926</v>
      </c>
      <c r="P6" s="34" t="s">
        <v>562</v>
      </c>
      <c r="Q6" s="35" t="s">
        <v>563</v>
      </c>
      <c r="R6" s="36" t="s">
        <v>564</v>
      </c>
      <c r="S6" s="33" t="s">
        <v>565</v>
      </c>
      <c r="T6" s="37"/>
      <c r="U6" s="38" t="s">
        <v>948</v>
      </c>
      <c r="V6" s="38" t="s">
        <v>951</v>
      </c>
    </row>
    <row r="7" spans="1:22" s="47" customFormat="1" ht="21.75" customHeight="1" x14ac:dyDescent="0.3">
      <c r="A7" s="39">
        <v>14100714</v>
      </c>
      <c r="B7" s="40" t="s">
        <v>6</v>
      </c>
      <c r="C7" s="41" t="s">
        <v>566</v>
      </c>
      <c r="D7" s="42" t="s">
        <v>3</v>
      </c>
      <c r="E7" s="43" t="s">
        <v>567</v>
      </c>
      <c r="F7" s="43" t="s">
        <v>568</v>
      </c>
      <c r="G7" s="44">
        <v>95</v>
      </c>
      <c r="H7" s="43" t="s">
        <v>569</v>
      </c>
      <c r="I7" s="45" t="s">
        <v>569</v>
      </c>
      <c r="J7" s="45" t="s">
        <v>546</v>
      </c>
      <c r="K7" s="116">
        <v>134.18</v>
      </c>
      <c r="L7" s="116">
        <v>134.18</v>
      </c>
      <c r="M7" s="116"/>
      <c r="N7" s="116">
        <v>200</v>
      </c>
      <c r="O7" s="116">
        <v>177.44</v>
      </c>
      <c r="P7" s="116"/>
      <c r="Q7" s="116"/>
      <c r="R7" s="116"/>
      <c r="S7" s="46">
        <v>645.79999999999995</v>
      </c>
      <c r="T7" s="117"/>
      <c r="U7" s="56" t="s">
        <v>949</v>
      </c>
      <c r="V7" s="105" t="s">
        <v>571</v>
      </c>
    </row>
    <row r="8" spans="1:22" ht="21.75" customHeight="1" x14ac:dyDescent="0.3">
      <c r="A8" s="39">
        <v>14100718</v>
      </c>
      <c r="B8" s="40" t="s">
        <v>8</v>
      </c>
      <c r="C8" s="41" t="s">
        <v>570</v>
      </c>
      <c r="D8" s="42" t="s">
        <v>3</v>
      </c>
      <c r="E8" s="43" t="s">
        <v>567</v>
      </c>
      <c r="F8" s="43" t="s">
        <v>568</v>
      </c>
      <c r="G8" s="44">
        <v>91</v>
      </c>
      <c r="H8" s="43" t="s">
        <v>569</v>
      </c>
      <c r="I8" s="45" t="s">
        <v>571</v>
      </c>
      <c r="J8" s="45" t="s">
        <v>546</v>
      </c>
      <c r="K8" s="116">
        <v>134.18</v>
      </c>
      <c r="L8" s="116">
        <v>134.18</v>
      </c>
      <c r="M8" s="116"/>
      <c r="N8" s="116">
        <v>0</v>
      </c>
      <c r="O8" s="116">
        <v>0</v>
      </c>
      <c r="P8" s="116"/>
      <c r="Q8" s="116"/>
      <c r="R8" s="116"/>
      <c r="S8" s="46">
        <v>268.36</v>
      </c>
      <c r="T8" s="117"/>
      <c r="U8" s="56" t="s">
        <v>949</v>
      </c>
      <c r="V8" s="105" t="s">
        <v>571</v>
      </c>
    </row>
    <row r="9" spans="1:22" ht="21.75" customHeight="1" x14ac:dyDescent="0.3">
      <c r="A9" s="39">
        <v>14100721</v>
      </c>
      <c r="B9" s="40" t="s">
        <v>9</v>
      </c>
      <c r="C9" s="41" t="s">
        <v>572</v>
      </c>
      <c r="D9" s="42" t="s">
        <v>3</v>
      </c>
      <c r="E9" s="43" t="s">
        <v>567</v>
      </c>
      <c r="F9" s="43" t="s">
        <v>568</v>
      </c>
      <c r="G9" s="44">
        <v>84</v>
      </c>
      <c r="H9" s="43" t="s">
        <v>571</v>
      </c>
      <c r="I9" s="45" t="s">
        <v>571</v>
      </c>
      <c r="J9" s="45" t="s">
        <v>546</v>
      </c>
      <c r="K9" s="116">
        <v>134.18</v>
      </c>
      <c r="L9" s="116">
        <v>134.18</v>
      </c>
      <c r="M9" s="116"/>
      <c r="N9" s="116">
        <v>0</v>
      </c>
      <c r="O9" s="116">
        <v>0</v>
      </c>
      <c r="P9" s="116"/>
      <c r="Q9" s="116"/>
      <c r="R9" s="116"/>
      <c r="S9" s="46">
        <v>268.36</v>
      </c>
      <c r="T9" s="117"/>
      <c r="U9" s="56" t="s">
        <v>949</v>
      </c>
      <c r="V9" s="105" t="s">
        <v>571</v>
      </c>
    </row>
    <row r="10" spans="1:22" s="118" customFormat="1" ht="21.75" customHeight="1" x14ac:dyDescent="0.3">
      <c r="A10" s="39">
        <v>14100724</v>
      </c>
      <c r="B10" s="40" t="s">
        <v>10</v>
      </c>
      <c r="C10" s="41" t="s">
        <v>570</v>
      </c>
      <c r="D10" s="42" t="s">
        <v>3</v>
      </c>
      <c r="E10" s="43" t="s">
        <v>567</v>
      </c>
      <c r="F10" s="43" t="s">
        <v>568</v>
      </c>
      <c r="G10" s="44">
        <v>95</v>
      </c>
      <c r="H10" s="43" t="s">
        <v>569</v>
      </c>
      <c r="I10" s="45" t="s">
        <v>569</v>
      </c>
      <c r="J10" s="45" t="s">
        <v>546</v>
      </c>
      <c r="K10" s="116">
        <v>134.18</v>
      </c>
      <c r="L10" s="116">
        <v>134.18</v>
      </c>
      <c r="M10" s="116"/>
      <c r="N10" s="116">
        <v>200</v>
      </c>
      <c r="O10" s="116">
        <v>177.44</v>
      </c>
      <c r="P10" s="116"/>
      <c r="Q10" s="116"/>
      <c r="R10" s="116"/>
      <c r="S10" s="46">
        <v>645.79999999999995</v>
      </c>
      <c r="T10" s="117"/>
      <c r="U10" s="56" t="s">
        <v>949</v>
      </c>
      <c r="V10" s="105" t="s">
        <v>571</v>
      </c>
    </row>
    <row r="11" spans="1:22" s="118" customFormat="1" ht="21.75" customHeight="1" x14ac:dyDescent="0.3">
      <c r="A11" s="39">
        <v>14100725</v>
      </c>
      <c r="B11" s="40" t="s">
        <v>11</v>
      </c>
      <c r="C11" s="41" t="s">
        <v>570</v>
      </c>
      <c r="D11" s="42" t="s">
        <v>3</v>
      </c>
      <c r="E11" s="43" t="s">
        <v>567</v>
      </c>
      <c r="F11" s="43" t="s">
        <v>568</v>
      </c>
      <c r="G11" s="44">
        <v>93</v>
      </c>
      <c r="H11" s="43" t="s">
        <v>569</v>
      </c>
      <c r="I11" s="45" t="s">
        <v>571</v>
      </c>
      <c r="J11" s="45" t="s">
        <v>546</v>
      </c>
      <c r="K11" s="116">
        <v>134.18</v>
      </c>
      <c r="L11" s="116">
        <v>134.18</v>
      </c>
      <c r="M11" s="116"/>
      <c r="N11" s="116">
        <v>0</v>
      </c>
      <c r="O11" s="116">
        <v>0</v>
      </c>
      <c r="P11" s="116"/>
      <c r="Q11" s="116"/>
      <c r="R11" s="116"/>
      <c r="S11" s="46">
        <v>268.36</v>
      </c>
      <c r="T11" s="117"/>
      <c r="U11" s="56" t="s">
        <v>949</v>
      </c>
      <c r="V11" s="105" t="s">
        <v>571</v>
      </c>
    </row>
    <row r="12" spans="1:22" ht="21.75" customHeight="1" x14ac:dyDescent="0.3">
      <c r="A12" s="39">
        <v>14100726</v>
      </c>
      <c r="B12" s="40" t="s">
        <v>12</v>
      </c>
      <c r="C12" s="41" t="s">
        <v>570</v>
      </c>
      <c r="D12" s="42" t="s">
        <v>3</v>
      </c>
      <c r="E12" s="43" t="s">
        <v>567</v>
      </c>
      <c r="F12" s="43" t="s">
        <v>568</v>
      </c>
      <c r="G12" s="44">
        <v>95</v>
      </c>
      <c r="H12" s="43" t="s">
        <v>569</v>
      </c>
      <c r="I12" s="45" t="s">
        <v>569</v>
      </c>
      <c r="J12" s="45" t="s">
        <v>546</v>
      </c>
      <c r="K12" s="116">
        <v>134.18</v>
      </c>
      <c r="L12" s="116">
        <v>134.18</v>
      </c>
      <c r="M12" s="116"/>
      <c r="N12" s="116">
        <v>200</v>
      </c>
      <c r="O12" s="116">
        <v>177.44</v>
      </c>
      <c r="P12" s="116"/>
      <c r="Q12" s="116"/>
      <c r="R12" s="116"/>
      <c r="S12" s="46">
        <v>645.79999999999995</v>
      </c>
      <c r="T12" s="117"/>
      <c r="U12" s="56" t="s">
        <v>949</v>
      </c>
      <c r="V12" s="105" t="s">
        <v>571</v>
      </c>
    </row>
    <row r="13" spans="1:22" ht="21.75" customHeight="1" x14ac:dyDescent="0.3">
      <c r="A13" s="39">
        <v>14100727</v>
      </c>
      <c r="B13" s="40" t="s">
        <v>13</v>
      </c>
      <c r="C13" s="41" t="s">
        <v>570</v>
      </c>
      <c r="D13" s="42" t="s">
        <v>3</v>
      </c>
      <c r="E13" s="43" t="s">
        <v>567</v>
      </c>
      <c r="F13" s="43" t="s">
        <v>568</v>
      </c>
      <c r="G13" s="44">
        <v>92</v>
      </c>
      <c r="H13" s="43" t="s">
        <v>569</v>
      </c>
      <c r="I13" s="45" t="s">
        <v>571</v>
      </c>
      <c r="J13" s="45" t="s">
        <v>546</v>
      </c>
      <c r="K13" s="116">
        <v>134.18</v>
      </c>
      <c r="L13" s="116">
        <v>134.18</v>
      </c>
      <c r="M13" s="116"/>
      <c r="N13" s="116">
        <v>0</v>
      </c>
      <c r="O13" s="116">
        <v>0</v>
      </c>
      <c r="P13" s="116"/>
      <c r="Q13" s="116"/>
      <c r="R13" s="116"/>
      <c r="S13" s="46">
        <v>268.36</v>
      </c>
      <c r="T13" s="117"/>
      <c r="U13" s="56" t="s">
        <v>949</v>
      </c>
      <c r="V13" s="105" t="s">
        <v>571</v>
      </c>
    </row>
    <row r="14" spans="1:22" s="47" customFormat="1" ht="21.75" customHeight="1" x14ac:dyDescent="0.3">
      <c r="A14" s="39">
        <v>14100729</v>
      </c>
      <c r="B14" s="40" t="s">
        <v>14</v>
      </c>
      <c r="C14" s="41" t="s">
        <v>570</v>
      </c>
      <c r="D14" s="42" t="s">
        <v>3</v>
      </c>
      <c r="E14" s="43" t="s">
        <v>567</v>
      </c>
      <c r="F14" s="43" t="s">
        <v>568</v>
      </c>
      <c r="G14" s="44">
        <v>88</v>
      </c>
      <c r="H14" s="43" t="s">
        <v>571</v>
      </c>
      <c r="I14" s="45" t="s">
        <v>571</v>
      </c>
      <c r="J14" s="45" t="s">
        <v>546</v>
      </c>
      <c r="K14" s="116">
        <v>134.18</v>
      </c>
      <c r="L14" s="116">
        <v>134.18</v>
      </c>
      <c r="M14" s="116"/>
      <c r="N14" s="116">
        <v>0</v>
      </c>
      <c r="O14" s="116">
        <v>0</v>
      </c>
      <c r="P14" s="116"/>
      <c r="Q14" s="116"/>
      <c r="R14" s="116"/>
      <c r="S14" s="46">
        <v>268.36</v>
      </c>
      <c r="T14" s="117"/>
      <c r="U14" s="56" t="s">
        <v>949</v>
      </c>
      <c r="V14" s="105" t="s">
        <v>571</v>
      </c>
    </row>
    <row r="15" spans="1:22" ht="21.75" customHeight="1" x14ac:dyDescent="0.3">
      <c r="A15" s="39">
        <v>14100731</v>
      </c>
      <c r="B15" s="40" t="s">
        <v>15</v>
      </c>
      <c r="C15" s="41" t="s">
        <v>574</v>
      </c>
      <c r="D15" s="42" t="s">
        <v>3</v>
      </c>
      <c r="E15" s="43" t="s">
        <v>567</v>
      </c>
      <c r="F15" s="43" t="s">
        <v>568</v>
      </c>
      <c r="G15" s="44">
        <v>91</v>
      </c>
      <c r="H15" s="43" t="s">
        <v>569</v>
      </c>
      <c r="I15" s="45" t="s">
        <v>571</v>
      </c>
      <c r="J15" s="45" t="s">
        <v>546</v>
      </c>
      <c r="K15" s="116">
        <v>134.18</v>
      </c>
      <c r="L15" s="116">
        <v>134.18</v>
      </c>
      <c r="M15" s="116"/>
      <c r="N15" s="116">
        <v>0</v>
      </c>
      <c r="O15" s="116">
        <v>0</v>
      </c>
      <c r="P15" s="116"/>
      <c r="Q15" s="116"/>
      <c r="R15" s="116"/>
      <c r="S15" s="46">
        <v>268.36</v>
      </c>
      <c r="T15" s="117"/>
      <c r="U15" s="56" t="s">
        <v>949</v>
      </c>
      <c r="V15" s="105" t="s">
        <v>571</v>
      </c>
    </row>
    <row r="16" spans="1:22" ht="21.75" customHeight="1" x14ac:dyDescent="0.3">
      <c r="A16" s="39">
        <v>14100732</v>
      </c>
      <c r="B16" s="40" t="s">
        <v>16</v>
      </c>
      <c r="C16" s="41" t="s">
        <v>570</v>
      </c>
      <c r="D16" s="42" t="s">
        <v>3</v>
      </c>
      <c r="E16" s="43" t="s">
        <v>567</v>
      </c>
      <c r="F16" s="43" t="s">
        <v>568</v>
      </c>
      <c r="G16" s="44">
        <v>92</v>
      </c>
      <c r="H16" s="43" t="s">
        <v>569</v>
      </c>
      <c r="I16" s="45" t="s">
        <v>569</v>
      </c>
      <c r="J16" s="45" t="s">
        <v>546</v>
      </c>
      <c r="K16" s="116">
        <v>134.18</v>
      </c>
      <c r="L16" s="116">
        <v>134.18</v>
      </c>
      <c r="M16" s="116"/>
      <c r="N16" s="116">
        <v>200</v>
      </c>
      <c r="O16" s="116">
        <v>177.44</v>
      </c>
      <c r="P16" s="116"/>
      <c r="Q16" s="116"/>
      <c r="R16" s="116"/>
      <c r="S16" s="46">
        <v>645.79999999999995</v>
      </c>
      <c r="T16" s="117"/>
      <c r="U16" s="56" t="s">
        <v>949</v>
      </c>
      <c r="V16" s="105" t="s">
        <v>571</v>
      </c>
    </row>
    <row r="17" spans="1:22" ht="21.75" customHeight="1" x14ac:dyDescent="0.3">
      <c r="A17" s="39">
        <v>14100733</v>
      </c>
      <c r="B17" s="40" t="s">
        <v>17</v>
      </c>
      <c r="C17" s="41" t="s">
        <v>570</v>
      </c>
      <c r="D17" s="42" t="s">
        <v>3</v>
      </c>
      <c r="E17" s="43" t="s">
        <v>567</v>
      </c>
      <c r="F17" s="43" t="s">
        <v>568</v>
      </c>
      <c r="G17" s="44">
        <v>94</v>
      </c>
      <c r="H17" s="43" t="s">
        <v>569</v>
      </c>
      <c r="I17" s="45" t="s">
        <v>571</v>
      </c>
      <c r="J17" s="45" t="s">
        <v>546</v>
      </c>
      <c r="K17" s="116">
        <v>134.18</v>
      </c>
      <c r="L17" s="116">
        <v>134.18</v>
      </c>
      <c r="M17" s="116"/>
      <c r="N17" s="116">
        <v>0</v>
      </c>
      <c r="O17" s="116">
        <v>0</v>
      </c>
      <c r="P17" s="116"/>
      <c r="Q17" s="116"/>
      <c r="R17" s="116"/>
      <c r="S17" s="46">
        <v>268.36</v>
      </c>
      <c r="T17" s="117"/>
      <c r="U17" s="56" t="s">
        <v>949</v>
      </c>
      <c r="V17" s="105" t="s">
        <v>571</v>
      </c>
    </row>
    <row r="18" spans="1:22" ht="21.75" customHeight="1" x14ac:dyDescent="0.3">
      <c r="A18" s="39">
        <v>14100740</v>
      </c>
      <c r="B18" s="40" t="s">
        <v>18</v>
      </c>
      <c r="C18" s="41" t="s">
        <v>575</v>
      </c>
      <c r="D18" s="42" t="s">
        <v>3</v>
      </c>
      <c r="E18" s="43" t="s">
        <v>567</v>
      </c>
      <c r="F18" s="43" t="s">
        <v>568</v>
      </c>
      <c r="G18" s="44">
        <v>93</v>
      </c>
      <c r="H18" s="43" t="s">
        <v>569</v>
      </c>
      <c r="I18" s="45" t="s">
        <v>571</v>
      </c>
      <c r="J18" s="45" t="s">
        <v>546</v>
      </c>
      <c r="K18" s="116">
        <v>134.18</v>
      </c>
      <c r="L18" s="116">
        <v>134.18</v>
      </c>
      <c r="M18" s="116"/>
      <c r="N18" s="116">
        <v>0</v>
      </c>
      <c r="O18" s="116">
        <v>0</v>
      </c>
      <c r="P18" s="116"/>
      <c r="Q18" s="116"/>
      <c r="R18" s="116"/>
      <c r="S18" s="46">
        <v>268.36</v>
      </c>
      <c r="T18" s="117"/>
      <c r="U18" s="56" t="s">
        <v>949</v>
      </c>
      <c r="V18" s="105" t="s">
        <v>571</v>
      </c>
    </row>
    <row r="19" spans="1:22" ht="21.75" customHeight="1" x14ac:dyDescent="0.3">
      <c r="A19" s="39">
        <v>14100751</v>
      </c>
      <c r="B19" s="40" t="s">
        <v>320</v>
      </c>
      <c r="C19" s="41" t="s">
        <v>576</v>
      </c>
      <c r="D19" s="42" t="s">
        <v>3</v>
      </c>
      <c r="E19" s="43" t="s">
        <v>567</v>
      </c>
      <c r="F19" s="43" t="s">
        <v>568</v>
      </c>
      <c r="G19" s="44">
        <v>90</v>
      </c>
      <c r="H19" s="43" t="s">
        <v>569</v>
      </c>
      <c r="I19" s="45" t="s">
        <v>569</v>
      </c>
      <c r="J19" s="45" t="s">
        <v>546</v>
      </c>
      <c r="K19" s="116">
        <v>134.18</v>
      </c>
      <c r="L19" s="116">
        <v>134.18</v>
      </c>
      <c r="M19" s="116"/>
      <c r="N19" s="116">
        <v>200</v>
      </c>
      <c r="O19" s="116">
        <v>177.44</v>
      </c>
      <c r="P19" s="116"/>
      <c r="Q19" s="116"/>
      <c r="R19" s="116"/>
      <c r="S19" s="46">
        <v>645.79999999999995</v>
      </c>
      <c r="T19" s="117"/>
      <c r="U19" s="56" t="s">
        <v>949</v>
      </c>
      <c r="V19" s="105" t="s">
        <v>571</v>
      </c>
    </row>
    <row r="20" spans="1:22" s="47" customFormat="1" ht="21.75" customHeight="1" x14ac:dyDescent="0.3">
      <c r="A20" s="39">
        <v>14100777</v>
      </c>
      <c r="B20" s="40" t="s">
        <v>19</v>
      </c>
      <c r="C20" s="41" t="s">
        <v>570</v>
      </c>
      <c r="D20" s="42" t="s">
        <v>3</v>
      </c>
      <c r="E20" s="43" t="s">
        <v>567</v>
      </c>
      <c r="F20" s="43" t="s">
        <v>568</v>
      </c>
      <c r="G20" s="44"/>
      <c r="H20" s="43" t="s">
        <v>571</v>
      </c>
      <c r="I20" s="45" t="s">
        <v>569</v>
      </c>
      <c r="J20" s="45" t="s">
        <v>573</v>
      </c>
      <c r="K20" s="116">
        <v>0</v>
      </c>
      <c r="L20" s="116">
        <v>0</v>
      </c>
      <c r="M20" s="116"/>
      <c r="N20" s="116">
        <v>0</v>
      </c>
      <c r="O20" s="116">
        <v>0</v>
      </c>
      <c r="P20" s="116"/>
      <c r="Q20" s="116"/>
      <c r="R20" s="116"/>
      <c r="S20" s="46">
        <v>0</v>
      </c>
      <c r="T20" s="117"/>
      <c r="U20" s="56" t="s">
        <v>571</v>
      </c>
      <c r="V20" s="105" t="s">
        <v>571</v>
      </c>
    </row>
    <row r="21" spans="1:22" ht="21.75" customHeight="1" x14ac:dyDescent="0.3">
      <c r="A21" s="39">
        <v>14100787</v>
      </c>
      <c r="B21" s="40" t="s">
        <v>20</v>
      </c>
      <c r="C21" s="41" t="s">
        <v>570</v>
      </c>
      <c r="D21" s="42" t="s">
        <v>3</v>
      </c>
      <c r="E21" s="43" t="s">
        <v>567</v>
      </c>
      <c r="F21" s="43" t="s">
        <v>568</v>
      </c>
      <c r="G21" s="44">
        <v>92</v>
      </c>
      <c r="H21" s="43" t="s">
        <v>569</v>
      </c>
      <c r="I21" s="45" t="s">
        <v>571</v>
      </c>
      <c r="J21" s="45" t="s">
        <v>546</v>
      </c>
      <c r="K21" s="116">
        <v>134.18</v>
      </c>
      <c r="L21" s="116">
        <v>134.18</v>
      </c>
      <c r="M21" s="116"/>
      <c r="N21" s="116">
        <v>0</v>
      </c>
      <c r="O21" s="116">
        <v>0</v>
      </c>
      <c r="P21" s="116"/>
      <c r="Q21" s="116"/>
      <c r="R21" s="116"/>
      <c r="S21" s="46">
        <v>268.36</v>
      </c>
      <c r="T21" s="117"/>
      <c r="U21" s="56" t="s">
        <v>949</v>
      </c>
      <c r="V21" s="105" t="s">
        <v>571</v>
      </c>
    </row>
    <row r="22" spans="1:22" ht="21.75" customHeight="1" x14ac:dyDescent="0.3">
      <c r="A22" s="39">
        <v>14100795</v>
      </c>
      <c r="B22" s="40" t="s">
        <v>21</v>
      </c>
      <c r="C22" s="41" t="s">
        <v>570</v>
      </c>
      <c r="D22" s="42" t="s">
        <v>3</v>
      </c>
      <c r="E22" s="43" t="s">
        <v>567</v>
      </c>
      <c r="F22" s="43" t="s">
        <v>568</v>
      </c>
      <c r="G22" s="44">
        <v>92</v>
      </c>
      <c r="H22" s="43" t="s">
        <v>569</v>
      </c>
      <c r="I22" s="45" t="s">
        <v>569</v>
      </c>
      <c r="J22" s="45" t="s">
        <v>573</v>
      </c>
      <c r="K22" s="116">
        <v>134.18</v>
      </c>
      <c r="L22" s="116">
        <v>134.18</v>
      </c>
      <c r="M22" s="116"/>
      <c r="N22" s="116">
        <v>200</v>
      </c>
      <c r="O22" s="116">
        <v>0</v>
      </c>
      <c r="P22" s="116"/>
      <c r="Q22" s="116"/>
      <c r="R22" s="116"/>
      <c r="S22" s="46">
        <v>468.36</v>
      </c>
      <c r="T22" s="117"/>
      <c r="U22" s="56" t="s">
        <v>949</v>
      </c>
      <c r="V22" s="105" t="s">
        <v>571</v>
      </c>
    </row>
    <row r="23" spans="1:22" s="47" customFormat="1" ht="21.75" customHeight="1" x14ac:dyDescent="0.3">
      <c r="A23" s="39">
        <v>14100798</v>
      </c>
      <c r="B23" s="40" t="s">
        <v>22</v>
      </c>
      <c r="C23" s="41" t="s">
        <v>570</v>
      </c>
      <c r="D23" s="42" t="s">
        <v>3</v>
      </c>
      <c r="E23" s="43" t="s">
        <v>567</v>
      </c>
      <c r="F23" s="43" t="s">
        <v>568</v>
      </c>
      <c r="G23" s="44">
        <v>95</v>
      </c>
      <c r="H23" s="43" t="s">
        <v>569</v>
      </c>
      <c r="I23" s="45" t="s">
        <v>569</v>
      </c>
      <c r="J23" s="45" t="s">
        <v>546</v>
      </c>
      <c r="K23" s="116">
        <v>134.18</v>
      </c>
      <c r="L23" s="116">
        <v>134.18</v>
      </c>
      <c r="M23" s="116"/>
      <c r="N23" s="116">
        <v>200</v>
      </c>
      <c r="O23" s="116">
        <v>177.44</v>
      </c>
      <c r="P23" s="116"/>
      <c r="Q23" s="116"/>
      <c r="R23" s="116"/>
      <c r="S23" s="46">
        <v>645.79999999999995</v>
      </c>
      <c r="T23" s="117"/>
      <c r="U23" s="56" t="s">
        <v>949</v>
      </c>
      <c r="V23" s="105" t="s">
        <v>571</v>
      </c>
    </row>
    <row r="24" spans="1:22" ht="21.75" customHeight="1" x14ac:dyDescent="0.3">
      <c r="A24" s="39">
        <v>14100807</v>
      </c>
      <c r="B24" s="40" t="s">
        <v>23</v>
      </c>
      <c r="C24" s="41" t="s">
        <v>577</v>
      </c>
      <c r="D24" s="42" t="s">
        <v>3</v>
      </c>
      <c r="E24" s="43" t="s">
        <v>567</v>
      </c>
      <c r="F24" s="43" t="s">
        <v>568</v>
      </c>
      <c r="G24" s="44">
        <v>92</v>
      </c>
      <c r="H24" s="43" t="s">
        <v>569</v>
      </c>
      <c r="I24" s="45" t="s">
        <v>569</v>
      </c>
      <c r="J24" s="45" t="s">
        <v>546</v>
      </c>
      <c r="K24" s="116">
        <v>134.18</v>
      </c>
      <c r="L24" s="116">
        <v>134.18</v>
      </c>
      <c r="M24" s="116"/>
      <c r="N24" s="116">
        <v>200</v>
      </c>
      <c r="O24" s="116">
        <v>177.44</v>
      </c>
      <c r="P24" s="116"/>
      <c r="Q24" s="116"/>
      <c r="R24" s="116"/>
      <c r="S24" s="46">
        <v>645.79999999999995</v>
      </c>
      <c r="T24" s="117"/>
      <c r="U24" s="56" t="s">
        <v>949</v>
      </c>
      <c r="V24" s="105" t="s">
        <v>571</v>
      </c>
    </row>
    <row r="25" spans="1:22" s="47" customFormat="1" ht="21.75" customHeight="1" x14ac:dyDescent="0.3">
      <c r="A25" s="39">
        <v>14100823</v>
      </c>
      <c r="B25" s="40" t="s">
        <v>274</v>
      </c>
      <c r="C25" s="41" t="s">
        <v>578</v>
      </c>
      <c r="D25" s="42" t="s">
        <v>3</v>
      </c>
      <c r="E25" s="43" t="s">
        <v>567</v>
      </c>
      <c r="F25" s="43" t="s">
        <v>568</v>
      </c>
      <c r="G25" s="44">
        <v>94</v>
      </c>
      <c r="H25" s="43" t="s">
        <v>569</v>
      </c>
      <c r="I25" s="45" t="s">
        <v>569</v>
      </c>
      <c r="J25" s="45" t="s">
        <v>546</v>
      </c>
      <c r="K25" s="116">
        <v>134.18</v>
      </c>
      <c r="L25" s="116">
        <v>134.18</v>
      </c>
      <c r="M25" s="116"/>
      <c r="N25" s="116">
        <v>200</v>
      </c>
      <c r="O25" s="116">
        <v>177.44</v>
      </c>
      <c r="P25" s="116"/>
      <c r="Q25" s="116"/>
      <c r="R25" s="116"/>
      <c r="S25" s="46">
        <v>645.79999999999995</v>
      </c>
      <c r="T25" s="117"/>
      <c r="U25" s="56" t="s">
        <v>949</v>
      </c>
      <c r="V25" s="47" t="s">
        <v>951</v>
      </c>
    </row>
    <row r="26" spans="1:22" ht="21.75" customHeight="1" x14ac:dyDescent="0.3">
      <c r="A26" s="39">
        <v>14100842</v>
      </c>
      <c r="B26" s="40" t="s">
        <v>24</v>
      </c>
      <c r="C26" s="41" t="s">
        <v>570</v>
      </c>
      <c r="D26" s="42" t="s">
        <v>3</v>
      </c>
      <c r="E26" s="43" t="s">
        <v>567</v>
      </c>
      <c r="F26" s="43" t="s">
        <v>568</v>
      </c>
      <c r="G26" s="44"/>
      <c r="H26" s="43" t="s">
        <v>571</v>
      </c>
      <c r="I26" s="45" t="s">
        <v>569</v>
      </c>
      <c r="J26" s="45" t="s">
        <v>573</v>
      </c>
      <c r="K26" s="116">
        <v>0</v>
      </c>
      <c r="L26" s="116">
        <v>0</v>
      </c>
      <c r="M26" s="116"/>
      <c r="N26" s="116">
        <v>0</v>
      </c>
      <c r="O26" s="116">
        <v>0</v>
      </c>
      <c r="P26" s="116"/>
      <c r="Q26" s="116"/>
      <c r="R26" s="116"/>
      <c r="S26" s="46">
        <v>0</v>
      </c>
      <c r="T26" s="117"/>
      <c r="U26" s="56" t="s">
        <v>571</v>
      </c>
      <c r="V26" s="105" t="s">
        <v>571</v>
      </c>
    </row>
    <row r="27" spans="1:22" ht="21.75" customHeight="1" x14ac:dyDescent="0.3">
      <c r="A27" s="40">
        <v>14100843</v>
      </c>
      <c r="B27" s="40" t="s">
        <v>221</v>
      </c>
      <c r="C27" s="41" t="s">
        <v>579</v>
      </c>
      <c r="D27" s="42" t="s">
        <v>3</v>
      </c>
      <c r="E27" s="43" t="s">
        <v>567</v>
      </c>
      <c r="F27" s="43" t="s">
        <v>568</v>
      </c>
      <c r="G27" s="44">
        <v>92</v>
      </c>
      <c r="H27" s="43" t="s">
        <v>569</v>
      </c>
      <c r="I27" s="45" t="s">
        <v>571</v>
      </c>
      <c r="J27" s="45" t="s">
        <v>546</v>
      </c>
      <c r="K27" s="116">
        <v>134.18</v>
      </c>
      <c r="L27" s="116">
        <v>134.18</v>
      </c>
      <c r="M27" s="116"/>
      <c r="N27" s="116">
        <v>0</v>
      </c>
      <c r="O27" s="116">
        <v>0</v>
      </c>
      <c r="P27" s="116"/>
      <c r="Q27" s="116"/>
      <c r="R27" s="116"/>
      <c r="S27" s="46">
        <v>268.36</v>
      </c>
      <c r="T27" s="117"/>
      <c r="U27" s="56" t="s">
        <v>949</v>
      </c>
      <c r="V27" s="105" t="s">
        <v>571</v>
      </c>
    </row>
    <row r="28" spans="1:22" ht="21.75" customHeight="1" x14ac:dyDescent="0.3">
      <c r="A28" s="39">
        <v>14100858</v>
      </c>
      <c r="B28" s="40" t="s">
        <v>261</v>
      </c>
      <c r="C28" s="41" t="s">
        <v>580</v>
      </c>
      <c r="D28" s="42" t="s">
        <v>3</v>
      </c>
      <c r="E28" s="43" t="s">
        <v>567</v>
      </c>
      <c r="F28" s="43" t="s">
        <v>568</v>
      </c>
      <c r="G28" s="44">
        <v>93</v>
      </c>
      <c r="H28" s="43" t="s">
        <v>569</v>
      </c>
      <c r="I28" s="45" t="s">
        <v>569</v>
      </c>
      <c r="J28" s="45" t="s">
        <v>546</v>
      </c>
      <c r="K28" s="116">
        <v>134.18</v>
      </c>
      <c r="L28" s="116">
        <v>134.18</v>
      </c>
      <c r="M28" s="116"/>
      <c r="N28" s="116">
        <v>200</v>
      </c>
      <c r="O28" s="116">
        <v>177.44</v>
      </c>
      <c r="P28" s="116"/>
      <c r="Q28" s="116"/>
      <c r="R28" s="116"/>
      <c r="S28" s="46">
        <v>645.79999999999995</v>
      </c>
      <c r="T28" s="117"/>
      <c r="U28" s="56" t="s">
        <v>949</v>
      </c>
      <c r="V28" s="105" t="s">
        <v>571</v>
      </c>
    </row>
    <row r="29" spans="1:22" s="118" customFormat="1" ht="21.75" customHeight="1" x14ac:dyDescent="0.3">
      <c r="A29" s="39">
        <v>14100863</v>
      </c>
      <c r="B29" s="40" t="s">
        <v>25</v>
      </c>
      <c r="C29" s="41" t="s">
        <v>570</v>
      </c>
      <c r="D29" s="42" t="s">
        <v>3</v>
      </c>
      <c r="E29" s="43" t="s">
        <v>567</v>
      </c>
      <c r="F29" s="43" t="s">
        <v>568</v>
      </c>
      <c r="G29" s="44">
        <v>95</v>
      </c>
      <c r="H29" s="43" t="s">
        <v>569</v>
      </c>
      <c r="I29" s="45" t="s">
        <v>569</v>
      </c>
      <c r="J29" s="45" t="s">
        <v>546</v>
      </c>
      <c r="K29" s="116">
        <v>134.18</v>
      </c>
      <c r="L29" s="116">
        <v>134.18</v>
      </c>
      <c r="M29" s="116"/>
      <c r="N29" s="116">
        <v>200</v>
      </c>
      <c r="O29" s="116">
        <v>177.44</v>
      </c>
      <c r="P29" s="116"/>
      <c r="Q29" s="116"/>
      <c r="R29" s="116"/>
      <c r="S29" s="46">
        <v>645.79999999999995</v>
      </c>
      <c r="T29" s="117"/>
      <c r="U29" s="56" t="s">
        <v>949</v>
      </c>
      <c r="V29" s="105" t="s">
        <v>571</v>
      </c>
    </row>
    <row r="30" spans="1:22" ht="21.75" customHeight="1" x14ac:dyDescent="0.3">
      <c r="A30" s="39">
        <v>14100897</v>
      </c>
      <c r="B30" s="40" t="s">
        <v>249</v>
      </c>
      <c r="C30" s="41" t="s">
        <v>581</v>
      </c>
      <c r="D30" s="42" t="s">
        <v>3</v>
      </c>
      <c r="E30" s="43" t="s">
        <v>567</v>
      </c>
      <c r="F30" s="43" t="s">
        <v>568</v>
      </c>
      <c r="G30" s="44">
        <v>93</v>
      </c>
      <c r="H30" s="43" t="s">
        <v>569</v>
      </c>
      <c r="I30" s="45" t="s">
        <v>569</v>
      </c>
      <c r="J30" s="45" t="s">
        <v>546</v>
      </c>
      <c r="K30" s="116">
        <v>134.18</v>
      </c>
      <c r="L30" s="116">
        <v>134.18</v>
      </c>
      <c r="M30" s="116"/>
      <c r="N30" s="116">
        <v>200</v>
      </c>
      <c r="O30" s="116">
        <v>177.44</v>
      </c>
      <c r="P30" s="116"/>
      <c r="Q30" s="116"/>
      <c r="R30" s="116"/>
      <c r="S30" s="46">
        <v>645.79999999999995</v>
      </c>
      <c r="T30" s="117"/>
      <c r="U30" s="56" t="s">
        <v>949</v>
      </c>
      <c r="V30" s="105" t="s">
        <v>571</v>
      </c>
    </row>
    <row r="31" spans="1:22" s="47" customFormat="1" ht="21.75" customHeight="1" x14ac:dyDescent="0.3">
      <c r="A31" s="39">
        <v>14100902</v>
      </c>
      <c r="B31" s="40" t="s">
        <v>347</v>
      </c>
      <c r="C31" s="41" t="s">
        <v>582</v>
      </c>
      <c r="D31" s="42" t="s">
        <v>3</v>
      </c>
      <c r="E31" s="43" t="s">
        <v>567</v>
      </c>
      <c r="F31" s="43" t="s">
        <v>568</v>
      </c>
      <c r="G31" s="44">
        <v>89</v>
      </c>
      <c r="H31" s="43" t="s">
        <v>571</v>
      </c>
      <c r="I31" s="45" t="s">
        <v>569</v>
      </c>
      <c r="J31" s="45" t="s">
        <v>546</v>
      </c>
      <c r="K31" s="116">
        <v>134.18</v>
      </c>
      <c r="L31" s="116">
        <v>134.18</v>
      </c>
      <c r="M31" s="116"/>
      <c r="N31" s="116">
        <v>0</v>
      </c>
      <c r="O31" s="116">
        <v>177.44</v>
      </c>
      <c r="P31" s="116"/>
      <c r="Q31" s="116"/>
      <c r="R31" s="116"/>
      <c r="S31" s="46">
        <v>445.8</v>
      </c>
      <c r="T31" s="117"/>
      <c r="U31" s="56" t="s">
        <v>949</v>
      </c>
      <c r="V31" s="105" t="s">
        <v>571</v>
      </c>
    </row>
    <row r="32" spans="1:22" ht="21.75" customHeight="1" x14ac:dyDescent="0.3">
      <c r="A32" s="39">
        <v>14101881</v>
      </c>
      <c r="B32" s="40" t="s">
        <v>26</v>
      </c>
      <c r="C32" s="41" t="s">
        <v>583</v>
      </c>
      <c r="D32" s="42" t="s">
        <v>3</v>
      </c>
      <c r="E32" s="43" t="s">
        <v>567</v>
      </c>
      <c r="F32" s="43" t="s">
        <v>568</v>
      </c>
      <c r="G32" s="44">
        <v>89</v>
      </c>
      <c r="H32" s="43" t="s">
        <v>571</v>
      </c>
      <c r="I32" s="45" t="s">
        <v>571</v>
      </c>
      <c r="J32" s="45" t="s">
        <v>546</v>
      </c>
      <c r="K32" s="116">
        <v>134.18</v>
      </c>
      <c r="L32" s="116">
        <v>134.18</v>
      </c>
      <c r="M32" s="116"/>
      <c r="N32" s="116">
        <v>0</v>
      </c>
      <c r="O32" s="116">
        <v>0</v>
      </c>
      <c r="P32" s="116"/>
      <c r="Q32" s="116"/>
      <c r="R32" s="116"/>
      <c r="S32" s="46">
        <v>268.36</v>
      </c>
      <c r="T32" s="117"/>
      <c r="U32" s="56" t="s">
        <v>949</v>
      </c>
      <c r="V32" s="105" t="s">
        <v>571</v>
      </c>
    </row>
    <row r="33" spans="1:22" ht="17.25" x14ac:dyDescent="0.3">
      <c r="A33" s="40">
        <v>14101984</v>
      </c>
      <c r="B33" s="40" t="s">
        <v>27</v>
      </c>
      <c r="C33" s="41" t="s">
        <v>584</v>
      </c>
      <c r="D33" s="42" t="s">
        <v>3</v>
      </c>
      <c r="E33" s="43" t="s">
        <v>567</v>
      </c>
      <c r="F33" s="43" t="s">
        <v>568</v>
      </c>
      <c r="G33" s="44">
        <v>87</v>
      </c>
      <c r="H33" s="43" t="s">
        <v>571</v>
      </c>
      <c r="I33" s="45" t="s">
        <v>569</v>
      </c>
      <c r="J33" s="45" t="s">
        <v>573</v>
      </c>
      <c r="K33" s="116">
        <v>134.18</v>
      </c>
      <c r="L33" s="116">
        <v>134.18</v>
      </c>
      <c r="M33" s="116"/>
      <c r="N33" s="116">
        <v>0</v>
      </c>
      <c r="O33" s="116">
        <v>0</v>
      </c>
      <c r="P33" s="116"/>
      <c r="Q33" s="116"/>
      <c r="R33" s="116"/>
      <c r="S33" s="46">
        <v>268.36</v>
      </c>
      <c r="T33" s="117"/>
      <c r="U33" s="56" t="s">
        <v>949</v>
      </c>
      <c r="V33" s="105" t="s">
        <v>571</v>
      </c>
    </row>
    <row r="34" spans="1:22" ht="17.25" x14ac:dyDescent="0.3">
      <c r="A34" s="40">
        <v>14102081</v>
      </c>
      <c r="B34" s="48" t="s">
        <v>28</v>
      </c>
      <c r="C34" s="41" t="s">
        <v>585</v>
      </c>
      <c r="D34" s="42" t="s">
        <v>3</v>
      </c>
      <c r="E34" s="43" t="s">
        <v>567</v>
      </c>
      <c r="F34" s="43" t="s">
        <v>568</v>
      </c>
      <c r="G34" s="44">
        <v>89</v>
      </c>
      <c r="H34" s="43" t="s">
        <v>571</v>
      </c>
      <c r="I34" s="45" t="s">
        <v>569</v>
      </c>
      <c r="J34" s="45" t="s">
        <v>573</v>
      </c>
      <c r="K34" s="116">
        <v>0</v>
      </c>
      <c r="L34" s="116">
        <v>0</v>
      </c>
      <c r="M34" s="116"/>
      <c r="N34" s="116">
        <v>0</v>
      </c>
      <c r="O34" s="116">
        <v>0</v>
      </c>
      <c r="P34" s="116"/>
      <c r="Q34" s="116"/>
      <c r="R34" s="116"/>
      <c r="S34" s="46">
        <v>0</v>
      </c>
      <c r="T34" s="117"/>
      <c r="U34" s="56" t="s">
        <v>571</v>
      </c>
      <c r="V34" s="105" t="s">
        <v>571</v>
      </c>
    </row>
    <row r="35" spans="1:22" ht="17.25" x14ac:dyDescent="0.3">
      <c r="A35" s="40">
        <v>14102288</v>
      </c>
      <c r="B35" s="40" t="s">
        <v>29</v>
      </c>
      <c r="C35" s="41" t="s">
        <v>586</v>
      </c>
      <c r="D35" s="42" t="s">
        <v>3</v>
      </c>
      <c r="E35" s="43" t="s">
        <v>567</v>
      </c>
      <c r="F35" s="43" t="s">
        <v>568</v>
      </c>
      <c r="G35" s="44">
        <v>94</v>
      </c>
      <c r="H35" s="43" t="s">
        <v>569</v>
      </c>
      <c r="I35" s="45" t="s">
        <v>569</v>
      </c>
      <c r="J35" s="45" t="s">
        <v>546</v>
      </c>
      <c r="K35" s="116">
        <v>134.18</v>
      </c>
      <c r="L35" s="116">
        <v>134.18</v>
      </c>
      <c r="M35" s="116"/>
      <c r="N35" s="116">
        <v>200</v>
      </c>
      <c r="O35" s="116">
        <v>177.44</v>
      </c>
      <c r="P35" s="116"/>
      <c r="Q35" s="116"/>
      <c r="R35" s="116"/>
      <c r="S35" s="46">
        <v>645.79999999999995</v>
      </c>
      <c r="T35" s="117"/>
      <c r="U35" s="56" t="s">
        <v>949</v>
      </c>
      <c r="V35" s="105" t="s">
        <v>571</v>
      </c>
    </row>
    <row r="36" spans="1:22" ht="21.75" customHeight="1" x14ac:dyDescent="0.3">
      <c r="A36" s="40">
        <v>14102701</v>
      </c>
      <c r="B36" s="40" t="s">
        <v>30</v>
      </c>
      <c r="C36" s="41" t="s">
        <v>587</v>
      </c>
      <c r="D36" s="42" t="s">
        <v>3</v>
      </c>
      <c r="E36" s="43" t="s">
        <v>567</v>
      </c>
      <c r="F36" s="43" t="s">
        <v>568</v>
      </c>
      <c r="G36" s="44">
        <v>87</v>
      </c>
      <c r="H36" s="43" t="s">
        <v>571</v>
      </c>
      <c r="I36" s="45" t="s">
        <v>571</v>
      </c>
      <c r="J36" s="45" t="s">
        <v>546</v>
      </c>
      <c r="K36" s="116">
        <v>134.18</v>
      </c>
      <c r="L36" s="116">
        <v>134.18</v>
      </c>
      <c r="M36" s="116"/>
      <c r="N36" s="116">
        <v>0</v>
      </c>
      <c r="O36" s="116">
        <v>0</v>
      </c>
      <c r="P36" s="116"/>
      <c r="Q36" s="116"/>
      <c r="R36" s="116"/>
      <c r="S36" s="46">
        <v>268.36</v>
      </c>
      <c r="T36" s="117"/>
      <c r="U36" s="56" t="s">
        <v>949</v>
      </c>
      <c r="V36" s="105" t="s">
        <v>571</v>
      </c>
    </row>
    <row r="37" spans="1:22" ht="21.75" customHeight="1" x14ac:dyDescent="0.3">
      <c r="A37" s="39">
        <v>14102730</v>
      </c>
      <c r="B37" s="40" t="s">
        <v>31</v>
      </c>
      <c r="C37" s="41" t="s">
        <v>588</v>
      </c>
      <c r="D37" s="42" t="s">
        <v>3</v>
      </c>
      <c r="E37" s="43" t="s">
        <v>567</v>
      </c>
      <c r="F37" s="43" t="s">
        <v>568</v>
      </c>
      <c r="G37" s="44">
        <v>95</v>
      </c>
      <c r="H37" s="43" t="s">
        <v>569</v>
      </c>
      <c r="I37" s="45" t="s">
        <v>569</v>
      </c>
      <c r="J37" s="45" t="s">
        <v>546</v>
      </c>
      <c r="K37" s="116">
        <v>134.18</v>
      </c>
      <c r="L37" s="116">
        <v>134.18</v>
      </c>
      <c r="M37" s="116"/>
      <c r="N37" s="116">
        <v>200</v>
      </c>
      <c r="O37" s="116">
        <v>177.44</v>
      </c>
      <c r="P37" s="116"/>
      <c r="Q37" s="116"/>
      <c r="R37" s="116"/>
      <c r="S37" s="46">
        <v>645.79999999999995</v>
      </c>
      <c r="T37" s="117"/>
      <c r="U37" s="56" t="s">
        <v>949</v>
      </c>
      <c r="V37" s="105" t="s">
        <v>571</v>
      </c>
    </row>
    <row r="38" spans="1:22" ht="21.75" customHeight="1" x14ac:dyDescent="0.3">
      <c r="A38" s="39">
        <v>14102875</v>
      </c>
      <c r="B38" s="40" t="s">
        <v>32</v>
      </c>
      <c r="C38" s="41" t="s">
        <v>590</v>
      </c>
      <c r="D38" s="42" t="s">
        <v>3</v>
      </c>
      <c r="E38" s="43" t="s">
        <v>567</v>
      </c>
      <c r="F38" s="43" t="s">
        <v>568</v>
      </c>
      <c r="G38" s="44">
        <v>93</v>
      </c>
      <c r="H38" s="43" t="s">
        <v>569</v>
      </c>
      <c r="I38" s="45" t="s">
        <v>571</v>
      </c>
      <c r="J38" s="45" t="s">
        <v>546</v>
      </c>
      <c r="K38" s="116">
        <v>134.18</v>
      </c>
      <c r="L38" s="116">
        <v>134.18</v>
      </c>
      <c r="M38" s="116"/>
      <c r="N38" s="116">
        <v>0</v>
      </c>
      <c r="O38" s="116">
        <v>0</v>
      </c>
      <c r="P38" s="116"/>
      <c r="Q38" s="116"/>
      <c r="R38" s="116"/>
      <c r="S38" s="46">
        <v>268.36</v>
      </c>
      <c r="T38" s="117"/>
      <c r="U38" s="56" t="s">
        <v>949</v>
      </c>
      <c r="V38" s="47" t="s">
        <v>951</v>
      </c>
    </row>
    <row r="39" spans="1:22" ht="21.75" customHeight="1" x14ac:dyDescent="0.3">
      <c r="A39" s="39">
        <v>14102890</v>
      </c>
      <c r="B39" s="40" t="s">
        <v>33</v>
      </c>
      <c r="C39" s="41" t="s">
        <v>591</v>
      </c>
      <c r="D39" s="42" t="s">
        <v>3</v>
      </c>
      <c r="E39" s="43" t="s">
        <v>567</v>
      </c>
      <c r="F39" s="43" t="s">
        <v>568</v>
      </c>
      <c r="G39" s="44">
        <v>93</v>
      </c>
      <c r="H39" s="43" t="s">
        <v>569</v>
      </c>
      <c r="I39" s="45" t="s">
        <v>569</v>
      </c>
      <c r="J39" s="45" t="s">
        <v>573</v>
      </c>
      <c r="K39" s="116">
        <v>134.18</v>
      </c>
      <c r="L39" s="116">
        <v>134.18</v>
      </c>
      <c r="M39" s="116"/>
      <c r="N39" s="116">
        <v>200</v>
      </c>
      <c r="O39" s="116">
        <v>0</v>
      </c>
      <c r="P39" s="116"/>
      <c r="Q39" s="116"/>
      <c r="R39" s="116"/>
      <c r="S39" s="46">
        <v>468.36</v>
      </c>
      <c r="T39" s="117"/>
      <c r="U39" s="56" t="s">
        <v>949</v>
      </c>
      <c r="V39" s="105" t="s">
        <v>571</v>
      </c>
    </row>
    <row r="40" spans="1:22" ht="21.75" customHeight="1" x14ac:dyDescent="0.3">
      <c r="A40" s="39">
        <v>14103061</v>
      </c>
      <c r="B40" s="40" t="s">
        <v>392</v>
      </c>
      <c r="C40" s="41" t="s">
        <v>592</v>
      </c>
      <c r="D40" s="42" t="s">
        <v>3</v>
      </c>
      <c r="E40" s="43" t="s">
        <v>567</v>
      </c>
      <c r="F40" s="43" t="s">
        <v>568</v>
      </c>
      <c r="G40" s="44">
        <v>94</v>
      </c>
      <c r="H40" s="43" t="s">
        <v>569</v>
      </c>
      <c r="I40" s="45" t="s">
        <v>569</v>
      </c>
      <c r="J40" s="45" t="s">
        <v>546</v>
      </c>
      <c r="K40" s="116">
        <v>134.18</v>
      </c>
      <c r="L40" s="116">
        <v>134.18</v>
      </c>
      <c r="M40" s="116"/>
      <c r="N40" s="116">
        <v>200</v>
      </c>
      <c r="O40" s="116">
        <v>177.44</v>
      </c>
      <c r="P40" s="116"/>
      <c r="Q40" s="116"/>
      <c r="R40" s="116"/>
      <c r="S40" s="46">
        <v>645.79999999999995</v>
      </c>
      <c r="T40" s="117"/>
      <c r="U40" s="56" t="s">
        <v>949</v>
      </c>
      <c r="V40" s="105" t="s">
        <v>571</v>
      </c>
    </row>
    <row r="41" spans="1:22" ht="21.75" customHeight="1" x14ac:dyDescent="0.3">
      <c r="A41" s="40">
        <v>14103106</v>
      </c>
      <c r="B41" s="40" t="s">
        <v>34</v>
      </c>
      <c r="C41" s="41" t="s">
        <v>593</v>
      </c>
      <c r="D41" s="42" t="s">
        <v>3</v>
      </c>
      <c r="E41" s="43" t="s">
        <v>567</v>
      </c>
      <c r="F41" s="43" t="s">
        <v>568</v>
      </c>
      <c r="G41" s="44">
        <v>94</v>
      </c>
      <c r="H41" s="43" t="s">
        <v>569</v>
      </c>
      <c r="I41" s="45" t="s">
        <v>571</v>
      </c>
      <c r="J41" s="45" t="s">
        <v>546</v>
      </c>
      <c r="K41" s="116">
        <v>134.18</v>
      </c>
      <c r="L41" s="116">
        <v>134.18</v>
      </c>
      <c r="M41" s="116"/>
      <c r="N41" s="116">
        <v>0</v>
      </c>
      <c r="O41" s="116">
        <v>0</v>
      </c>
      <c r="P41" s="116"/>
      <c r="Q41" s="116"/>
      <c r="R41" s="116"/>
      <c r="S41" s="46">
        <v>268.36</v>
      </c>
      <c r="T41" s="117"/>
      <c r="U41" s="56" t="s">
        <v>949</v>
      </c>
      <c r="V41" s="105" t="s">
        <v>571</v>
      </c>
    </row>
    <row r="42" spans="1:22" ht="21.75" customHeight="1" x14ac:dyDescent="0.3">
      <c r="A42" s="39">
        <v>14103183</v>
      </c>
      <c r="B42" s="40" t="s">
        <v>35</v>
      </c>
      <c r="C42" s="41" t="s">
        <v>594</v>
      </c>
      <c r="D42" s="42" t="s">
        <v>3</v>
      </c>
      <c r="E42" s="43" t="s">
        <v>567</v>
      </c>
      <c r="F42" s="43" t="s">
        <v>568</v>
      </c>
      <c r="G42" s="44">
        <v>95</v>
      </c>
      <c r="H42" s="43" t="s">
        <v>569</v>
      </c>
      <c r="I42" s="45" t="s">
        <v>571</v>
      </c>
      <c r="J42" s="45" t="s">
        <v>546</v>
      </c>
      <c r="K42" s="116">
        <v>134.18</v>
      </c>
      <c r="L42" s="116">
        <v>134.18</v>
      </c>
      <c r="M42" s="116"/>
      <c r="N42" s="116">
        <v>0</v>
      </c>
      <c r="O42" s="116">
        <v>0</v>
      </c>
      <c r="P42" s="116"/>
      <c r="Q42" s="116"/>
      <c r="R42" s="116"/>
      <c r="S42" s="46">
        <v>268.36</v>
      </c>
      <c r="T42" s="117"/>
      <c r="U42" s="56" t="s">
        <v>949</v>
      </c>
      <c r="V42" s="105" t="s">
        <v>571</v>
      </c>
    </row>
    <row r="43" spans="1:22" ht="21.75" customHeight="1" x14ac:dyDescent="0.3">
      <c r="A43" s="40">
        <v>14103335</v>
      </c>
      <c r="B43" s="49" t="s">
        <v>36</v>
      </c>
      <c r="C43" s="41" t="s">
        <v>595</v>
      </c>
      <c r="D43" s="42" t="s">
        <v>3</v>
      </c>
      <c r="E43" s="43" t="s">
        <v>567</v>
      </c>
      <c r="F43" s="43" t="s">
        <v>568</v>
      </c>
      <c r="G43" s="44">
        <v>94</v>
      </c>
      <c r="H43" s="43" t="s">
        <v>569</v>
      </c>
      <c r="I43" s="45" t="s">
        <v>569</v>
      </c>
      <c r="J43" s="45" t="s">
        <v>546</v>
      </c>
      <c r="K43" s="116">
        <v>134.18</v>
      </c>
      <c r="L43" s="116">
        <v>134.18</v>
      </c>
      <c r="M43" s="116"/>
      <c r="N43" s="116">
        <v>200</v>
      </c>
      <c r="O43" s="116">
        <v>177.44</v>
      </c>
      <c r="P43" s="116"/>
      <c r="Q43" s="116"/>
      <c r="R43" s="116"/>
      <c r="S43" s="46">
        <v>645.79999999999995</v>
      </c>
      <c r="T43" s="117"/>
      <c r="U43" s="56" t="s">
        <v>949</v>
      </c>
      <c r="V43" s="105" t="s">
        <v>571</v>
      </c>
    </row>
    <row r="44" spans="1:22" ht="21.75" customHeight="1" x14ac:dyDescent="0.3">
      <c r="A44" s="39">
        <v>14103470</v>
      </c>
      <c r="B44" s="40" t="s">
        <v>518</v>
      </c>
      <c r="C44" s="41" t="s">
        <v>596</v>
      </c>
      <c r="D44" s="42" t="s">
        <v>3</v>
      </c>
      <c r="E44" s="43" t="s">
        <v>567</v>
      </c>
      <c r="F44" s="43" t="s">
        <v>568</v>
      </c>
      <c r="G44" s="44">
        <v>83</v>
      </c>
      <c r="H44" s="43" t="s">
        <v>571</v>
      </c>
      <c r="I44" s="45" t="s">
        <v>571</v>
      </c>
      <c r="J44" s="45" t="s">
        <v>546</v>
      </c>
      <c r="K44" s="116">
        <v>134.18</v>
      </c>
      <c r="L44" s="116">
        <v>134.18</v>
      </c>
      <c r="M44" s="116"/>
      <c r="N44" s="116">
        <v>0</v>
      </c>
      <c r="O44" s="116">
        <v>0</v>
      </c>
      <c r="P44" s="116"/>
      <c r="Q44" s="116"/>
      <c r="R44" s="116"/>
      <c r="S44" s="46">
        <v>268.36</v>
      </c>
      <c r="T44" s="117"/>
      <c r="U44" s="56" t="s">
        <v>949</v>
      </c>
      <c r="V44" s="105" t="s">
        <v>571</v>
      </c>
    </row>
    <row r="45" spans="1:22" ht="21.75" customHeight="1" x14ac:dyDescent="0.3">
      <c r="A45" s="39">
        <v>14103679</v>
      </c>
      <c r="B45" s="40" t="s">
        <v>37</v>
      </c>
      <c r="C45" s="41" t="s">
        <v>597</v>
      </c>
      <c r="D45" s="42" t="s">
        <v>3</v>
      </c>
      <c r="E45" s="43" t="s">
        <v>567</v>
      </c>
      <c r="F45" s="43" t="s">
        <v>568</v>
      </c>
      <c r="G45" s="44">
        <v>89</v>
      </c>
      <c r="H45" s="43" t="s">
        <v>571</v>
      </c>
      <c r="I45" s="45" t="s">
        <v>569</v>
      </c>
      <c r="J45" s="45" t="s">
        <v>573</v>
      </c>
      <c r="K45" s="116">
        <v>134.18</v>
      </c>
      <c r="L45" s="116">
        <v>134.18</v>
      </c>
      <c r="M45" s="116"/>
      <c r="N45" s="116">
        <v>0</v>
      </c>
      <c r="O45" s="116">
        <v>0</v>
      </c>
      <c r="P45" s="116"/>
      <c r="Q45" s="116"/>
      <c r="R45" s="116"/>
      <c r="S45" s="46">
        <v>268.36</v>
      </c>
      <c r="T45" s="117"/>
      <c r="U45" s="56" t="s">
        <v>949</v>
      </c>
      <c r="V45" s="105" t="s">
        <v>571</v>
      </c>
    </row>
    <row r="46" spans="1:22" ht="21.75" customHeight="1" x14ac:dyDescent="0.3">
      <c r="A46" s="39">
        <v>14103936</v>
      </c>
      <c r="B46" s="40" t="s">
        <v>291</v>
      </c>
      <c r="C46" s="41" t="s">
        <v>599</v>
      </c>
      <c r="D46" s="42" t="s">
        <v>3</v>
      </c>
      <c r="E46" s="43" t="s">
        <v>567</v>
      </c>
      <c r="F46" s="43" t="s">
        <v>568</v>
      </c>
      <c r="G46" s="44">
        <v>88</v>
      </c>
      <c r="H46" s="43" t="s">
        <v>571</v>
      </c>
      <c r="I46" s="45" t="s">
        <v>571</v>
      </c>
      <c r="J46" s="45" t="s">
        <v>546</v>
      </c>
      <c r="K46" s="116">
        <v>134.18</v>
      </c>
      <c r="L46" s="116">
        <v>134.18</v>
      </c>
      <c r="M46" s="116"/>
      <c r="N46" s="116">
        <v>0</v>
      </c>
      <c r="O46" s="116">
        <v>0</v>
      </c>
      <c r="P46" s="116"/>
      <c r="Q46" s="116"/>
      <c r="R46" s="116"/>
      <c r="S46" s="46">
        <v>268.36</v>
      </c>
      <c r="T46" s="117"/>
      <c r="U46" s="56" t="s">
        <v>949</v>
      </c>
      <c r="V46" s="105" t="s">
        <v>571</v>
      </c>
    </row>
    <row r="47" spans="1:22" ht="21.75" customHeight="1" x14ac:dyDescent="0.3">
      <c r="A47" s="40">
        <v>14103952</v>
      </c>
      <c r="B47" s="40" t="s">
        <v>38</v>
      </c>
      <c r="C47" s="41" t="s">
        <v>600</v>
      </c>
      <c r="D47" s="42" t="s">
        <v>3</v>
      </c>
      <c r="E47" s="43" t="s">
        <v>567</v>
      </c>
      <c r="F47" s="43" t="s">
        <v>568</v>
      </c>
      <c r="G47" s="44">
        <v>95</v>
      </c>
      <c r="H47" s="43" t="s">
        <v>569</v>
      </c>
      <c r="I47" s="45" t="s">
        <v>569</v>
      </c>
      <c r="J47" s="45" t="s">
        <v>546</v>
      </c>
      <c r="K47" s="116">
        <v>134.18</v>
      </c>
      <c r="L47" s="116">
        <v>134.18</v>
      </c>
      <c r="M47" s="116"/>
      <c r="N47" s="116">
        <v>200</v>
      </c>
      <c r="O47" s="116">
        <v>177.44</v>
      </c>
      <c r="P47" s="116"/>
      <c r="Q47" s="116"/>
      <c r="R47" s="116"/>
      <c r="S47" s="46">
        <v>645.79999999999995</v>
      </c>
      <c r="T47" s="117"/>
      <c r="U47" s="56" t="s">
        <v>949</v>
      </c>
      <c r="V47" s="105" t="s">
        <v>571</v>
      </c>
    </row>
    <row r="48" spans="1:22" ht="17.25" x14ac:dyDescent="0.3">
      <c r="A48" s="39">
        <v>14104315</v>
      </c>
      <c r="B48" s="40" t="s">
        <v>328</v>
      </c>
      <c r="C48" s="41" t="s">
        <v>601</v>
      </c>
      <c r="D48" s="42" t="s">
        <v>3</v>
      </c>
      <c r="E48" s="43" t="s">
        <v>567</v>
      </c>
      <c r="F48" s="43" t="s">
        <v>568</v>
      </c>
      <c r="G48" s="44">
        <v>87</v>
      </c>
      <c r="H48" s="43" t="s">
        <v>571</v>
      </c>
      <c r="I48" s="45" t="s">
        <v>569</v>
      </c>
      <c r="J48" s="45" t="s">
        <v>546</v>
      </c>
      <c r="K48" s="116">
        <v>134.18</v>
      </c>
      <c r="L48" s="116">
        <v>134.18</v>
      </c>
      <c r="M48" s="116"/>
      <c r="N48" s="116">
        <v>0</v>
      </c>
      <c r="O48" s="116">
        <v>177.44</v>
      </c>
      <c r="P48" s="116"/>
      <c r="Q48" s="116"/>
      <c r="R48" s="116"/>
      <c r="S48" s="46">
        <v>445.8</v>
      </c>
      <c r="T48" s="117"/>
      <c r="U48" s="56" t="s">
        <v>949</v>
      </c>
      <c r="V48" s="105" t="s">
        <v>571</v>
      </c>
    </row>
    <row r="49" spans="1:22" ht="21.75" customHeight="1" x14ac:dyDescent="0.3">
      <c r="A49" s="39">
        <v>14104316</v>
      </c>
      <c r="B49" s="40" t="s">
        <v>39</v>
      </c>
      <c r="C49" s="41" t="s">
        <v>602</v>
      </c>
      <c r="D49" s="42" t="s">
        <v>3</v>
      </c>
      <c r="E49" s="43" t="s">
        <v>567</v>
      </c>
      <c r="F49" s="43" t="s">
        <v>568</v>
      </c>
      <c r="G49" s="44">
        <v>94</v>
      </c>
      <c r="H49" s="43" t="s">
        <v>569</v>
      </c>
      <c r="I49" s="45" t="s">
        <v>571</v>
      </c>
      <c r="J49" s="45" t="s">
        <v>546</v>
      </c>
      <c r="K49" s="116">
        <v>134.18</v>
      </c>
      <c r="L49" s="116">
        <v>134.18</v>
      </c>
      <c r="M49" s="116"/>
      <c r="N49" s="116">
        <v>0</v>
      </c>
      <c r="O49" s="116">
        <v>0</v>
      </c>
      <c r="P49" s="116"/>
      <c r="Q49" s="116"/>
      <c r="R49" s="116"/>
      <c r="S49" s="46">
        <v>268.36</v>
      </c>
      <c r="T49" s="117"/>
      <c r="U49" s="56" t="s">
        <v>949</v>
      </c>
      <c r="V49" s="105" t="s">
        <v>571</v>
      </c>
    </row>
    <row r="50" spans="1:22" ht="21.75" customHeight="1" x14ac:dyDescent="0.3">
      <c r="A50" s="39">
        <v>14104599</v>
      </c>
      <c r="B50" s="40" t="s">
        <v>40</v>
      </c>
      <c r="C50" s="41" t="s">
        <v>603</v>
      </c>
      <c r="D50" s="42" t="s">
        <v>3</v>
      </c>
      <c r="E50" s="43" t="s">
        <v>567</v>
      </c>
      <c r="F50" s="43" t="s">
        <v>730</v>
      </c>
      <c r="G50" s="44">
        <v>95</v>
      </c>
      <c r="H50" s="43" t="s">
        <v>569</v>
      </c>
      <c r="I50" s="45" t="s">
        <v>571</v>
      </c>
      <c r="J50" s="45" t="s">
        <v>546</v>
      </c>
      <c r="K50" s="116">
        <v>134.18</v>
      </c>
      <c r="L50" s="116">
        <v>0</v>
      </c>
      <c r="M50" s="116"/>
      <c r="N50" s="116">
        <v>0</v>
      </c>
      <c r="O50" s="116">
        <v>0</v>
      </c>
      <c r="P50" s="116"/>
      <c r="Q50" s="116"/>
      <c r="R50" s="116"/>
      <c r="S50" s="46">
        <v>134.18</v>
      </c>
      <c r="T50" s="117"/>
      <c r="U50" s="56" t="s">
        <v>949</v>
      </c>
      <c r="V50" s="105" t="s">
        <v>571</v>
      </c>
    </row>
    <row r="51" spans="1:22" ht="21.75" customHeight="1" x14ac:dyDescent="0.3">
      <c r="A51" s="39">
        <v>14104822</v>
      </c>
      <c r="B51" s="40" t="s">
        <v>41</v>
      </c>
      <c r="C51" s="41" t="s">
        <v>604</v>
      </c>
      <c r="D51" s="42" t="s">
        <v>3</v>
      </c>
      <c r="E51" s="43" t="s">
        <v>567</v>
      </c>
      <c r="F51" s="43" t="s">
        <v>568</v>
      </c>
      <c r="G51" s="44">
        <v>94</v>
      </c>
      <c r="H51" s="43" t="s">
        <v>569</v>
      </c>
      <c r="I51" s="45" t="s">
        <v>571</v>
      </c>
      <c r="J51" s="45" t="s">
        <v>546</v>
      </c>
      <c r="K51" s="116">
        <v>134.18</v>
      </c>
      <c r="L51" s="116">
        <v>134.18</v>
      </c>
      <c r="M51" s="116"/>
      <c r="N51" s="116">
        <v>0</v>
      </c>
      <c r="O51" s="116">
        <v>0</v>
      </c>
      <c r="P51" s="116"/>
      <c r="Q51" s="116"/>
      <c r="R51" s="116"/>
      <c r="S51" s="46">
        <v>268.36</v>
      </c>
      <c r="T51" s="117"/>
      <c r="U51" s="56" t="s">
        <v>949</v>
      </c>
      <c r="V51" s="47" t="s">
        <v>951</v>
      </c>
    </row>
    <row r="52" spans="1:22" ht="21.75" customHeight="1" x14ac:dyDescent="0.3">
      <c r="A52" s="39">
        <v>14104839</v>
      </c>
      <c r="B52" s="40" t="s">
        <v>224</v>
      </c>
      <c r="C52" s="41" t="s">
        <v>605</v>
      </c>
      <c r="D52" s="42" t="s">
        <v>3</v>
      </c>
      <c r="E52" s="43" t="s">
        <v>567</v>
      </c>
      <c r="F52" s="43" t="s">
        <v>568</v>
      </c>
      <c r="G52" s="44">
        <v>94</v>
      </c>
      <c r="H52" s="43" t="s">
        <v>569</v>
      </c>
      <c r="I52" s="45" t="s">
        <v>571</v>
      </c>
      <c r="J52" s="45" t="s">
        <v>546</v>
      </c>
      <c r="K52" s="116">
        <v>134.18</v>
      </c>
      <c r="L52" s="116">
        <v>134.18</v>
      </c>
      <c r="M52" s="116"/>
      <c r="N52" s="116">
        <v>0</v>
      </c>
      <c r="O52" s="116">
        <v>0</v>
      </c>
      <c r="P52" s="116"/>
      <c r="Q52" s="116"/>
      <c r="R52" s="116"/>
      <c r="S52" s="46">
        <v>268.36</v>
      </c>
      <c r="T52" s="117"/>
      <c r="U52" s="56" t="s">
        <v>949</v>
      </c>
      <c r="V52" s="105" t="s">
        <v>571</v>
      </c>
    </row>
    <row r="53" spans="1:22" ht="21.75" customHeight="1" x14ac:dyDescent="0.3">
      <c r="A53" s="39">
        <v>14104853</v>
      </c>
      <c r="B53" s="40" t="s">
        <v>181</v>
      </c>
      <c r="C53" s="41" t="s">
        <v>606</v>
      </c>
      <c r="D53" s="42" t="s">
        <v>3</v>
      </c>
      <c r="E53" s="43" t="s">
        <v>567</v>
      </c>
      <c r="F53" s="43" t="s">
        <v>568</v>
      </c>
      <c r="G53" s="44">
        <v>92</v>
      </c>
      <c r="H53" s="43" t="s">
        <v>569</v>
      </c>
      <c r="I53" s="45" t="s">
        <v>569</v>
      </c>
      <c r="J53" s="45" t="s">
        <v>573</v>
      </c>
      <c r="K53" s="116">
        <v>134.18</v>
      </c>
      <c r="L53" s="116">
        <v>134.18</v>
      </c>
      <c r="M53" s="116"/>
      <c r="N53" s="116">
        <v>200</v>
      </c>
      <c r="O53" s="116">
        <v>0</v>
      </c>
      <c r="P53" s="116"/>
      <c r="Q53" s="116"/>
      <c r="R53" s="116"/>
      <c r="S53" s="46">
        <v>468.36</v>
      </c>
      <c r="T53" s="117"/>
      <c r="U53" s="56" t="s">
        <v>949</v>
      </c>
      <c r="V53" s="105" t="s">
        <v>571</v>
      </c>
    </row>
    <row r="54" spans="1:22" ht="21.75" customHeight="1" x14ac:dyDescent="0.3">
      <c r="A54" s="39">
        <v>14104932</v>
      </c>
      <c r="B54" s="40" t="s">
        <v>42</v>
      </c>
      <c r="C54" s="41" t="s">
        <v>607</v>
      </c>
      <c r="D54" s="42" t="s">
        <v>3</v>
      </c>
      <c r="E54" s="43" t="s">
        <v>567</v>
      </c>
      <c r="F54" s="43" t="s">
        <v>568</v>
      </c>
      <c r="G54" s="44">
        <v>85</v>
      </c>
      <c r="H54" s="43" t="s">
        <v>571</v>
      </c>
      <c r="I54" s="45" t="s">
        <v>571</v>
      </c>
      <c r="J54" s="45" t="s">
        <v>546</v>
      </c>
      <c r="K54" s="116">
        <v>134.18</v>
      </c>
      <c r="L54" s="116">
        <v>134.18</v>
      </c>
      <c r="M54" s="116"/>
      <c r="N54" s="116">
        <v>0</v>
      </c>
      <c r="O54" s="116">
        <v>0</v>
      </c>
      <c r="P54" s="116"/>
      <c r="Q54" s="116"/>
      <c r="R54" s="116"/>
      <c r="S54" s="46">
        <v>268.36</v>
      </c>
      <c r="T54" s="117"/>
      <c r="U54" s="56" t="s">
        <v>949</v>
      </c>
      <c r="V54" s="105" t="s">
        <v>571</v>
      </c>
    </row>
    <row r="55" spans="1:22" ht="21.75" customHeight="1" x14ac:dyDescent="0.3">
      <c r="A55" s="40">
        <v>14104957</v>
      </c>
      <c r="B55" s="40" t="s">
        <v>303</v>
      </c>
      <c r="C55" s="41" t="s">
        <v>608</v>
      </c>
      <c r="D55" s="42" t="s">
        <v>3</v>
      </c>
      <c r="E55" s="43" t="s">
        <v>567</v>
      </c>
      <c r="F55" s="43" t="s">
        <v>568</v>
      </c>
      <c r="G55" s="44">
        <v>94</v>
      </c>
      <c r="H55" s="43" t="s">
        <v>569</v>
      </c>
      <c r="I55" s="45" t="s">
        <v>569</v>
      </c>
      <c r="J55" s="45" t="s">
        <v>546</v>
      </c>
      <c r="K55" s="116">
        <v>134.18</v>
      </c>
      <c r="L55" s="116">
        <v>134.18</v>
      </c>
      <c r="M55" s="116"/>
      <c r="N55" s="116">
        <v>200</v>
      </c>
      <c r="O55" s="116">
        <v>177.44</v>
      </c>
      <c r="P55" s="116"/>
      <c r="Q55" s="116"/>
      <c r="R55" s="116"/>
      <c r="S55" s="46">
        <v>645.79999999999995</v>
      </c>
      <c r="T55" s="117"/>
      <c r="U55" s="56" t="s">
        <v>949</v>
      </c>
      <c r="V55" s="105" t="s">
        <v>571</v>
      </c>
    </row>
    <row r="56" spans="1:22" ht="21.75" customHeight="1" x14ac:dyDescent="0.3">
      <c r="A56" s="39">
        <v>14104971</v>
      </c>
      <c r="B56" s="40" t="s">
        <v>43</v>
      </c>
      <c r="C56" s="41" t="s">
        <v>609</v>
      </c>
      <c r="D56" s="42" t="s">
        <v>3</v>
      </c>
      <c r="E56" s="43" t="s">
        <v>567</v>
      </c>
      <c r="F56" s="43" t="s">
        <v>568</v>
      </c>
      <c r="G56" s="44">
        <v>95</v>
      </c>
      <c r="H56" s="43" t="s">
        <v>569</v>
      </c>
      <c r="I56" s="45" t="s">
        <v>571</v>
      </c>
      <c r="J56" s="45" t="s">
        <v>546</v>
      </c>
      <c r="K56" s="116">
        <v>134.18</v>
      </c>
      <c r="L56" s="116">
        <v>134.18</v>
      </c>
      <c r="M56" s="116"/>
      <c r="N56" s="116">
        <v>0</v>
      </c>
      <c r="O56" s="116">
        <v>0</v>
      </c>
      <c r="P56" s="116"/>
      <c r="Q56" s="116"/>
      <c r="R56" s="116"/>
      <c r="S56" s="46">
        <v>268.36</v>
      </c>
      <c r="T56" s="117"/>
      <c r="U56" s="56" t="s">
        <v>949</v>
      </c>
      <c r="V56" s="105" t="s">
        <v>571</v>
      </c>
    </row>
    <row r="57" spans="1:22" ht="21.75" customHeight="1" x14ac:dyDescent="0.3">
      <c r="A57" s="39">
        <v>14105437</v>
      </c>
      <c r="B57" s="40" t="s">
        <v>44</v>
      </c>
      <c r="C57" s="41" t="s">
        <v>610</v>
      </c>
      <c r="D57" s="42" t="s">
        <v>3</v>
      </c>
      <c r="E57" s="43" t="s">
        <v>567</v>
      </c>
      <c r="F57" s="43" t="s">
        <v>568</v>
      </c>
      <c r="G57" s="44">
        <v>94</v>
      </c>
      <c r="H57" s="43" t="s">
        <v>569</v>
      </c>
      <c r="I57" s="45" t="s">
        <v>569</v>
      </c>
      <c r="J57" s="45" t="s">
        <v>546</v>
      </c>
      <c r="K57" s="116">
        <v>134.18</v>
      </c>
      <c r="L57" s="116">
        <v>134.18</v>
      </c>
      <c r="M57" s="116"/>
      <c r="N57" s="116">
        <v>200</v>
      </c>
      <c r="O57" s="116">
        <v>177.44</v>
      </c>
      <c r="P57" s="116"/>
      <c r="Q57" s="116"/>
      <c r="R57" s="116"/>
      <c r="S57" s="46">
        <v>645.79999999999995</v>
      </c>
      <c r="T57" s="117"/>
      <c r="U57" s="56" t="s">
        <v>949</v>
      </c>
      <c r="V57" s="105" t="s">
        <v>571</v>
      </c>
    </row>
    <row r="58" spans="1:22" ht="21.75" customHeight="1" x14ac:dyDescent="0.3">
      <c r="A58" s="39">
        <v>14105531</v>
      </c>
      <c r="B58" s="40" t="s">
        <v>45</v>
      </c>
      <c r="C58" s="41" t="s">
        <v>611</v>
      </c>
      <c r="D58" s="42" t="s">
        <v>3</v>
      </c>
      <c r="E58" s="43" t="s">
        <v>567</v>
      </c>
      <c r="F58" s="43" t="s">
        <v>568</v>
      </c>
      <c r="G58" s="44">
        <v>81</v>
      </c>
      <c r="H58" s="43" t="s">
        <v>571</v>
      </c>
      <c r="I58" s="45" t="s">
        <v>569</v>
      </c>
      <c r="J58" s="45" t="s">
        <v>546</v>
      </c>
      <c r="K58" s="116">
        <v>134.18</v>
      </c>
      <c r="L58" s="116">
        <v>134.18</v>
      </c>
      <c r="M58" s="116"/>
      <c r="N58" s="116">
        <v>0</v>
      </c>
      <c r="O58" s="116">
        <v>177.44</v>
      </c>
      <c r="P58" s="116"/>
      <c r="Q58" s="116"/>
      <c r="R58" s="116"/>
      <c r="S58" s="46">
        <v>445.8</v>
      </c>
      <c r="T58" s="117"/>
      <c r="U58" s="56" t="s">
        <v>949</v>
      </c>
      <c r="V58" s="105" t="s">
        <v>571</v>
      </c>
    </row>
    <row r="59" spans="1:22" ht="21.75" customHeight="1" x14ac:dyDescent="0.3">
      <c r="A59" s="39">
        <v>14105586</v>
      </c>
      <c r="B59" s="40" t="s">
        <v>46</v>
      </c>
      <c r="C59" s="41" t="s">
        <v>612</v>
      </c>
      <c r="D59" s="42" t="s">
        <v>3</v>
      </c>
      <c r="E59" s="43" t="s">
        <v>567</v>
      </c>
      <c r="F59" s="43" t="s">
        <v>568</v>
      </c>
      <c r="G59" s="44">
        <v>94</v>
      </c>
      <c r="H59" s="43" t="s">
        <v>569</v>
      </c>
      <c r="I59" s="45" t="s">
        <v>569</v>
      </c>
      <c r="J59" s="45" t="s">
        <v>546</v>
      </c>
      <c r="K59" s="116">
        <v>134.18</v>
      </c>
      <c r="L59" s="116">
        <v>134.18</v>
      </c>
      <c r="M59" s="116"/>
      <c r="N59" s="116">
        <v>200</v>
      </c>
      <c r="O59" s="116">
        <v>177.44</v>
      </c>
      <c r="P59" s="116"/>
      <c r="Q59" s="116"/>
      <c r="R59" s="116"/>
      <c r="S59" s="46">
        <v>645.79999999999995</v>
      </c>
      <c r="T59" s="117"/>
      <c r="U59" s="56" t="s">
        <v>949</v>
      </c>
      <c r="V59" s="105" t="s">
        <v>571</v>
      </c>
    </row>
    <row r="60" spans="1:22" ht="21.75" customHeight="1" x14ac:dyDescent="0.3">
      <c r="A60" s="39">
        <v>14105645</v>
      </c>
      <c r="B60" s="40" t="s">
        <v>160</v>
      </c>
      <c r="C60" s="41" t="s">
        <v>613</v>
      </c>
      <c r="D60" s="42" t="s">
        <v>3</v>
      </c>
      <c r="E60" s="43" t="s">
        <v>567</v>
      </c>
      <c r="F60" s="43" t="s">
        <v>568</v>
      </c>
      <c r="G60" s="44">
        <v>94</v>
      </c>
      <c r="H60" s="43" t="s">
        <v>569</v>
      </c>
      <c r="I60" s="45" t="s">
        <v>571</v>
      </c>
      <c r="J60" s="45" t="s">
        <v>546</v>
      </c>
      <c r="K60" s="116">
        <v>134.18</v>
      </c>
      <c r="L60" s="116">
        <v>134.18</v>
      </c>
      <c r="M60" s="116"/>
      <c r="N60" s="116">
        <v>0</v>
      </c>
      <c r="O60" s="116">
        <v>0</v>
      </c>
      <c r="P60" s="116"/>
      <c r="Q60" s="116"/>
      <c r="R60" s="116"/>
      <c r="S60" s="46">
        <v>268.36</v>
      </c>
      <c r="T60" s="117"/>
      <c r="U60" s="56" t="s">
        <v>949</v>
      </c>
      <c r="V60" s="105" t="s">
        <v>571</v>
      </c>
    </row>
    <row r="61" spans="1:22" ht="21.75" customHeight="1" x14ac:dyDescent="0.3">
      <c r="A61" s="39">
        <v>14106033</v>
      </c>
      <c r="B61" s="40" t="s">
        <v>47</v>
      </c>
      <c r="C61" s="41" t="s">
        <v>614</v>
      </c>
      <c r="D61" s="42" t="s">
        <v>3</v>
      </c>
      <c r="E61" s="43" t="s">
        <v>567</v>
      </c>
      <c r="F61" s="43" t="s">
        <v>568</v>
      </c>
      <c r="G61" s="44">
        <v>91</v>
      </c>
      <c r="H61" s="43" t="s">
        <v>569</v>
      </c>
      <c r="I61" s="45" t="s">
        <v>569</v>
      </c>
      <c r="J61" s="45" t="s">
        <v>546</v>
      </c>
      <c r="K61" s="116">
        <v>134.18</v>
      </c>
      <c r="L61" s="116">
        <v>134.18</v>
      </c>
      <c r="M61" s="116"/>
      <c r="N61" s="116">
        <v>200</v>
      </c>
      <c r="O61" s="116">
        <v>177.44</v>
      </c>
      <c r="P61" s="116"/>
      <c r="Q61" s="116"/>
      <c r="R61" s="116"/>
      <c r="S61" s="46">
        <v>645.79999999999995</v>
      </c>
      <c r="T61" s="117"/>
      <c r="U61" s="56" t="s">
        <v>949</v>
      </c>
      <c r="V61" s="105" t="s">
        <v>571</v>
      </c>
    </row>
    <row r="62" spans="1:22" ht="21.75" customHeight="1" x14ac:dyDescent="0.3">
      <c r="A62" s="39">
        <v>14106066</v>
      </c>
      <c r="B62" s="48" t="s">
        <v>49</v>
      </c>
      <c r="C62" s="41" t="s">
        <v>615</v>
      </c>
      <c r="D62" s="42" t="s">
        <v>3</v>
      </c>
      <c r="E62" s="43" t="s">
        <v>567</v>
      </c>
      <c r="F62" s="43" t="s">
        <v>568</v>
      </c>
      <c r="G62" s="44">
        <v>90</v>
      </c>
      <c r="H62" s="43" t="s">
        <v>569</v>
      </c>
      <c r="I62" s="45" t="s">
        <v>569</v>
      </c>
      <c r="J62" s="45" t="s">
        <v>546</v>
      </c>
      <c r="K62" s="116">
        <v>134.18</v>
      </c>
      <c r="L62" s="116">
        <v>134.18</v>
      </c>
      <c r="M62" s="116"/>
      <c r="N62" s="116">
        <v>200</v>
      </c>
      <c r="O62" s="116">
        <v>177.44</v>
      </c>
      <c r="P62" s="116"/>
      <c r="Q62" s="116"/>
      <c r="R62" s="116"/>
      <c r="S62" s="46">
        <v>645.79999999999995</v>
      </c>
      <c r="T62" s="117"/>
      <c r="U62" s="56" t="s">
        <v>949</v>
      </c>
      <c r="V62" s="105" t="s">
        <v>571</v>
      </c>
    </row>
    <row r="63" spans="1:22" ht="21.75" customHeight="1" x14ac:dyDescent="0.3">
      <c r="A63" s="39">
        <v>14106233</v>
      </c>
      <c r="B63" s="48" t="s">
        <v>340</v>
      </c>
      <c r="C63" s="41" t="s">
        <v>616</v>
      </c>
      <c r="D63" s="42" t="s">
        <v>3</v>
      </c>
      <c r="E63" s="43" t="s">
        <v>567</v>
      </c>
      <c r="F63" s="43" t="s">
        <v>730</v>
      </c>
      <c r="G63" s="44">
        <v>92</v>
      </c>
      <c r="H63" s="43" t="s">
        <v>569</v>
      </c>
      <c r="I63" s="45" t="s">
        <v>569</v>
      </c>
      <c r="J63" s="45" t="s">
        <v>546</v>
      </c>
      <c r="K63" s="116">
        <v>134.18</v>
      </c>
      <c r="L63" s="116">
        <v>0</v>
      </c>
      <c r="M63" s="116"/>
      <c r="N63" s="116">
        <v>200</v>
      </c>
      <c r="O63" s="116">
        <v>177.44</v>
      </c>
      <c r="P63" s="116"/>
      <c r="Q63" s="116"/>
      <c r="R63" s="116"/>
      <c r="S63" s="46">
        <v>511.62</v>
      </c>
      <c r="T63" s="117"/>
      <c r="U63" s="56" t="s">
        <v>949</v>
      </c>
      <c r="V63" s="105" t="s">
        <v>571</v>
      </c>
    </row>
    <row r="64" spans="1:22" ht="21.75" customHeight="1" x14ac:dyDescent="0.3">
      <c r="A64" s="39">
        <v>14106368</v>
      </c>
      <c r="B64" s="40" t="s">
        <v>50</v>
      </c>
      <c r="C64" s="41" t="s">
        <v>617</v>
      </c>
      <c r="D64" s="42" t="s">
        <v>3</v>
      </c>
      <c r="E64" s="43" t="s">
        <v>567</v>
      </c>
      <c r="F64" s="43" t="s">
        <v>568</v>
      </c>
      <c r="G64" s="44">
        <v>89</v>
      </c>
      <c r="H64" s="43" t="s">
        <v>571</v>
      </c>
      <c r="I64" s="45" t="s">
        <v>571</v>
      </c>
      <c r="J64" s="45" t="s">
        <v>546</v>
      </c>
      <c r="K64" s="116">
        <v>134.18</v>
      </c>
      <c r="L64" s="116">
        <v>134.18</v>
      </c>
      <c r="M64" s="116"/>
      <c r="N64" s="116">
        <v>0</v>
      </c>
      <c r="O64" s="116">
        <v>0</v>
      </c>
      <c r="P64" s="116"/>
      <c r="Q64" s="116"/>
      <c r="R64" s="116"/>
      <c r="S64" s="46">
        <v>268.36</v>
      </c>
      <c r="T64" s="117"/>
      <c r="U64" s="56" t="s">
        <v>949</v>
      </c>
      <c r="V64" s="105" t="s">
        <v>571</v>
      </c>
    </row>
    <row r="65" spans="1:22" ht="21.75" customHeight="1" x14ac:dyDescent="0.3">
      <c r="A65" s="39">
        <v>14106438</v>
      </c>
      <c r="B65" s="40" t="s">
        <v>51</v>
      </c>
      <c r="C65" s="41" t="s">
        <v>618</v>
      </c>
      <c r="D65" s="42" t="s">
        <v>3</v>
      </c>
      <c r="E65" s="43" t="s">
        <v>567</v>
      </c>
      <c r="F65" s="43" t="s">
        <v>568</v>
      </c>
      <c r="G65" s="44">
        <v>95</v>
      </c>
      <c r="H65" s="43" t="s">
        <v>569</v>
      </c>
      <c r="I65" s="45" t="s">
        <v>571</v>
      </c>
      <c r="J65" s="45" t="s">
        <v>546</v>
      </c>
      <c r="K65" s="116">
        <v>134.18</v>
      </c>
      <c r="L65" s="116">
        <v>134.18</v>
      </c>
      <c r="M65" s="116"/>
      <c r="N65" s="116">
        <v>0</v>
      </c>
      <c r="O65" s="116">
        <v>0</v>
      </c>
      <c r="P65" s="116"/>
      <c r="Q65" s="116"/>
      <c r="R65" s="116"/>
      <c r="S65" s="46">
        <v>268.36</v>
      </c>
      <c r="T65" s="117"/>
      <c r="U65" s="56" t="s">
        <v>949</v>
      </c>
      <c r="V65" s="105" t="s">
        <v>571</v>
      </c>
    </row>
    <row r="66" spans="1:22" ht="21.75" customHeight="1" x14ac:dyDescent="0.3">
      <c r="A66" s="39">
        <v>14106778</v>
      </c>
      <c r="B66" s="40" t="s">
        <v>52</v>
      </c>
      <c r="C66" s="41" t="s">
        <v>619</v>
      </c>
      <c r="D66" s="42" t="s">
        <v>3</v>
      </c>
      <c r="E66" s="43" t="s">
        <v>567</v>
      </c>
      <c r="F66" s="43" t="s">
        <v>568</v>
      </c>
      <c r="G66" s="44"/>
      <c r="H66" s="43" t="s">
        <v>571</v>
      </c>
      <c r="I66" s="45" t="s">
        <v>569</v>
      </c>
      <c r="J66" s="45" t="s">
        <v>573</v>
      </c>
      <c r="K66" s="116">
        <v>0</v>
      </c>
      <c r="L66" s="116">
        <v>0</v>
      </c>
      <c r="M66" s="116"/>
      <c r="N66" s="116">
        <v>0</v>
      </c>
      <c r="O66" s="116">
        <v>0</v>
      </c>
      <c r="P66" s="116"/>
      <c r="Q66" s="116"/>
      <c r="R66" s="116"/>
      <c r="S66" s="46">
        <v>0</v>
      </c>
      <c r="T66" s="117"/>
      <c r="U66" s="56" t="s">
        <v>571</v>
      </c>
      <c r="V66" s="105" t="s">
        <v>571</v>
      </c>
    </row>
    <row r="67" spans="1:22" ht="21.75" customHeight="1" x14ac:dyDescent="0.3">
      <c r="A67" s="39">
        <v>14106949</v>
      </c>
      <c r="B67" s="40" t="s">
        <v>53</v>
      </c>
      <c r="C67" s="41" t="s">
        <v>620</v>
      </c>
      <c r="D67" s="42" t="s">
        <v>3</v>
      </c>
      <c r="E67" s="43" t="s">
        <v>567</v>
      </c>
      <c r="F67" s="43" t="s">
        <v>568</v>
      </c>
      <c r="G67" s="44">
        <v>95</v>
      </c>
      <c r="H67" s="43" t="s">
        <v>569</v>
      </c>
      <c r="I67" s="45" t="s">
        <v>569</v>
      </c>
      <c r="J67" s="45" t="s">
        <v>546</v>
      </c>
      <c r="K67" s="116">
        <v>134.18</v>
      </c>
      <c r="L67" s="116">
        <v>134.18</v>
      </c>
      <c r="M67" s="116"/>
      <c r="N67" s="116">
        <v>200</v>
      </c>
      <c r="O67" s="116">
        <v>177.44</v>
      </c>
      <c r="P67" s="116"/>
      <c r="Q67" s="116"/>
      <c r="R67" s="116"/>
      <c r="S67" s="46">
        <v>645.79999999999995</v>
      </c>
      <c r="T67" s="117"/>
      <c r="U67" s="56" t="s">
        <v>949</v>
      </c>
      <c r="V67" s="105" t="s">
        <v>571</v>
      </c>
    </row>
    <row r="68" spans="1:22" ht="21.75" customHeight="1" x14ac:dyDescent="0.3">
      <c r="A68" s="39">
        <v>14106980</v>
      </c>
      <c r="B68" s="40" t="s">
        <v>54</v>
      </c>
      <c r="C68" s="41" t="s">
        <v>621</v>
      </c>
      <c r="D68" s="42" t="s">
        <v>3</v>
      </c>
      <c r="E68" s="43" t="s">
        <v>567</v>
      </c>
      <c r="F68" s="43" t="s">
        <v>568</v>
      </c>
      <c r="G68" s="44">
        <v>95</v>
      </c>
      <c r="H68" s="43" t="s">
        <v>569</v>
      </c>
      <c r="I68" s="45" t="s">
        <v>569</v>
      </c>
      <c r="J68" s="45" t="s">
        <v>546</v>
      </c>
      <c r="K68" s="116">
        <v>134.18</v>
      </c>
      <c r="L68" s="116">
        <v>134.18</v>
      </c>
      <c r="M68" s="116"/>
      <c r="N68" s="116">
        <v>200</v>
      </c>
      <c r="O68" s="116">
        <v>177.44</v>
      </c>
      <c r="P68" s="116"/>
      <c r="Q68" s="116"/>
      <c r="R68" s="116"/>
      <c r="S68" s="46">
        <v>645.79999999999995</v>
      </c>
      <c r="T68" s="117"/>
      <c r="U68" s="56" t="s">
        <v>949</v>
      </c>
      <c r="V68" s="105" t="s">
        <v>571</v>
      </c>
    </row>
    <row r="69" spans="1:22" ht="21.75" customHeight="1" x14ac:dyDescent="0.3">
      <c r="A69" s="39">
        <v>14107081</v>
      </c>
      <c r="B69" s="40" t="s">
        <v>55</v>
      </c>
      <c r="C69" s="41" t="s">
        <v>622</v>
      </c>
      <c r="D69" s="42" t="s">
        <v>3</v>
      </c>
      <c r="E69" s="43" t="s">
        <v>567</v>
      </c>
      <c r="F69" s="43" t="s">
        <v>568</v>
      </c>
      <c r="G69" s="44">
        <v>94</v>
      </c>
      <c r="H69" s="43" t="s">
        <v>569</v>
      </c>
      <c r="I69" s="45" t="s">
        <v>571</v>
      </c>
      <c r="J69" s="45" t="s">
        <v>546</v>
      </c>
      <c r="K69" s="116">
        <v>134.18</v>
      </c>
      <c r="L69" s="116">
        <v>134.18</v>
      </c>
      <c r="M69" s="116"/>
      <c r="N69" s="116">
        <v>0</v>
      </c>
      <c r="O69" s="116">
        <v>0</v>
      </c>
      <c r="P69" s="116"/>
      <c r="Q69" s="116"/>
      <c r="R69" s="116"/>
      <c r="S69" s="46">
        <v>268.36</v>
      </c>
      <c r="T69" s="117"/>
      <c r="U69" s="56" t="s">
        <v>949</v>
      </c>
      <c r="V69" s="105" t="s">
        <v>571</v>
      </c>
    </row>
    <row r="70" spans="1:22" ht="21.75" customHeight="1" x14ac:dyDescent="0.3">
      <c r="A70" s="39">
        <v>14107167</v>
      </c>
      <c r="B70" s="40" t="s">
        <v>56</v>
      </c>
      <c r="C70" s="41" t="s">
        <v>623</v>
      </c>
      <c r="D70" s="42" t="s">
        <v>3</v>
      </c>
      <c r="E70" s="43" t="s">
        <v>567</v>
      </c>
      <c r="F70" s="43" t="s">
        <v>568</v>
      </c>
      <c r="G70" s="44">
        <v>94</v>
      </c>
      <c r="H70" s="43" t="s">
        <v>569</v>
      </c>
      <c r="I70" s="45" t="s">
        <v>571</v>
      </c>
      <c r="J70" s="45" t="s">
        <v>546</v>
      </c>
      <c r="K70" s="116">
        <v>134.18</v>
      </c>
      <c r="L70" s="116">
        <v>134.18</v>
      </c>
      <c r="M70" s="116"/>
      <c r="N70" s="116">
        <v>0</v>
      </c>
      <c r="O70" s="116">
        <v>0</v>
      </c>
      <c r="P70" s="116"/>
      <c r="Q70" s="116"/>
      <c r="R70" s="116"/>
      <c r="S70" s="46">
        <v>268.36</v>
      </c>
      <c r="T70" s="117"/>
      <c r="U70" s="56" t="s">
        <v>949</v>
      </c>
      <c r="V70" s="105" t="s">
        <v>571</v>
      </c>
    </row>
    <row r="71" spans="1:22" ht="21.75" customHeight="1" x14ac:dyDescent="0.3">
      <c r="A71" s="39">
        <v>14107202</v>
      </c>
      <c r="B71" s="40" t="s">
        <v>57</v>
      </c>
      <c r="C71" s="41" t="s">
        <v>624</v>
      </c>
      <c r="D71" s="42" t="s">
        <v>3</v>
      </c>
      <c r="E71" s="43" t="s">
        <v>567</v>
      </c>
      <c r="F71" s="43" t="s">
        <v>568</v>
      </c>
      <c r="G71" s="44"/>
      <c r="H71" s="43" t="s">
        <v>571</v>
      </c>
      <c r="I71" s="45" t="s">
        <v>569</v>
      </c>
      <c r="J71" s="45" t="s">
        <v>573</v>
      </c>
      <c r="K71" s="116">
        <v>0</v>
      </c>
      <c r="L71" s="116">
        <v>0</v>
      </c>
      <c r="M71" s="116"/>
      <c r="N71" s="116">
        <v>0</v>
      </c>
      <c r="O71" s="116">
        <v>0</v>
      </c>
      <c r="P71" s="116"/>
      <c r="Q71" s="116"/>
      <c r="R71" s="116"/>
      <c r="S71" s="46">
        <v>0</v>
      </c>
      <c r="T71" s="117"/>
      <c r="U71" s="56" t="s">
        <v>571</v>
      </c>
      <c r="V71" s="105" t="s">
        <v>571</v>
      </c>
    </row>
    <row r="72" spans="1:22" ht="21.75" customHeight="1" x14ac:dyDescent="0.3">
      <c r="A72" s="39">
        <v>14107206</v>
      </c>
      <c r="B72" s="40" t="s">
        <v>58</v>
      </c>
      <c r="C72" s="41" t="s">
        <v>625</v>
      </c>
      <c r="D72" s="42" t="s">
        <v>3</v>
      </c>
      <c r="E72" s="43" t="s">
        <v>567</v>
      </c>
      <c r="F72" s="43" t="s">
        <v>568</v>
      </c>
      <c r="G72" s="44">
        <v>93</v>
      </c>
      <c r="H72" s="43" t="s">
        <v>569</v>
      </c>
      <c r="I72" s="45" t="s">
        <v>571</v>
      </c>
      <c r="J72" s="45" t="s">
        <v>546</v>
      </c>
      <c r="K72" s="116">
        <v>134.18</v>
      </c>
      <c r="L72" s="116">
        <v>134.18</v>
      </c>
      <c r="M72" s="116"/>
      <c r="N72" s="116">
        <v>0</v>
      </c>
      <c r="O72" s="116">
        <v>0</v>
      </c>
      <c r="P72" s="116"/>
      <c r="Q72" s="116"/>
      <c r="R72" s="116"/>
      <c r="S72" s="46">
        <v>268.36</v>
      </c>
      <c r="T72" s="117"/>
      <c r="U72" s="56" t="s">
        <v>949</v>
      </c>
      <c r="V72" s="105" t="s">
        <v>571</v>
      </c>
    </row>
    <row r="73" spans="1:22" ht="21.75" customHeight="1" x14ac:dyDescent="0.3">
      <c r="A73" s="39">
        <v>14107217</v>
      </c>
      <c r="B73" s="40" t="s">
        <v>59</v>
      </c>
      <c r="C73" s="41" t="s">
        <v>626</v>
      </c>
      <c r="D73" s="42" t="s">
        <v>3</v>
      </c>
      <c r="E73" s="43" t="s">
        <v>567</v>
      </c>
      <c r="F73" s="43" t="s">
        <v>730</v>
      </c>
      <c r="G73" s="44">
        <v>93</v>
      </c>
      <c r="H73" s="43" t="s">
        <v>569</v>
      </c>
      <c r="I73" s="45" t="s">
        <v>571</v>
      </c>
      <c r="J73" s="45" t="s">
        <v>546</v>
      </c>
      <c r="K73" s="116">
        <v>134.18</v>
      </c>
      <c r="L73" s="116">
        <v>0</v>
      </c>
      <c r="M73" s="116"/>
      <c r="N73" s="116">
        <v>0</v>
      </c>
      <c r="O73" s="116">
        <v>0</v>
      </c>
      <c r="P73" s="116"/>
      <c r="Q73" s="116"/>
      <c r="R73" s="116"/>
      <c r="S73" s="46">
        <v>134.18</v>
      </c>
      <c r="T73" s="117"/>
      <c r="U73" s="56" t="s">
        <v>949</v>
      </c>
      <c r="V73" s="105" t="s">
        <v>571</v>
      </c>
    </row>
    <row r="74" spans="1:22" ht="21.75" customHeight="1" x14ac:dyDescent="0.3">
      <c r="A74" s="39">
        <v>14107271</v>
      </c>
      <c r="B74" s="40" t="s">
        <v>60</v>
      </c>
      <c r="C74" s="41" t="s">
        <v>627</v>
      </c>
      <c r="D74" s="42" t="s">
        <v>3</v>
      </c>
      <c r="E74" s="43" t="s">
        <v>567</v>
      </c>
      <c r="F74" s="43" t="s">
        <v>568</v>
      </c>
      <c r="G74" s="44">
        <v>82</v>
      </c>
      <c r="H74" s="43" t="s">
        <v>571</v>
      </c>
      <c r="I74" s="45" t="s">
        <v>569</v>
      </c>
      <c r="J74" s="45" t="s">
        <v>573</v>
      </c>
      <c r="K74" s="116">
        <v>134.18</v>
      </c>
      <c r="L74" s="116">
        <v>134.18</v>
      </c>
      <c r="M74" s="116"/>
      <c r="N74" s="116">
        <v>0</v>
      </c>
      <c r="O74" s="116">
        <v>0</v>
      </c>
      <c r="P74" s="116"/>
      <c r="Q74" s="116"/>
      <c r="R74" s="116"/>
      <c r="S74" s="46">
        <v>268.36</v>
      </c>
      <c r="T74" s="117"/>
      <c r="U74" s="56" t="s">
        <v>949</v>
      </c>
      <c r="V74" s="105" t="s">
        <v>571</v>
      </c>
    </row>
    <row r="75" spans="1:22" ht="21.75" customHeight="1" x14ac:dyDescent="0.3">
      <c r="A75" s="39">
        <v>14107293</v>
      </c>
      <c r="B75" s="40" t="s">
        <v>191</v>
      </c>
      <c r="C75" s="41" t="s">
        <v>628</v>
      </c>
      <c r="D75" s="42" t="s">
        <v>3</v>
      </c>
      <c r="E75" s="43" t="s">
        <v>567</v>
      </c>
      <c r="F75" s="43" t="s">
        <v>568</v>
      </c>
      <c r="G75" s="44">
        <v>95</v>
      </c>
      <c r="H75" s="43" t="s">
        <v>569</v>
      </c>
      <c r="I75" s="45" t="s">
        <v>571</v>
      </c>
      <c r="J75" s="45" t="s">
        <v>546</v>
      </c>
      <c r="K75" s="116">
        <v>134.18</v>
      </c>
      <c r="L75" s="116">
        <v>134.18</v>
      </c>
      <c r="M75" s="116"/>
      <c r="N75" s="116">
        <v>0</v>
      </c>
      <c r="O75" s="116">
        <v>0</v>
      </c>
      <c r="P75" s="116"/>
      <c r="Q75" s="116"/>
      <c r="R75" s="116"/>
      <c r="S75" s="46">
        <v>268.36</v>
      </c>
      <c r="T75" s="117"/>
      <c r="U75" s="56" t="s">
        <v>949</v>
      </c>
      <c r="V75" s="105" t="s">
        <v>571</v>
      </c>
    </row>
    <row r="76" spans="1:22" ht="21.75" customHeight="1" x14ac:dyDescent="0.3">
      <c r="A76" s="39">
        <v>14107393</v>
      </c>
      <c r="B76" s="40" t="s">
        <v>61</v>
      </c>
      <c r="C76" s="41" t="s">
        <v>629</v>
      </c>
      <c r="D76" s="42" t="s">
        <v>3</v>
      </c>
      <c r="E76" s="43" t="s">
        <v>567</v>
      </c>
      <c r="F76" s="43" t="s">
        <v>568</v>
      </c>
      <c r="G76" s="44">
        <v>90</v>
      </c>
      <c r="H76" s="43" t="s">
        <v>569</v>
      </c>
      <c r="I76" s="45" t="s">
        <v>571</v>
      </c>
      <c r="J76" s="45" t="s">
        <v>573</v>
      </c>
      <c r="K76" s="116">
        <v>134.18</v>
      </c>
      <c r="L76" s="116">
        <v>134.18</v>
      </c>
      <c r="M76" s="116"/>
      <c r="N76" s="116">
        <v>0</v>
      </c>
      <c r="O76" s="116">
        <v>0</v>
      </c>
      <c r="P76" s="116"/>
      <c r="Q76" s="116"/>
      <c r="R76" s="116"/>
      <c r="S76" s="46">
        <v>268.36</v>
      </c>
      <c r="T76" s="117"/>
      <c r="U76" s="56" t="s">
        <v>949</v>
      </c>
      <c r="V76" s="105" t="s">
        <v>571</v>
      </c>
    </row>
    <row r="77" spans="1:22" ht="21.75" customHeight="1" x14ac:dyDescent="0.3">
      <c r="A77" s="40">
        <v>14107484</v>
      </c>
      <c r="B77" s="40" t="s">
        <v>62</v>
      </c>
      <c r="C77" s="41" t="s">
        <v>630</v>
      </c>
      <c r="D77" s="42" t="s">
        <v>3</v>
      </c>
      <c r="E77" s="43" t="s">
        <v>567</v>
      </c>
      <c r="F77" s="43" t="s">
        <v>568</v>
      </c>
      <c r="G77" s="44">
        <v>95</v>
      </c>
      <c r="H77" s="43" t="s">
        <v>569</v>
      </c>
      <c r="I77" s="45" t="s">
        <v>569</v>
      </c>
      <c r="J77" s="45" t="s">
        <v>546</v>
      </c>
      <c r="K77" s="116">
        <v>134.18</v>
      </c>
      <c r="L77" s="116">
        <v>134.18</v>
      </c>
      <c r="M77" s="116"/>
      <c r="N77" s="116">
        <v>200</v>
      </c>
      <c r="O77" s="116">
        <v>177.44</v>
      </c>
      <c r="P77" s="116"/>
      <c r="Q77" s="116"/>
      <c r="R77" s="116"/>
      <c r="S77" s="46">
        <v>645.79999999999995</v>
      </c>
      <c r="T77" s="117"/>
      <c r="U77" s="56" t="s">
        <v>949</v>
      </c>
      <c r="V77" s="105" t="s">
        <v>571</v>
      </c>
    </row>
    <row r="78" spans="1:22" ht="21.75" customHeight="1" x14ac:dyDescent="0.3">
      <c r="A78" s="39">
        <v>14107552</v>
      </c>
      <c r="B78" s="40" t="s">
        <v>63</v>
      </c>
      <c r="C78" s="41" t="s">
        <v>631</v>
      </c>
      <c r="D78" s="42" t="s">
        <v>3</v>
      </c>
      <c r="E78" s="43" t="s">
        <v>567</v>
      </c>
      <c r="F78" s="43" t="s">
        <v>568</v>
      </c>
      <c r="G78" s="44">
        <v>92</v>
      </c>
      <c r="H78" s="43" t="s">
        <v>569</v>
      </c>
      <c r="I78" s="45" t="s">
        <v>571</v>
      </c>
      <c r="J78" s="45" t="s">
        <v>573</v>
      </c>
      <c r="K78" s="116">
        <v>134.18</v>
      </c>
      <c r="L78" s="116">
        <v>134.18</v>
      </c>
      <c r="M78" s="116"/>
      <c r="N78" s="116">
        <v>0</v>
      </c>
      <c r="O78" s="116">
        <v>0</v>
      </c>
      <c r="P78" s="116"/>
      <c r="Q78" s="116"/>
      <c r="R78" s="116"/>
      <c r="S78" s="46">
        <v>268.36</v>
      </c>
      <c r="T78" s="117"/>
      <c r="U78" s="56" t="s">
        <v>949</v>
      </c>
      <c r="V78" s="105" t="s">
        <v>571</v>
      </c>
    </row>
    <row r="79" spans="1:22" ht="21.75" customHeight="1" x14ac:dyDescent="0.3">
      <c r="A79" s="39">
        <v>14107735</v>
      </c>
      <c r="B79" s="40" t="s">
        <v>64</v>
      </c>
      <c r="C79" s="41" t="s">
        <v>632</v>
      </c>
      <c r="D79" s="42" t="s">
        <v>3</v>
      </c>
      <c r="E79" s="43" t="s">
        <v>567</v>
      </c>
      <c r="F79" s="43" t="s">
        <v>568</v>
      </c>
      <c r="G79" s="44">
        <v>94</v>
      </c>
      <c r="H79" s="43" t="s">
        <v>569</v>
      </c>
      <c r="I79" s="45" t="s">
        <v>569</v>
      </c>
      <c r="J79" s="45" t="s">
        <v>546</v>
      </c>
      <c r="K79" s="116">
        <v>134.18</v>
      </c>
      <c r="L79" s="116">
        <v>134.18</v>
      </c>
      <c r="M79" s="116"/>
      <c r="N79" s="116">
        <v>200</v>
      </c>
      <c r="O79" s="116">
        <v>177.44</v>
      </c>
      <c r="P79" s="116"/>
      <c r="Q79" s="116"/>
      <c r="R79" s="116"/>
      <c r="S79" s="46">
        <v>645.79999999999995</v>
      </c>
      <c r="T79" s="117"/>
      <c r="U79" s="56" t="s">
        <v>949</v>
      </c>
      <c r="V79" s="105" t="s">
        <v>571</v>
      </c>
    </row>
    <row r="80" spans="1:22" ht="21.75" customHeight="1" x14ac:dyDescent="0.3">
      <c r="A80" s="39">
        <v>14107754</v>
      </c>
      <c r="B80" s="40" t="s">
        <v>65</v>
      </c>
      <c r="C80" s="41" t="s">
        <v>633</v>
      </c>
      <c r="D80" s="42" t="s">
        <v>3</v>
      </c>
      <c r="E80" s="43" t="s">
        <v>567</v>
      </c>
      <c r="F80" s="43" t="s">
        <v>568</v>
      </c>
      <c r="G80" s="44">
        <v>93</v>
      </c>
      <c r="H80" s="43" t="s">
        <v>569</v>
      </c>
      <c r="I80" s="45" t="s">
        <v>569</v>
      </c>
      <c r="J80" s="45" t="s">
        <v>546</v>
      </c>
      <c r="K80" s="116">
        <v>134.18</v>
      </c>
      <c r="L80" s="116">
        <v>134.18</v>
      </c>
      <c r="M80" s="116"/>
      <c r="N80" s="116">
        <v>200</v>
      </c>
      <c r="O80" s="116">
        <v>177.44</v>
      </c>
      <c r="P80" s="116"/>
      <c r="Q80" s="116"/>
      <c r="R80" s="116"/>
      <c r="S80" s="46">
        <v>645.79999999999995</v>
      </c>
      <c r="T80" s="117"/>
      <c r="U80" s="56" t="s">
        <v>949</v>
      </c>
      <c r="V80" s="105" t="s">
        <v>571</v>
      </c>
    </row>
    <row r="81" spans="1:22" ht="21.75" customHeight="1" x14ac:dyDescent="0.3">
      <c r="A81" s="39">
        <v>14107840</v>
      </c>
      <c r="B81" s="40" t="s">
        <v>66</v>
      </c>
      <c r="C81" s="41" t="s">
        <v>634</v>
      </c>
      <c r="D81" s="42" t="s">
        <v>3</v>
      </c>
      <c r="E81" s="43" t="s">
        <v>567</v>
      </c>
      <c r="F81" s="43" t="s">
        <v>568</v>
      </c>
      <c r="G81" s="44">
        <v>95</v>
      </c>
      <c r="H81" s="43" t="s">
        <v>569</v>
      </c>
      <c r="I81" s="45" t="s">
        <v>569</v>
      </c>
      <c r="J81" s="45" t="s">
        <v>573</v>
      </c>
      <c r="K81" s="116">
        <v>0</v>
      </c>
      <c r="L81" s="116">
        <v>0</v>
      </c>
      <c r="M81" s="116"/>
      <c r="N81" s="116">
        <v>0</v>
      </c>
      <c r="O81" s="116">
        <v>0</v>
      </c>
      <c r="P81" s="116"/>
      <c r="Q81" s="116"/>
      <c r="R81" s="116"/>
      <c r="S81" s="46">
        <v>0</v>
      </c>
      <c r="T81" s="117"/>
      <c r="U81" s="56" t="s">
        <v>571</v>
      </c>
      <c r="V81" s="105" t="s">
        <v>571</v>
      </c>
    </row>
    <row r="82" spans="1:22" ht="21.75" customHeight="1" x14ac:dyDescent="0.3">
      <c r="A82" s="39">
        <v>14107967</v>
      </c>
      <c r="B82" s="40" t="s">
        <v>67</v>
      </c>
      <c r="C82" s="41" t="s">
        <v>635</v>
      </c>
      <c r="D82" s="42" t="s">
        <v>3</v>
      </c>
      <c r="E82" s="43" t="s">
        <v>567</v>
      </c>
      <c r="F82" s="43" t="s">
        <v>568</v>
      </c>
      <c r="G82" s="44">
        <v>94</v>
      </c>
      <c r="H82" s="43" t="s">
        <v>569</v>
      </c>
      <c r="I82" s="45" t="s">
        <v>571</v>
      </c>
      <c r="J82" s="45" t="s">
        <v>546</v>
      </c>
      <c r="K82" s="116">
        <v>134.18</v>
      </c>
      <c r="L82" s="116">
        <v>134.18</v>
      </c>
      <c r="M82" s="116"/>
      <c r="N82" s="116">
        <v>0</v>
      </c>
      <c r="O82" s="116">
        <v>0</v>
      </c>
      <c r="P82" s="116"/>
      <c r="Q82" s="116"/>
      <c r="R82" s="116"/>
      <c r="S82" s="46">
        <v>268.36</v>
      </c>
      <c r="T82" s="117"/>
      <c r="U82" s="56" t="s">
        <v>949</v>
      </c>
      <c r="V82" s="105" t="s">
        <v>571</v>
      </c>
    </row>
    <row r="83" spans="1:22" ht="21.75" customHeight="1" x14ac:dyDescent="0.3">
      <c r="A83" s="39">
        <v>14107978</v>
      </c>
      <c r="B83" s="40" t="s">
        <v>68</v>
      </c>
      <c r="C83" s="41" t="s">
        <v>636</v>
      </c>
      <c r="D83" s="42" t="s">
        <v>3</v>
      </c>
      <c r="E83" s="43" t="s">
        <v>567</v>
      </c>
      <c r="F83" s="43" t="s">
        <v>568</v>
      </c>
      <c r="G83" s="44">
        <v>92</v>
      </c>
      <c r="H83" s="43" t="s">
        <v>569</v>
      </c>
      <c r="I83" s="45" t="s">
        <v>569</v>
      </c>
      <c r="J83" s="45" t="s">
        <v>546</v>
      </c>
      <c r="K83" s="116">
        <v>134.18</v>
      </c>
      <c r="L83" s="116">
        <v>134.18</v>
      </c>
      <c r="M83" s="116"/>
      <c r="N83" s="116">
        <v>200</v>
      </c>
      <c r="O83" s="116">
        <v>177.44</v>
      </c>
      <c r="P83" s="116"/>
      <c r="Q83" s="116"/>
      <c r="R83" s="116"/>
      <c r="S83" s="46">
        <v>645.79999999999995</v>
      </c>
      <c r="T83" s="117"/>
      <c r="U83" s="56" t="s">
        <v>949</v>
      </c>
      <c r="V83" s="105" t="s">
        <v>571</v>
      </c>
    </row>
    <row r="84" spans="1:22" ht="21.75" customHeight="1" x14ac:dyDescent="0.3">
      <c r="A84" s="39">
        <v>14108111</v>
      </c>
      <c r="B84" s="40" t="s">
        <v>69</v>
      </c>
      <c r="C84" s="41" t="s">
        <v>637</v>
      </c>
      <c r="D84" s="42" t="s">
        <v>3</v>
      </c>
      <c r="E84" s="43" t="s">
        <v>567</v>
      </c>
      <c r="F84" s="43" t="s">
        <v>568</v>
      </c>
      <c r="G84" s="44">
        <v>88</v>
      </c>
      <c r="H84" s="43" t="s">
        <v>571</v>
      </c>
      <c r="I84" s="45" t="s">
        <v>571</v>
      </c>
      <c r="J84" s="45" t="s">
        <v>546</v>
      </c>
      <c r="K84" s="116">
        <v>134.18</v>
      </c>
      <c r="L84" s="116">
        <v>134.18</v>
      </c>
      <c r="M84" s="116"/>
      <c r="N84" s="116">
        <v>0</v>
      </c>
      <c r="O84" s="116">
        <v>0</v>
      </c>
      <c r="P84" s="116"/>
      <c r="Q84" s="116"/>
      <c r="R84" s="116"/>
      <c r="S84" s="46">
        <v>268.36</v>
      </c>
      <c r="T84" s="117"/>
      <c r="U84" s="56" t="s">
        <v>949</v>
      </c>
      <c r="V84" s="105" t="s">
        <v>571</v>
      </c>
    </row>
    <row r="85" spans="1:22" ht="21.75" customHeight="1" x14ac:dyDescent="0.3">
      <c r="A85" s="40">
        <v>14108150</v>
      </c>
      <c r="B85" s="40" t="s">
        <v>70</v>
      </c>
      <c r="C85" s="41" t="s">
        <v>638</v>
      </c>
      <c r="D85" s="42" t="s">
        <v>3</v>
      </c>
      <c r="E85" s="43" t="s">
        <v>567</v>
      </c>
      <c r="F85" s="43" t="s">
        <v>568</v>
      </c>
      <c r="G85" s="44">
        <v>93</v>
      </c>
      <c r="H85" s="43" t="s">
        <v>569</v>
      </c>
      <c r="I85" s="45" t="s">
        <v>569</v>
      </c>
      <c r="J85" s="45" t="s">
        <v>546</v>
      </c>
      <c r="K85" s="116">
        <v>134.18</v>
      </c>
      <c r="L85" s="116">
        <v>134.18</v>
      </c>
      <c r="M85" s="116"/>
      <c r="N85" s="116">
        <v>200</v>
      </c>
      <c r="O85" s="116">
        <v>177.44</v>
      </c>
      <c r="P85" s="116"/>
      <c r="Q85" s="116"/>
      <c r="R85" s="116"/>
      <c r="S85" s="46">
        <v>645.79999999999995</v>
      </c>
      <c r="T85" s="117"/>
      <c r="U85" s="56" t="s">
        <v>949</v>
      </c>
      <c r="V85" s="105" t="s">
        <v>571</v>
      </c>
    </row>
    <row r="86" spans="1:22" ht="21.75" customHeight="1" x14ac:dyDescent="0.3">
      <c r="A86" s="39">
        <v>14108222</v>
      </c>
      <c r="B86" s="40" t="s">
        <v>71</v>
      </c>
      <c r="C86" s="41" t="s">
        <v>640</v>
      </c>
      <c r="D86" s="42" t="s">
        <v>3</v>
      </c>
      <c r="E86" s="43" t="s">
        <v>567</v>
      </c>
      <c r="F86" s="43" t="s">
        <v>568</v>
      </c>
      <c r="G86" s="44">
        <v>93</v>
      </c>
      <c r="H86" s="43" t="s">
        <v>569</v>
      </c>
      <c r="I86" s="45" t="s">
        <v>571</v>
      </c>
      <c r="J86" s="45" t="s">
        <v>546</v>
      </c>
      <c r="K86" s="116">
        <v>134.18</v>
      </c>
      <c r="L86" s="116">
        <v>134.18</v>
      </c>
      <c r="M86" s="116"/>
      <c r="N86" s="116">
        <v>0</v>
      </c>
      <c r="O86" s="116">
        <v>0</v>
      </c>
      <c r="P86" s="116"/>
      <c r="Q86" s="116"/>
      <c r="R86" s="116"/>
      <c r="S86" s="46">
        <v>268.36</v>
      </c>
      <c r="T86" s="117"/>
      <c r="U86" s="56" t="s">
        <v>949</v>
      </c>
      <c r="V86" s="105" t="s">
        <v>571</v>
      </c>
    </row>
    <row r="87" spans="1:22" ht="21.75" customHeight="1" x14ac:dyDescent="0.3">
      <c r="A87" s="39">
        <v>14108267</v>
      </c>
      <c r="B87" s="48" t="s">
        <v>72</v>
      </c>
      <c r="C87" s="41" t="s">
        <v>641</v>
      </c>
      <c r="D87" s="42" t="s">
        <v>3</v>
      </c>
      <c r="E87" s="43" t="s">
        <v>567</v>
      </c>
      <c r="F87" s="43" t="s">
        <v>568</v>
      </c>
      <c r="G87" s="44">
        <v>88</v>
      </c>
      <c r="H87" s="43" t="s">
        <v>571</v>
      </c>
      <c r="I87" s="45" t="s">
        <v>569</v>
      </c>
      <c r="J87" s="45" t="s">
        <v>546</v>
      </c>
      <c r="K87" s="116">
        <v>134.18</v>
      </c>
      <c r="L87" s="116">
        <v>134.18</v>
      </c>
      <c r="M87" s="116"/>
      <c r="N87" s="116">
        <v>0</v>
      </c>
      <c r="O87" s="116">
        <v>177.44</v>
      </c>
      <c r="P87" s="116"/>
      <c r="Q87" s="116"/>
      <c r="R87" s="116"/>
      <c r="S87" s="46">
        <v>445.8</v>
      </c>
      <c r="T87" s="117"/>
      <c r="U87" s="56" t="s">
        <v>949</v>
      </c>
      <c r="V87" s="105" t="s">
        <v>571</v>
      </c>
    </row>
    <row r="88" spans="1:22" ht="21.75" customHeight="1" x14ac:dyDescent="0.3">
      <c r="A88" s="39">
        <v>14108271</v>
      </c>
      <c r="B88" s="40" t="s">
        <v>73</v>
      </c>
      <c r="C88" s="41" t="s">
        <v>641</v>
      </c>
      <c r="D88" s="42" t="s">
        <v>3</v>
      </c>
      <c r="E88" s="43" t="s">
        <v>567</v>
      </c>
      <c r="F88" s="43" t="s">
        <v>568</v>
      </c>
      <c r="G88" s="44">
        <v>93</v>
      </c>
      <c r="H88" s="43" t="s">
        <v>569</v>
      </c>
      <c r="I88" s="45" t="s">
        <v>569</v>
      </c>
      <c r="J88" s="45" t="s">
        <v>546</v>
      </c>
      <c r="K88" s="116">
        <v>134.18</v>
      </c>
      <c r="L88" s="116">
        <v>134.18</v>
      </c>
      <c r="M88" s="116"/>
      <c r="N88" s="116">
        <v>200</v>
      </c>
      <c r="O88" s="116">
        <v>177.44</v>
      </c>
      <c r="P88" s="116"/>
      <c r="Q88" s="116"/>
      <c r="R88" s="116"/>
      <c r="S88" s="46">
        <v>645.79999999999995</v>
      </c>
      <c r="T88" s="117"/>
      <c r="U88" s="56" t="s">
        <v>949</v>
      </c>
      <c r="V88" s="47" t="s">
        <v>951</v>
      </c>
    </row>
    <row r="89" spans="1:22" ht="21.75" customHeight="1" x14ac:dyDescent="0.3">
      <c r="A89" s="39">
        <v>14108361</v>
      </c>
      <c r="B89" s="40" t="s">
        <v>74</v>
      </c>
      <c r="C89" s="41" t="s">
        <v>642</v>
      </c>
      <c r="D89" s="42" t="s">
        <v>3</v>
      </c>
      <c r="E89" s="43" t="s">
        <v>567</v>
      </c>
      <c r="F89" s="43" t="s">
        <v>568</v>
      </c>
      <c r="G89" s="44"/>
      <c r="H89" s="43" t="s">
        <v>571</v>
      </c>
      <c r="I89" s="45" t="s">
        <v>569</v>
      </c>
      <c r="J89" s="45" t="s">
        <v>573</v>
      </c>
      <c r="K89" s="116">
        <v>0</v>
      </c>
      <c r="L89" s="116">
        <v>0</v>
      </c>
      <c r="M89" s="116"/>
      <c r="N89" s="116">
        <v>0</v>
      </c>
      <c r="O89" s="116">
        <v>0</v>
      </c>
      <c r="P89" s="116"/>
      <c r="Q89" s="116"/>
      <c r="R89" s="116"/>
      <c r="S89" s="46">
        <v>0</v>
      </c>
      <c r="T89" s="117"/>
      <c r="U89" s="56" t="s">
        <v>571</v>
      </c>
      <c r="V89" s="105" t="s">
        <v>571</v>
      </c>
    </row>
    <row r="90" spans="1:22" ht="21.75" customHeight="1" x14ac:dyDescent="0.3">
      <c r="A90" s="39">
        <v>14108382</v>
      </c>
      <c r="B90" s="40" t="s">
        <v>75</v>
      </c>
      <c r="C90" s="41" t="s">
        <v>642</v>
      </c>
      <c r="D90" s="42" t="s">
        <v>3</v>
      </c>
      <c r="E90" s="43" t="s">
        <v>567</v>
      </c>
      <c r="F90" s="43" t="s">
        <v>568</v>
      </c>
      <c r="G90" s="44"/>
      <c r="H90" s="43" t="s">
        <v>571</v>
      </c>
      <c r="I90" s="45" t="s">
        <v>569</v>
      </c>
      <c r="J90" s="45" t="s">
        <v>573</v>
      </c>
      <c r="K90" s="116">
        <v>0</v>
      </c>
      <c r="L90" s="116">
        <v>0</v>
      </c>
      <c r="M90" s="116"/>
      <c r="N90" s="116">
        <v>0</v>
      </c>
      <c r="O90" s="116">
        <v>0</v>
      </c>
      <c r="P90" s="116"/>
      <c r="Q90" s="116"/>
      <c r="R90" s="116"/>
      <c r="S90" s="46">
        <v>0</v>
      </c>
      <c r="T90" s="117"/>
      <c r="U90" s="56" t="s">
        <v>571</v>
      </c>
      <c r="V90" s="105" t="s">
        <v>571</v>
      </c>
    </row>
    <row r="91" spans="1:22" ht="21.75" customHeight="1" x14ac:dyDescent="0.3">
      <c r="A91" s="39">
        <v>14108483</v>
      </c>
      <c r="B91" s="40" t="s">
        <v>76</v>
      </c>
      <c r="C91" s="41" t="s">
        <v>643</v>
      </c>
      <c r="D91" s="42" t="s">
        <v>3</v>
      </c>
      <c r="E91" s="43" t="s">
        <v>567</v>
      </c>
      <c r="F91" s="43" t="s">
        <v>568</v>
      </c>
      <c r="G91" s="44">
        <v>85</v>
      </c>
      <c r="H91" s="43" t="s">
        <v>571</v>
      </c>
      <c r="I91" s="45" t="s">
        <v>569</v>
      </c>
      <c r="J91" s="45" t="s">
        <v>546</v>
      </c>
      <c r="K91" s="116">
        <v>134.18</v>
      </c>
      <c r="L91" s="116">
        <v>134.18</v>
      </c>
      <c r="M91" s="116"/>
      <c r="N91" s="116">
        <v>0</v>
      </c>
      <c r="O91" s="116">
        <v>177.44</v>
      </c>
      <c r="P91" s="116"/>
      <c r="Q91" s="116"/>
      <c r="R91" s="116"/>
      <c r="S91" s="46">
        <v>445.8</v>
      </c>
      <c r="T91" s="117"/>
      <c r="U91" s="56" t="s">
        <v>949</v>
      </c>
      <c r="V91" s="105" t="s">
        <v>571</v>
      </c>
    </row>
    <row r="92" spans="1:22" ht="21.75" customHeight="1" x14ac:dyDescent="0.3">
      <c r="A92" s="39">
        <v>14108552</v>
      </c>
      <c r="B92" s="40" t="s">
        <v>309</v>
      </c>
      <c r="C92" s="41" t="s">
        <v>644</v>
      </c>
      <c r="D92" s="42" t="s">
        <v>3</v>
      </c>
      <c r="E92" s="43" t="s">
        <v>567</v>
      </c>
      <c r="F92" s="43" t="s">
        <v>568</v>
      </c>
      <c r="G92" s="44">
        <v>92</v>
      </c>
      <c r="H92" s="43" t="s">
        <v>569</v>
      </c>
      <c r="I92" s="45" t="s">
        <v>571</v>
      </c>
      <c r="J92" s="45" t="s">
        <v>546</v>
      </c>
      <c r="K92" s="116">
        <v>134.18</v>
      </c>
      <c r="L92" s="116">
        <v>134.18</v>
      </c>
      <c r="M92" s="116"/>
      <c r="N92" s="116">
        <v>0</v>
      </c>
      <c r="O92" s="116">
        <v>0</v>
      </c>
      <c r="P92" s="116"/>
      <c r="Q92" s="116"/>
      <c r="R92" s="116"/>
      <c r="S92" s="46">
        <v>268.36</v>
      </c>
      <c r="T92" s="117"/>
      <c r="U92" s="56" t="s">
        <v>949</v>
      </c>
      <c r="V92" s="47" t="s">
        <v>951</v>
      </c>
    </row>
    <row r="93" spans="1:22" ht="21.75" customHeight="1" x14ac:dyDescent="0.3">
      <c r="A93" s="39">
        <v>14108553</v>
      </c>
      <c r="B93" s="40" t="s">
        <v>155</v>
      </c>
      <c r="C93" s="41" t="s">
        <v>645</v>
      </c>
      <c r="D93" s="42" t="s">
        <v>3</v>
      </c>
      <c r="E93" s="43" t="s">
        <v>567</v>
      </c>
      <c r="F93" s="43" t="s">
        <v>568</v>
      </c>
      <c r="G93" s="44"/>
      <c r="H93" s="43" t="s">
        <v>571</v>
      </c>
      <c r="I93" s="45" t="s">
        <v>569</v>
      </c>
      <c r="J93" s="45" t="s">
        <v>573</v>
      </c>
      <c r="K93" s="116">
        <v>0</v>
      </c>
      <c r="L93" s="116">
        <v>0</v>
      </c>
      <c r="M93" s="116"/>
      <c r="N93" s="116">
        <v>0</v>
      </c>
      <c r="O93" s="116">
        <v>0</v>
      </c>
      <c r="P93" s="116"/>
      <c r="Q93" s="116"/>
      <c r="R93" s="116"/>
      <c r="S93" s="46">
        <v>0</v>
      </c>
      <c r="T93" s="117"/>
      <c r="U93" s="56" t="s">
        <v>571</v>
      </c>
      <c r="V93" s="105" t="s">
        <v>571</v>
      </c>
    </row>
    <row r="94" spans="1:22" ht="21.75" customHeight="1" x14ac:dyDescent="0.3">
      <c r="A94" s="39">
        <v>14108571</v>
      </c>
      <c r="B94" s="40" t="s">
        <v>77</v>
      </c>
      <c r="C94" s="41" t="s">
        <v>646</v>
      </c>
      <c r="D94" s="42" t="s">
        <v>3</v>
      </c>
      <c r="E94" s="43" t="s">
        <v>567</v>
      </c>
      <c r="F94" s="43" t="s">
        <v>568</v>
      </c>
      <c r="G94" s="44">
        <v>90</v>
      </c>
      <c r="H94" s="43" t="s">
        <v>569</v>
      </c>
      <c r="I94" s="45" t="s">
        <v>571</v>
      </c>
      <c r="J94" s="45" t="s">
        <v>546</v>
      </c>
      <c r="K94" s="116">
        <v>134.18</v>
      </c>
      <c r="L94" s="116">
        <v>134.18</v>
      </c>
      <c r="M94" s="116"/>
      <c r="N94" s="116">
        <v>0</v>
      </c>
      <c r="O94" s="116">
        <v>0</v>
      </c>
      <c r="P94" s="116"/>
      <c r="Q94" s="116"/>
      <c r="R94" s="116"/>
      <c r="S94" s="46">
        <v>268.36</v>
      </c>
      <c r="T94" s="117"/>
      <c r="U94" s="56" t="s">
        <v>949</v>
      </c>
      <c r="V94" s="105" t="s">
        <v>571</v>
      </c>
    </row>
    <row r="95" spans="1:22" ht="21.75" customHeight="1" x14ac:dyDescent="0.3">
      <c r="A95" s="39">
        <v>14108775</v>
      </c>
      <c r="B95" s="40" t="s">
        <v>178</v>
      </c>
      <c r="C95" s="41" t="s">
        <v>647</v>
      </c>
      <c r="D95" s="42" t="s">
        <v>3</v>
      </c>
      <c r="E95" s="43" t="s">
        <v>567</v>
      </c>
      <c r="F95" s="43" t="s">
        <v>568</v>
      </c>
      <c r="G95" s="44">
        <v>78</v>
      </c>
      <c r="H95" s="43" t="s">
        <v>571</v>
      </c>
      <c r="I95" s="45" t="s">
        <v>571</v>
      </c>
      <c r="J95" s="45" t="s">
        <v>546</v>
      </c>
      <c r="K95" s="116">
        <v>134.18</v>
      </c>
      <c r="L95" s="116">
        <v>134.18</v>
      </c>
      <c r="M95" s="116"/>
      <c r="N95" s="116">
        <v>0</v>
      </c>
      <c r="O95" s="116">
        <v>0</v>
      </c>
      <c r="P95" s="116"/>
      <c r="Q95" s="116"/>
      <c r="R95" s="116"/>
      <c r="S95" s="46">
        <v>268.36</v>
      </c>
      <c r="T95" s="117"/>
      <c r="U95" s="56" t="s">
        <v>949</v>
      </c>
      <c r="V95" s="105" t="s">
        <v>571</v>
      </c>
    </row>
    <row r="96" spans="1:22" ht="21.75" customHeight="1" x14ac:dyDescent="0.3">
      <c r="A96" s="39">
        <v>14108828</v>
      </c>
      <c r="B96" s="40" t="s">
        <v>225</v>
      </c>
      <c r="C96" s="41" t="s">
        <v>605</v>
      </c>
      <c r="D96" s="42" t="s">
        <v>3</v>
      </c>
      <c r="E96" s="43" t="s">
        <v>567</v>
      </c>
      <c r="F96" s="43" t="s">
        <v>568</v>
      </c>
      <c r="G96" s="44">
        <v>95</v>
      </c>
      <c r="H96" s="43" t="s">
        <v>569</v>
      </c>
      <c r="I96" s="45" t="s">
        <v>569</v>
      </c>
      <c r="J96" s="45" t="s">
        <v>546</v>
      </c>
      <c r="K96" s="116">
        <v>134.18</v>
      </c>
      <c r="L96" s="116">
        <v>134.18</v>
      </c>
      <c r="M96" s="116"/>
      <c r="N96" s="116">
        <v>200</v>
      </c>
      <c r="O96" s="116">
        <v>177.44</v>
      </c>
      <c r="P96" s="116"/>
      <c r="Q96" s="116"/>
      <c r="R96" s="116"/>
      <c r="S96" s="46">
        <v>645.79999999999995</v>
      </c>
      <c r="T96" s="117"/>
      <c r="U96" s="56" t="s">
        <v>949</v>
      </c>
      <c r="V96" s="105" t="s">
        <v>571</v>
      </c>
    </row>
    <row r="97" spans="1:22" ht="21.75" customHeight="1" x14ac:dyDescent="0.3">
      <c r="A97" s="39">
        <v>14108916</v>
      </c>
      <c r="B97" s="40" t="s">
        <v>79</v>
      </c>
      <c r="C97" s="41" t="s">
        <v>648</v>
      </c>
      <c r="D97" s="42" t="s">
        <v>3</v>
      </c>
      <c r="E97" s="43" t="s">
        <v>567</v>
      </c>
      <c r="F97" s="43" t="s">
        <v>568</v>
      </c>
      <c r="G97" s="44">
        <v>73</v>
      </c>
      <c r="H97" s="43" t="s">
        <v>571</v>
      </c>
      <c r="I97" s="45" t="s">
        <v>571</v>
      </c>
      <c r="J97" s="45" t="s">
        <v>546</v>
      </c>
      <c r="K97" s="116">
        <v>134.18</v>
      </c>
      <c r="L97" s="116">
        <v>134.18</v>
      </c>
      <c r="M97" s="116"/>
      <c r="N97" s="116">
        <v>0</v>
      </c>
      <c r="O97" s="116">
        <v>0</v>
      </c>
      <c r="P97" s="116"/>
      <c r="Q97" s="116"/>
      <c r="R97" s="116"/>
      <c r="S97" s="46">
        <v>268.36</v>
      </c>
      <c r="T97" s="117"/>
      <c r="U97" s="56" t="s">
        <v>949</v>
      </c>
      <c r="V97" s="105" t="s">
        <v>571</v>
      </c>
    </row>
    <row r="98" spans="1:22" ht="21.75" customHeight="1" x14ac:dyDescent="0.3">
      <c r="A98" s="39">
        <v>14109032</v>
      </c>
      <c r="B98" s="40" t="s">
        <v>80</v>
      </c>
      <c r="C98" s="41" t="s">
        <v>649</v>
      </c>
      <c r="D98" s="42" t="s">
        <v>3</v>
      </c>
      <c r="E98" s="43" t="s">
        <v>567</v>
      </c>
      <c r="F98" s="43" t="s">
        <v>568</v>
      </c>
      <c r="G98" s="44">
        <v>95</v>
      </c>
      <c r="H98" s="43" t="s">
        <v>569</v>
      </c>
      <c r="I98" s="45" t="s">
        <v>571</v>
      </c>
      <c r="J98" s="45" t="s">
        <v>546</v>
      </c>
      <c r="K98" s="116">
        <v>134.18</v>
      </c>
      <c r="L98" s="116">
        <v>134.18</v>
      </c>
      <c r="M98" s="116"/>
      <c r="N98" s="116">
        <v>0</v>
      </c>
      <c r="O98" s="116">
        <v>0</v>
      </c>
      <c r="P98" s="116"/>
      <c r="Q98" s="116"/>
      <c r="R98" s="116"/>
      <c r="S98" s="46">
        <v>268.36</v>
      </c>
      <c r="T98" s="117"/>
      <c r="U98" s="56" t="s">
        <v>949</v>
      </c>
      <c r="V98" s="105" t="s">
        <v>571</v>
      </c>
    </row>
    <row r="99" spans="1:22" ht="21.75" customHeight="1" x14ac:dyDescent="0.3">
      <c r="A99" s="39">
        <v>14109097</v>
      </c>
      <c r="B99" s="40" t="s">
        <v>81</v>
      </c>
      <c r="C99" s="41" t="s">
        <v>650</v>
      </c>
      <c r="D99" s="42" t="s">
        <v>3</v>
      </c>
      <c r="E99" s="43" t="s">
        <v>567</v>
      </c>
      <c r="F99" s="43" t="s">
        <v>568</v>
      </c>
      <c r="G99" s="44">
        <v>94</v>
      </c>
      <c r="H99" s="43" t="s">
        <v>569</v>
      </c>
      <c r="I99" s="45" t="s">
        <v>569</v>
      </c>
      <c r="J99" s="45" t="s">
        <v>546</v>
      </c>
      <c r="K99" s="116">
        <v>134.18</v>
      </c>
      <c r="L99" s="116">
        <v>134.18</v>
      </c>
      <c r="M99" s="116"/>
      <c r="N99" s="116">
        <v>200</v>
      </c>
      <c r="O99" s="116">
        <v>177.44</v>
      </c>
      <c r="P99" s="116"/>
      <c r="Q99" s="116"/>
      <c r="R99" s="116"/>
      <c r="S99" s="46">
        <v>645.79999999999995</v>
      </c>
      <c r="T99" s="117"/>
      <c r="U99" s="56" t="s">
        <v>949</v>
      </c>
      <c r="V99" s="105" t="s">
        <v>571</v>
      </c>
    </row>
    <row r="100" spans="1:22" ht="21.75" customHeight="1" x14ac:dyDescent="0.3">
      <c r="A100" s="39">
        <v>14109131</v>
      </c>
      <c r="B100" s="40" t="s">
        <v>82</v>
      </c>
      <c r="C100" s="41" t="s">
        <v>650</v>
      </c>
      <c r="D100" s="42" t="s">
        <v>3</v>
      </c>
      <c r="E100" s="43" t="s">
        <v>567</v>
      </c>
      <c r="F100" s="43" t="s">
        <v>568</v>
      </c>
      <c r="G100" s="44">
        <v>93</v>
      </c>
      <c r="H100" s="43" t="s">
        <v>569</v>
      </c>
      <c r="I100" s="45" t="s">
        <v>571</v>
      </c>
      <c r="J100" s="45" t="s">
        <v>546</v>
      </c>
      <c r="K100" s="116">
        <v>134.18</v>
      </c>
      <c r="L100" s="116">
        <v>134.18</v>
      </c>
      <c r="M100" s="116"/>
      <c r="N100" s="116">
        <v>0</v>
      </c>
      <c r="O100" s="116">
        <v>0</v>
      </c>
      <c r="P100" s="116"/>
      <c r="Q100" s="116"/>
      <c r="R100" s="116"/>
      <c r="S100" s="46">
        <v>268.36</v>
      </c>
      <c r="T100" s="117"/>
      <c r="U100" s="56" t="s">
        <v>949</v>
      </c>
      <c r="V100" s="105" t="s">
        <v>571</v>
      </c>
    </row>
    <row r="101" spans="1:22" ht="21.75" customHeight="1" x14ac:dyDescent="0.3">
      <c r="A101" s="40">
        <v>14109133</v>
      </c>
      <c r="B101" s="40" t="s">
        <v>83</v>
      </c>
      <c r="C101" s="41" t="s">
        <v>650</v>
      </c>
      <c r="D101" s="42" t="s">
        <v>3</v>
      </c>
      <c r="E101" s="43" t="s">
        <v>567</v>
      </c>
      <c r="F101" s="43" t="s">
        <v>568</v>
      </c>
      <c r="G101" s="44">
        <v>92</v>
      </c>
      <c r="H101" s="43" t="s">
        <v>569</v>
      </c>
      <c r="I101" s="45" t="s">
        <v>569</v>
      </c>
      <c r="J101" s="45" t="s">
        <v>546</v>
      </c>
      <c r="K101" s="116">
        <v>134.18</v>
      </c>
      <c r="L101" s="116">
        <v>134.18</v>
      </c>
      <c r="M101" s="116"/>
      <c r="N101" s="116">
        <v>200</v>
      </c>
      <c r="O101" s="116">
        <v>177.44</v>
      </c>
      <c r="P101" s="116"/>
      <c r="Q101" s="116"/>
      <c r="R101" s="116"/>
      <c r="S101" s="46">
        <v>645.79999999999995</v>
      </c>
      <c r="T101" s="117"/>
      <c r="U101" s="56" t="s">
        <v>949</v>
      </c>
      <c r="V101" s="105" t="s">
        <v>571</v>
      </c>
    </row>
    <row r="102" spans="1:22" ht="21.75" customHeight="1" x14ac:dyDescent="0.3">
      <c r="A102" s="40">
        <v>14109134</v>
      </c>
      <c r="B102" s="40" t="s">
        <v>84</v>
      </c>
      <c r="C102" s="41" t="s">
        <v>650</v>
      </c>
      <c r="D102" s="42" t="s">
        <v>3</v>
      </c>
      <c r="E102" s="43" t="s">
        <v>567</v>
      </c>
      <c r="F102" s="43" t="s">
        <v>568</v>
      </c>
      <c r="G102" s="44">
        <v>94</v>
      </c>
      <c r="H102" s="43" t="s">
        <v>569</v>
      </c>
      <c r="I102" s="45" t="s">
        <v>571</v>
      </c>
      <c r="J102" s="45" t="s">
        <v>546</v>
      </c>
      <c r="K102" s="116">
        <v>134.18</v>
      </c>
      <c r="L102" s="116">
        <v>134.18</v>
      </c>
      <c r="M102" s="116"/>
      <c r="N102" s="116">
        <v>0</v>
      </c>
      <c r="O102" s="116">
        <v>0</v>
      </c>
      <c r="P102" s="116"/>
      <c r="Q102" s="116"/>
      <c r="R102" s="116"/>
      <c r="S102" s="46">
        <v>268.36</v>
      </c>
      <c r="T102" s="117"/>
      <c r="U102" s="56" t="s">
        <v>949</v>
      </c>
      <c r="V102" s="105" t="s">
        <v>571</v>
      </c>
    </row>
    <row r="103" spans="1:22" ht="21.75" customHeight="1" x14ac:dyDescent="0.3">
      <c r="A103" s="40">
        <v>14109378</v>
      </c>
      <c r="B103" s="40" t="s">
        <v>85</v>
      </c>
      <c r="C103" s="41" t="s">
        <v>651</v>
      </c>
      <c r="D103" s="42" t="s">
        <v>3</v>
      </c>
      <c r="E103" s="43" t="s">
        <v>567</v>
      </c>
      <c r="F103" s="43" t="s">
        <v>568</v>
      </c>
      <c r="G103" s="44">
        <v>95</v>
      </c>
      <c r="H103" s="43" t="s">
        <v>569</v>
      </c>
      <c r="I103" s="45" t="s">
        <v>569</v>
      </c>
      <c r="J103" s="45" t="s">
        <v>546</v>
      </c>
      <c r="K103" s="116">
        <v>134.18</v>
      </c>
      <c r="L103" s="116">
        <v>134.18</v>
      </c>
      <c r="M103" s="116"/>
      <c r="N103" s="116">
        <v>200</v>
      </c>
      <c r="O103" s="116">
        <v>177.44</v>
      </c>
      <c r="P103" s="116"/>
      <c r="Q103" s="116"/>
      <c r="R103" s="116"/>
      <c r="S103" s="46">
        <v>645.79999999999995</v>
      </c>
      <c r="T103" s="117"/>
      <c r="U103" s="56" t="s">
        <v>949</v>
      </c>
      <c r="V103" s="105" t="s">
        <v>571</v>
      </c>
    </row>
    <row r="104" spans="1:22" ht="21.75" customHeight="1" x14ac:dyDescent="0.3">
      <c r="A104" s="40">
        <v>14109408</v>
      </c>
      <c r="B104" s="40" t="s">
        <v>86</v>
      </c>
      <c r="C104" s="41" t="s">
        <v>652</v>
      </c>
      <c r="D104" s="42" t="s">
        <v>3</v>
      </c>
      <c r="E104" s="43" t="s">
        <v>567</v>
      </c>
      <c r="F104" s="43" t="s">
        <v>568</v>
      </c>
      <c r="G104" s="44"/>
      <c r="H104" s="43" t="s">
        <v>571</v>
      </c>
      <c r="I104" s="45" t="s">
        <v>569</v>
      </c>
      <c r="J104" s="45" t="s">
        <v>573</v>
      </c>
      <c r="K104" s="116">
        <v>0</v>
      </c>
      <c r="L104" s="116">
        <v>0</v>
      </c>
      <c r="M104" s="116"/>
      <c r="N104" s="116">
        <v>0</v>
      </c>
      <c r="O104" s="116">
        <v>0</v>
      </c>
      <c r="P104" s="116"/>
      <c r="Q104" s="116"/>
      <c r="R104" s="116"/>
      <c r="S104" s="46">
        <v>0</v>
      </c>
      <c r="T104" s="117"/>
      <c r="U104" s="56" t="s">
        <v>571</v>
      </c>
      <c r="V104" s="105" t="s">
        <v>571</v>
      </c>
    </row>
    <row r="105" spans="1:22" ht="21.75" customHeight="1" x14ac:dyDescent="0.3">
      <c r="A105" s="39">
        <v>14109430</v>
      </c>
      <c r="B105" s="40" t="s">
        <v>87</v>
      </c>
      <c r="C105" s="41" t="s">
        <v>653</v>
      </c>
      <c r="D105" s="42" t="s">
        <v>3</v>
      </c>
      <c r="E105" s="43" t="s">
        <v>567</v>
      </c>
      <c r="F105" s="43" t="s">
        <v>568</v>
      </c>
      <c r="G105" s="44">
        <v>91</v>
      </c>
      <c r="H105" s="43" t="s">
        <v>569</v>
      </c>
      <c r="I105" s="45" t="s">
        <v>571</v>
      </c>
      <c r="J105" s="45" t="s">
        <v>546</v>
      </c>
      <c r="K105" s="116">
        <v>134.18</v>
      </c>
      <c r="L105" s="116">
        <v>134.18</v>
      </c>
      <c r="M105" s="116"/>
      <c r="N105" s="116">
        <v>0</v>
      </c>
      <c r="O105" s="116">
        <v>0</v>
      </c>
      <c r="P105" s="116"/>
      <c r="Q105" s="116"/>
      <c r="R105" s="116"/>
      <c r="S105" s="46">
        <v>268.36</v>
      </c>
      <c r="T105" s="117"/>
      <c r="U105" s="56" t="s">
        <v>949</v>
      </c>
      <c r="V105" s="105" t="s">
        <v>571</v>
      </c>
    </row>
    <row r="106" spans="1:22" ht="21.75" customHeight="1" x14ac:dyDescent="0.3">
      <c r="A106" s="39">
        <v>14109435</v>
      </c>
      <c r="B106" s="40" t="s">
        <v>88</v>
      </c>
      <c r="C106" s="41" t="s">
        <v>654</v>
      </c>
      <c r="D106" s="42" t="s">
        <v>3</v>
      </c>
      <c r="E106" s="43" t="s">
        <v>567</v>
      </c>
      <c r="F106" s="43" t="s">
        <v>568</v>
      </c>
      <c r="G106" s="44">
        <v>95</v>
      </c>
      <c r="H106" s="43" t="s">
        <v>569</v>
      </c>
      <c r="I106" s="45" t="s">
        <v>569</v>
      </c>
      <c r="J106" s="45" t="s">
        <v>546</v>
      </c>
      <c r="K106" s="116">
        <v>134.18</v>
      </c>
      <c r="L106" s="116">
        <v>134.18</v>
      </c>
      <c r="M106" s="116"/>
      <c r="N106" s="116">
        <v>200</v>
      </c>
      <c r="O106" s="116">
        <v>177.44</v>
      </c>
      <c r="P106" s="116"/>
      <c r="Q106" s="116"/>
      <c r="R106" s="116"/>
      <c r="S106" s="46">
        <v>645.79999999999995</v>
      </c>
      <c r="T106" s="117"/>
      <c r="U106" s="56" t="s">
        <v>949</v>
      </c>
      <c r="V106" s="105" t="s">
        <v>571</v>
      </c>
    </row>
    <row r="107" spans="1:22" ht="21.75" customHeight="1" x14ac:dyDescent="0.3">
      <c r="A107" s="39">
        <v>14109436</v>
      </c>
      <c r="B107" s="40" t="s">
        <v>364</v>
      </c>
      <c r="C107" s="41" t="s">
        <v>655</v>
      </c>
      <c r="D107" s="42" t="s">
        <v>3</v>
      </c>
      <c r="E107" s="43" t="s">
        <v>567</v>
      </c>
      <c r="F107" s="43" t="s">
        <v>568</v>
      </c>
      <c r="G107" s="44">
        <v>94</v>
      </c>
      <c r="H107" s="43" t="s">
        <v>569</v>
      </c>
      <c r="I107" s="45" t="s">
        <v>569</v>
      </c>
      <c r="J107" s="45" t="s">
        <v>546</v>
      </c>
      <c r="K107" s="116">
        <v>134.18</v>
      </c>
      <c r="L107" s="116">
        <v>134.18</v>
      </c>
      <c r="M107" s="116"/>
      <c r="N107" s="116">
        <v>200</v>
      </c>
      <c r="O107" s="116">
        <v>177.44</v>
      </c>
      <c r="P107" s="116"/>
      <c r="Q107" s="116"/>
      <c r="R107" s="116"/>
      <c r="S107" s="46">
        <v>645.79999999999995</v>
      </c>
      <c r="T107" s="117"/>
      <c r="U107" s="56" t="s">
        <v>949</v>
      </c>
      <c r="V107" s="105" t="s">
        <v>571</v>
      </c>
    </row>
    <row r="108" spans="1:22" ht="21.75" customHeight="1" x14ac:dyDescent="0.3">
      <c r="A108" s="39">
        <v>14109648</v>
      </c>
      <c r="B108" s="40" t="s">
        <v>211</v>
      </c>
      <c r="C108" s="41" t="s">
        <v>656</v>
      </c>
      <c r="D108" s="42" t="s">
        <v>3</v>
      </c>
      <c r="E108" s="43" t="s">
        <v>567</v>
      </c>
      <c r="F108" s="43" t="s">
        <v>568</v>
      </c>
      <c r="G108" s="44">
        <v>93</v>
      </c>
      <c r="H108" s="43" t="s">
        <v>569</v>
      </c>
      <c r="I108" s="45" t="s">
        <v>569</v>
      </c>
      <c r="J108" s="45" t="s">
        <v>546</v>
      </c>
      <c r="K108" s="116">
        <v>134.18</v>
      </c>
      <c r="L108" s="116">
        <v>134.18</v>
      </c>
      <c r="M108" s="116"/>
      <c r="N108" s="116">
        <v>200</v>
      </c>
      <c r="O108" s="116">
        <v>177.44</v>
      </c>
      <c r="P108" s="116"/>
      <c r="Q108" s="116"/>
      <c r="R108" s="116"/>
      <c r="S108" s="46">
        <v>645.79999999999995</v>
      </c>
      <c r="T108" s="117"/>
      <c r="U108" s="56" t="s">
        <v>949</v>
      </c>
      <c r="V108" s="105" t="s">
        <v>571</v>
      </c>
    </row>
    <row r="109" spans="1:22" ht="21.75" customHeight="1" x14ac:dyDescent="0.3">
      <c r="A109" s="39">
        <v>14109664</v>
      </c>
      <c r="B109" s="40" t="s">
        <v>89</v>
      </c>
      <c r="C109" s="41" t="s">
        <v>657</v>
      </c>
      <c r="D109" s="42" t="s">
        <v>3</v>
      </c>
      <c r="E109" s="43" t="s">
        <v>567</v>
      </c>
      <c r="F109" s="43" t="s">
        <v>568</v>
      </c>
      <c r="G109" s="44">
        <v>83</v>
      </c>
      <c r="H109" s="43" t="s">
        <v>571</v>
      </c>
      <c r="I109" s="45" t="s">
        <v>569</v>
      </c>
      <c r="J109" s="45" t="s">
        <v>546</v>
      </c>
      <c r="K109" s="116">
        <v>134.18</v>
      </c>
      <c r="L109" s="116">
        <v>134.18</v>
      </c>
      <c r="M109" s="116"/>
      <c r="N109" s="116">
        <v>0</v>
      </c>
      <c r="O109" s="116">
        <v>177.44</v>
      </c>
      <c r="P109" s="116"/>
      <c r="Q109" s="116"/>
      <c r="R109" s="116"/>
      <c r="S109" s="46">
        <v>445.8</v>
      </c>
      <c r="T109" s="117"/>
      <c r="U109" s="56" t="s">
        <v>949</v>
      </c>
      <c r="V109" s="105" t="s">
        <v>571</v>
      </c>
    </row>
    <row r="110" spans="1:22" ht="21.75" customHeight="1" x14ac:dyDescent="0.3">
      <c r="A110" s="40">
        <v>14109674</v>
      </c>
      <c r="B110" s="40" t="s">
        <v>90</v>
      </c>
      <c r="C110" s="41" t="s">
        <v>658</v>
      </c>
      <c r="D110" s="42" t="s">
        <v>3</v>
      </c>
      <c r="E110" s="43" t="s">
        <v>567</v>
      </c>
      <c r="F110" s="43" t="s">
        <v>568</v>
      </c>
      <c r="G110" s="44">
        <v>94</v>
      </c>
      <c r="H110" s="43" t="s">
        <v>569</v>
      </c>
      <c r="I110" s="45" t="s">
        <v>571</v>
      </c>
      <c r="J110" s="45" t="s">
        <v>546</v>
      </c>
      <c r="K110" s="116">
        <v>134.18</v>
      </c>
      <c r="L110" s="116">
        <v>134.18</v>
      </c>
      <c r="M110" s="116"/>
      <c r="N110" s="116">
        <v>0</v>
      </c>
      <c r="O110" s="116">
        <v>0</v>
      </c>
      <c r="P110" s="116"/>
      <c r="Q110" s="116"/>
      <c r="R110" s="116"/>
      <c r="S110" s="46">
        <v>268.36</v>
      </c>
      <c r="T110" s="117"/>
      <c r="U110" s="56" t="s">
        <v>949</v>
      </c>
      <c r="V110" s="105" t="s">
        <v>571</v>
      </c>
    </row>
    <row r="111" spans="1:22" ht="21.75" customHeight="1" x14ac:dyDescent="0.3">
      <c r="A111" s="40">
        <v>14109677</v>
      </c>
      <c r="B111" s="48" t="s">
        <v>91</v>
      </c>
      <c r="C111" s="41" t="s">
        <v>658</v>
      </c>
      <c r="D111" s="42" t="s">
        <v>3</v>
      </c>
      <c r="E111" s="43" t="s">
        <v>567</v>
      </c>
      <c r="F111" s="43" t="s">
        <v>568</v>
      </c>
      <c r="G111" s="44"/>
      <c r="H111" s="43" t="s">
        <v>571</v>
      </c>
      <c r="I111" s="45" t="s">
        <v>569</v>
      </c>
      <c r="J111" s="45" t="s">
        <v>573</v>
      </c>
      <c r="K111" s="116">
        <v>0</v>
      </c>
      <c r="L111" s="116">
        <v>0</v>
      </c>
      <c r="M111" s="116"/>
      <c r="N111" s="116">
        <v>0</v>
      </c>
      <c r="O111" s="116">
        <v>0</v>
      </c>
      <c r="P111" s="116"/>
      <c r="Q111" s="116"/>
      <c r="R111" s="116"/>
      <c r="S111" s="46">
        <v>0</v>
      </c>
      <c r="T111" s="117"/>
      <c r="U111" s="56" t="s">
        <v>571</v>
      </c>
      <c r="V111" s="105" t="s">
        <v>571</v>
      </c>
    </row>
    <row r="112" spans="1:22" s="18" customFormat="1" ht="21.75" customHeight="1" x14ac:dyDescent="0.3">
      <c r="A112" s="39">
        <v>14109707</v>
      </c>
      <c r="B112" s="40" t="s">
        <v>92</v>
      </c>
      <c r="C112" s="41" t="s">
        <v>659</v>
      </c>
      <c r="D112" s="42" t="s">
        <v>3</v>
      </c>
      <c r="E112" s="43" t="s">
        <v>567</v>
      </c>
      <c r="F112" s="43" t="s">
        <v>568</v>
      </c>
      <c r="G112" s="44">
        <v>95</v>
      </c>
      <c r="H112" s="43" t="s">
        <v>569</v>
      </c>
      <c r="I112" s="45" t="s">
        <v>569</v>
      </c>
      <c r="J112" s="45" t="s">
        <v>546</v>
      </c>
      <c r="K112" s="116">
        <v>134.18</v>
      </c>
      <c r="L112" s="116">
        <v>134.18</v>
      </c>
      <c r="M112" s="116"/>
      <c r="N112" s="116">
        <v>200</v>
      </c>
      <c r="O112" s="116">
        <v>177.44</v>
      </c>
      <c r="P112" s="116"/>
      <c r="Q112" s="116"/>
      <c r="R112" s="116"/>
      <c r="S112" s="46">
        <v>645.79999999999995</v>
      </c>
      <c r="T112" s="117"/>
      <c r="U112" s="56" t="s">
        <v>949</v>
      </c>
      <c r="V112" s="105" t="s">
        <v>571</v>
      </c>
    </row>
    <row r="113" spans="1:22" s="18" customFormat="1" ht="21.75" customHeight="1" x14ac:dyDescent="0.3">
      <c r="A113" s="39">
        <v>14109738</v>
      </c>
      <c r="B113" s="48" t="s">
        <v>93</v>
      </c>
      <c r="C113" s="41" t="s">
        <v>660</v>
      </c>
      <c r="D113" s="42" t="s">
        <v>3</v>
      </c>
      <c r="E113" s="43" t="s">
        <v>567</v>
      </c>
      <c r="F113" s="43" t="s">
        <v>568</v>
      </c>
      <c r="G113" s="44">
        <v>92</v>
      </c>
      <c r="H113" s="43" t="s">
        <v>569</v>
      </c>
      <c r="I113" s="45" t="s">
        <v>569</v>
      </c>
      <c r="J113" s="45" t="s">
        <v>573</v>
      </c>
      <c r="K113" s="116">
        <v>134.18</v>
      </c>
      <c r="L113" s="116">
        <v>134.18</v>
      </c>
      <c r="M113" s="116"/>
      <c r="N113" s="116">
        <v>200</v>
      </c>
      <c r="O113" s="116">
        <v>0</v>
      </c>
      <c r="P113" s="116"/>
      <c r="Q113" s="116"/>
      <c r="R113" s="116"/>
      <c r="S113" s="46">
        <v>468.36</v>
      </c>
      <c r="T113" s="117"/>
      <c r="U113" s="56" t="s">
        <v>949</v>
      </c>
      <c r="V113" s="105" t="s">
        <v>571</v>
      </c>
    </row>
    <row r="114" spans="1:22" s="18" customFormat="1" ht="21.75" customHeight="1" x14ac:dyDescent="0.3">
      <c r="A114" s="40">
        <v>14109748</v>
      </c>
      <c r="B114" s="40" t="s">
        <v>94</v>
      </c>
      <c r="C114" s="41" t="s">
        <v>661</v>
      </c>
      <c r="D114" s="42" t="s">
        <v>3</v>
      </c>
      <c r="E114" s="43" t="s">
        <v>567</v>
      </c>
      <c r="F114" s="43" t="s">
        <v>568</v>
      </c>
      <c r="G114" s="44">
        <v>91</v>
      </c>
      <c r="H114" s="43" t="s">
        <v>569</v>
      </c>
      <c r="I114" s="45" t="s">
        <v>571</v>
      </c>
      <c r="J114" s="45" t="s">
        <v>546</v>
      </c>
      <c r="K114" s="116">
        <v>134.18</v>
      </c>
      <c r="L114" s="116">
        <v>134.18</v>
      </c>
      <c r="M114" s="116"/>
      <c r="N114" s="116">
        <v>0</v>
      </c>
      <c r="O114" s="116">
        <v>0</v>
      </c>
      <c r="P114" s="116"/>
      <c r="Q114" s="116"/>
      <c r="R114" s="116"/>
      <c r="S114" s="46">
        <v>268.36</v>
      </c>
      <c r="T114" s="117"/>
      <c r="U114" s="56" t="s">
        <v>949</v>
      </c>
      <c r="V114" s="105" t="s">
        <v>571</v>
      </c>
    </row>
    <row r="115" spans="1:22" s="18" customFormat="1" ht="21.75" customHeight="1" x14ac:dyDescent="0.3">
      <c r="A115" s="39">
        <v>14109802</v>
      </c>
      <c r="B115" s="40" t="s">
        <v>95</v>
      </c>
      <c r="C115" s="41" t="s">
        <v>662</v>
      </c>
      <c r="D115" s="42" t="s">
        <v>3</v>
      </c>
      <c r="E115" s="43" t="s">
        <v>567</v>
      </c>
      <c r="F115" s="43" t="s">
        <v>568</v>
      </c>
      <c r="G115" s="44">
        <v>94</v>
      </c>
      <c r="H115" s="43" t="s">
        <v>569</v>
      </c>
      <c r="I115" s="45" t="s">
        <v>571</v>
      </c>
      <c r="J115" s="45" t="s">
        <v>546</v>
      </c>
      <c r="K115" s="116">
        <v>134.18</v>
      </c>
      <c r="L115" s="116">
        <v>134.18</v>
      </c>
      <c r="M115" s="116"/>
      <c r="N115" s="116">
        <v>0</v>
      </c>
      <c r="O115" s="116">
        <v>0</v>
      </c>
      <c r="P115" s="116"/>
      <c r="Q115" s="116"/>
      <c r="R115" s="116"/>
      <c r="S115" s="46">
        <v>268.36</v>
      </c>
      <c r="T115" s="117"/>
      <c r="U115" s="56" t="s">
        <v>949</v>
      </c>
      <c r="V115" s="105" t="s">
        <v>571</v>
      </c>
    </row>
    <row r="116" spans="1:22" s="18" customFormat="1" ht="21.75" customHeight="1" x14ac:dyDescent="0.3">
      <c r="A116" s="40">
        <v>14109808</v>
      </c>
      <c r="B116" s="40" t="s">
        <v>96</v>
      </c>
      <c r="C116" s="41" t="s">
        <v>663</v>
      </c>
      <c r="D116" s="42" t="s">
        <v>3</v>
      </c>
      <c r="E116" s="43" t="s">
        <v>567</v>
      </c>
      <c r="F116" s="43" t="s">
        <v>568</v>
      </c>
      <c r="G116" s="44">
        <v>95</v>
      </c>
      <c r="H116" s="43" t="s">
        <v>569</v>
      </c>
      <c r="I116" s="45" t="s">
        <v>569</v>
      </c>
      <c r="J116" s="45" t="s">
        <v>546</v>
      </c>
      <c r="K116" s="116">
        <v>134.18</v>
      </c>
      <c r="L116" s="116">
        <v>134.18</v>
      </c>
      <c r="M116" s="116"/>
      <c r="N116" s="116">
        <v>200</v>
      </c>
      <c r="O116" s="116">
        <v>177.44</v>
      </c>
      <c r="P116" s="116"/>
      <c r="Q116" s="116"/>
      <c r="R116" s="116"/>
      <c r="S116" s="46">
        <v>645.79999999999995</v>
      </c>
      <c r="T116" s="117"/>
      <c r="U116" s="56" t="s">
        <v>949</v>
      </c>
      <c r="V116" s="105" t="s">
        <v>571</v>
      </c>
    </row>
    <row r="117" spans="1:22" s="18" customFormat="1" ht="21.75" customHeight="1" x14ac:dyDescent="0.3">
      <c r="A117" s="39">
        <v>14109874</v>
      </c>
      <c r="B117" s="40" t="s">
        <v>97</v>
      </c>
      <c r="C117" s="41" t="s">
        <v>664</v>
      </c>
      <c r="D117" s="42" t="s">
        <v>3</v>
      </c>
      <c r="E117" s="43" t="s">
        <v>567</v>
      </c>
      <c r="F117" s="43" t="s">
        <v>568</v>
      </c>
      <c r="G117" s="44">
        <v>71</v>
      </c>
      <c r="H117" s="43" t="s">
        <v>571</v>
      </c>
      <c r="I117" s="45" t="s">
        <v>569</v>
      </c>
      <c r="J117" s="45" t="s">
        <v>546</v>
      </c>
      <c r="K117" s="116">
        <v>134.18</v>
      </c>
      <c r="L117" s="116">
        <v>134.18</v>
      </c>
      <c r="M117" s="116"/>
      <c r="N117" s="116">
        <v>0</v>
      </c>
      <c r="O117" s="116">
        <v>177.44</v>
      </c>
      <c r="P117" s="116"/>
      <c r="Q117" s="116"/>
      <c r="R117" s="116"/>
      <c r="S117" s="46">
        <v>445.8</v>
      </c>
      <c r="T117" s="117"/>
      <c r="U117" s="56" t="s">
        <v>949</v>
      </c>
      <c r="V117" s="105" t="s">
        <v>571</v>
      </c>
    </row>
    <row r="118" spans="1:22" s="18" customFormat="1" ht="21.75" customHeight="1" x14ac:dyDescent="0.3">
      <c r="A118" s="39">
        <v>14109948</v>
      </c>
      <c r="B118" s="40" t="s">
        <v>165</v>
      </c>
      <c r="C118" s="41" t="s">
        <v>665</v>
      </c>
      <c r="D118" s="42" t="s">
        <v>3</v>
      </c>
      <c r="E118" s="43" t="s">
        <v>567</v>
      </c>
      <c r="F118" s="43" t="s">
        <v>568</v>
      </c>
      <c r="G118" s="44">
        <v>86</v>
      </c>
      <c r="H118" s="43" t="s">
        <v>571</v>
      </c>
      <c r="I118" s="45" t="s">
        <v>569</v>
      </c>
      <c r="J118" s="45" t="s">
        <v>546</v>
      </c>
      <c r="K118" s="116">
        <v>134.18</v>
      </c>
      <c r="L118" s="116">
        <v>134.18</v>
      </c>
      <c r="M118" s="116"/>
      <c r="N118" s="116">
        <v>0</v>
      </c>
      <c r="O118" s="116">
        <v>177.44</v>
      </c>
      <c r="P118" s="116"/>
      <c r="Q118" s="116"/>
      <c r="R118" s="116"/>
      <c r="S118" s="46">
        <v>445.8</v>
      </c>
      <c r="T118" s="117"/>
      <c r="U118" s="56" t="s">
        <v>949</v>
      </c>
      <c r="V118" s="105" t="s">
        <v>571</v>
      </c>
    </row>
    <row r="119" spans="1:22" s="18" customFormat="1" ht="21.75" customHeight="1" x14ac:dyDescent="0.3">
      <c r="A119" s="39">
        <v>14110039</v>
      </c>
      <c r="B119" s="40" t="s">
        <v>98</v>
      </c>
      <c r="C119" s="41" t="s">
        <v>666</v>
      </c>
      <c r="D119" s="42" t="s">
        <v>3</v>
      </c>
      <c r="E119" s="43" t="s">
        <v>567</v>
      </c>
      <c r="F119" s="43" t="s">
        <v>568</v>
      </c>
      <c r="G119" s="44">
        <v>95</v>
      </c>
      <c r="H119" s="43" t="s">
        <v>569</v>
      </c>
      <c r="I119" s="45" t="s">
        <v>569</v>
      </c>
      <c r="J119" s="45" t="s">
        <v>546</v>
      </c>
      <c r="K119" s="116">
        <v>134.18</v>
      </c>
      <c r="L119" s="116">
        <v>134.18</v>
      </c>
      <c r="M119" s="116"/>
      <c r="N119" s="116">
        <v>200</v>
      </c>
      <c r="O119" s="116">
        <v>177.44</v>
      </c>
      <c r="P119" s="116"/>
      <c r="Q119" s="116"/>
      <c r="R119" s="116"/>
      <c r="S119" s="46">
        <v>645.79999999999995</v>
      </c>
      <c r="T119" s="117"/>
      <c r="U119" s="56" t="s">
        <v>949</v>
      </c>
      <c r="V119" s="105" t="s">
        <v>571</v>
      </c>
    </row>
    <row r="120" spans="1:22" s="18" customFormat="1" ht="21.75" customHeight="1" x14ac:dyDescent="0.3">
      <c r="A120" s="39">
        <v>14110040</v>
      </c>
      <c r="B120" s="40" t="s">
        <v>99</v>
      </c>
      <c r="C120" s="41" t="s">
        <v>666</v>
      </c>
      <c r="D120" s="42" t="s">
        <v>3</v>
      </c>
      <c r="E120" s="43" t="s">
        <v>567</v>
      </c>
      <c r="F120" s="43" t="s">
        <v>568</v>
      </c>
      <c r="G120" s="44">
        <v>91</v>
      </c>
      <c r="H120" s="43" t="s">
        <v>569</v>
      </c>
      <c r="I120" s="45" t="s">
        <v>569</v>
      </c>
      <c r="J120" s="45" t="s">
        <v>546</v>
      </c>
      <c r="K120" s="116">
        <v>134.18</v>
      </c>
      <c r="L120" s="116">
        <v>134.18</v>
      </c>
      <c r="M120" s="116"/>
      <c r="N120" s="116">
        <v>200</v>
      </c>
      <c r="O120" s="116">
        <v>177.44</v>
      </c>
      <c r="P120" s="116"/>
      <c r="Q120" s="116"/>
      <c r="R120" s="116"/>
      <c r="S120" s="46">
        <v>645.79999999999995</v>
      </c>
      <c r="T120" s="117"/>
      <c r="U120" s="56" t="s">
        <v>949</v>
      </c>
      <c r="V120" s="105" t="s">
        <v>571</v>
      </c>
    </row>
    <row r="121" spans="1:22" s="18" customFormat="1" ht="21.75" customHeight="1" x14ac:dyDescent="0.3">
      <c r="A121" s="39">
        <v>14110042</v>
      </c>
      <c r="B121" s="40" t="s">
        <v>329</v>
      </c>
      <c r="C121" s="41" t="s">
        <v>666</v>
      </c>
      <c r="D121" s="42" t="s">
        <v>3</v>
      </c>
      <c r="E121" s="43" t="s">
        <v>567</v>
      </c>
      <c r="F121" s="43" t="s">
        <v>568</v>
      </c>
      <c r="G121" s="44">
        <v>90</v>
      </c>
      <c r="H121" s="43" t="s">
        <v>569</v>
      </c>
      <c r="I121" s="45" t="s">
        <v>569</v>
      </c>
      <c r="J121" s="45" t="s">
        <v>546</v>
      </c>
      <c r="K121" s="116">
        <v>134.18</v>
      </c>
      <c r="L121" s="116">
        <v>134.18</v>
      </c>
      <c r="M121" s="116"/>
      <c r="N121" s="116">
        <v>200</v>
      </c>
      <c r="O121" s="116">
        <v>177.44</v>
      </c>
      <c r="P121" s="116"/>
      <c r="Q121" s="116"/>
      <c r="R121" s="116"/>
      <c r="S121" s="46">
        <v>645.79999999999995</v>
      </c>
      <c r="T121" s="117"/>
      <c r="U121" s="56" t="s">
        <v>949</v>
      </c>
      <c r="V121" s="105" t="s">
        <v>571</v>
      </c>
    </row>
    <row r="122" spans="1:22" s="18" customFormat="1" ht="21.75" customHeight="1" x14ac:dyDescent="0.3">
      <c r="A122" s="40">
        <v>14110044</v>
      </c>
      <c r="B122" s="40" t="s">
        <v>145</v>
      </c>
      <c r="C122" s="41" t="s">
        <v>667</v>
      </c>
      <c r="D122" s="42" t="s">
        <v>3</v>
      </c>
      <c r="E122" s="43" t="s">
        <v>567</v>
      </c>
      <c r="F122" s="43" t="s">
        <v>568</v>
      </c>
      <c r="G122" s="44">
        <v>94</v>
      </c>
      <c r="H122" s="43" t="s">
        <v>569</v>
      </c>
      <c r="I122" s="45" t="s">
        <v>569</v>
      </c>
      <c r="J122" s="45" t="s">
        <v>546</v>
      </c>
      <c r="K122" s="116">
        <v>134.18</v>
      </c>
      <c r="L122" s="116">
        <v>134.18</v>
      </c>
      <c r="M122" s="116"/>
      <c r="N122" s="116">
        <v>200</v>
      </c>
      <c r="O122" s="116">
        <v>177.44</v>
      </c>
      <c r="P122" s="116"/>
      <c r="Q122" s="116"/>
      <c r="R122" s="116"/>
      <c r="S122" s="46">
        <v>645.79999999999995</v>
      </c>
      <c r="T122" s="117"/>
      <c r="U122" s="56" t="s">
        <v>949</v>
      </c>
      <c r="V122" s="105" t="s">
        <v>571</v>
      </c>
    </row>
    <row r="123" spans="1:22" s="18" customFormat="1" ht="21.75" customHeight="1" x14ac:dyDescent="0.3">
      <c r="A123" s="39">
        <v>14110292</v>
      </c>
      <c r="B123" s="40" t="s">
        <v>100</v>
      </c>
      <c r="C123" s="41" t="s">
        <v>668</v>
      </c>
      <c r="D123" s="42" t="s">
        <v>3</v>
      </c>
      <c r="E123" s="43" t="s">
        <v>567</v>
      </c>
      <c r="F123" s="43" t="s">
        <v>568</v>
      </c>
      <c r="G123" s="44"/>
      <c r="H123" s="43" t="s">
        <v>571</v>
      </c>
      <c r="I123" s="45" t="s">
        <v>569</v>
      </c>
      <c r="J123" s="45" t="s">
        <v>573</v>
      </c>
      <c r="K123" s="116">
        <v>0</v>
      </c>
      <c r="L123" s="116">
        <v>0</v>
      </c>
      <c r="M123" s="116"/>
      <c r="N123" s="116">
        <v>0</v>
      </c>
      <c r="O123" s="116">
        <v>0</v>
      </c>
      <c r="P123" s="116"/>
      <c r="Q123" s="116"/>
      <c r="R123" s="116"/>
      <c r="S123" s="46">
        <v>0</v>
      </c>
      <c r="T123" s="117"/>
      <c r="U123" s="56" t="s">
        <v>571</v>
      </c>
      <c r="V123" s="105" t="s">
        <v>571</v>
      </c>
    </row>
    <row r="124" spans="1:22" s="18" customFormat="1" ht="21.75" customHeight="1" x14ac:dyDescent="0.3">
      <c r="A124" s="119">
        <v>14110336</v>
      </c>
      <c r="B124" s="120" t="s">
        <v>983</v>
      </c>
      <c r="C124" s="121" t="s">
        <v>984</v>
      </c>
      <c r="D124" s="122" t="s">
        <v>3</v>
      </c>
      <c r="E124" s="43" t="s">
        <v>567</v>
      </c>
      <c r="F124" s="43" t="s">
        <v>568</v>
      </c>
      <c r="G124" s="44">
        <v>95</v>
      </c>
      <c r="H124" s="43" t="s">
        <v>569</v>
      </c>
      <c r="I124" s="45" t="s">
        <v>569</v>
      </c>
      <c r="J124" s="45" t="s">
        <v>573</v>
      </c>
      <c r="K124" s="116">
        <v>0</v>
      </c>
      <c r="L124" s="116">
        <v>0</v>
      </c>
      <c r="M124" s="116"/>
      <c r="N124" s="116">
        <v>0</v>
      </c>
      <c r="O124" s="116">
        <v>0</v>
      </c>
      <c r="P124" s="116"/>
      <c r="Q124" s="116"/>
      <c r="R124" s="116"/>
      <c r="S124" s="46">
        <v>0</v>
      </c>
      <c r="T124" s="117"/>
      <c r="U124" s="56" t="s">
        <v>571</v>
      </c>
      <c r="V124" s="105" t="s">
        <v>571</v>
      </c>
    </row>
    <row r="125" spans="1:22" s="18" customFormat="1" ht="21.75" customHeight="1" x14ac:dyDescent="0.3">
      <c r="A125" s="39">
        <v>14110339</v>
      </c>
      <c r="B125" s="40" t="s">
        <v>101</v>
      </c>
      <c r="C125" s="41" t="s">
        <v>670</v>
      </c>
      <c r="D125" s="42" t="s">
        <v>3</v>
      </c>
      <c r="E125" s="43" t="s">
        <v>567</v>
      </c>
      <c r="F125" s="43" t="s">
        <v>568</v>
      </c>
      <c r="G125" s="44">
        <v>78</v>
      </c>
      <c r="H125" s="43" t="s">
        <v>571</v>
      </c>
      <c r="I125" s="45" t="s">
        <v>571</v>
      </c>
      <c r="J125" s="45" t="s">
        <v>546</v>
      </c>
      <c r="K125" s="116">
        <v>134.18</v>
      </c>
      <c r="L125" s="116">
        <v>134.18</v>
      </c>
      <c r="M125" s="116"/>
      <c r="N125" s="116">
        <v>0</v>
      </c>
      <c r="O125" s="116">
        <v>0</v>
      </c>
      <c r="P125" s="116"/>
      <c r="Q125" s="116"/>
      <c r="R125" s="116"/>
      <c r="S125" s="46">
        <v>268.36</v>
      </c>
      <c r="T125" s="117"/>
      <c r="U125" s="56" t="s">
        <v>949</v>
      </c>
      <c r="V125" s="105" t="s">
        <v>571</v>
      </c>
    </row>
    <row r="126" spans="1:22" s="18" customFormat="1" ht="21.75" customHeight="1" x14ac:dyDescent="0.3">
      <c r="A126" s="39">
        <v>14110465</v>
      </c>
      <c r="B126" s="40" t="s">
        <v>102</v>
      </c>
      <c r="C126" s="41" t="s">
        <v>671</v>
      </c>
      <c r="D126" s="42" t="s">
        <v>3</v>
      </c>
      <c r="E126" s="43" t="s">
        <v>567</v>
      </c>
      <c r="F126" s="43" t="s">
        <v>568</v>
      </c>
      <c r="G126" s="44">
        <v>94</v>
      </c>
      <c r="H126" s="43" t="s">
        <v>569</v>
      </c>
      <c r="I126" s="45" t="s">
        <v>571</v>
      </c>
      <c r="J126" s="45" t="s">
        <v>546</v>
      </c>
      <c r="K126" s="116">
        <v>134.18</v>
      </c>
      <c r="L126" s="116">
        <v>134.18</v>
      </c>
      <c r="M126" s="116"/>
      <c r="N126" s="116">
        <v>0</v>
      </c>
      <c r="O126" s="116">
        <v>0</v>
      </c>
      <c r="P126" s="116"/>
      <c r="Q126" s="116"/>
      <c r="R126" s="116"/>
      <c r="S126" s="46">
        <v>268.36</v>
      </c>
      <c r="T126" s="117"/>
      <c r="U126" s="56" t="s">
        <v>949</v>
      </c>
      <c r="V126" s="105" t="s">
        <v>571</v>
      </c>
    </row>
    <row r="127" spans="1:22" s="18" customFormat="1" ht="21.75" customHeight="1" x14ac:dyDescent="0.3">
      <c r="A127" s="39">
        <v>14110506</v>
      </c>
      <c r="B127" s="48" t="s">
        <v>421</v>
      </c>
      <c r="C127" s="41" t="s">
        <v>672</v>
      </c>
      <c r="D127" s="42" t="s">
        <v>3</v>
      </c>
      <c r="E127" s="43" t="s">
        <v>567</v>
      </c>
      <c r="F127" s="43" t="s">
        <v>568</v>
      </c>
      <c r="G127" s="44">
        <v>89</v>
      </c>
      <c r="H127" s="43" t="s">
        <v>571</v>
      </c>
      <c r="I127" s="45" t="s">
        <v>571</v>
      </c>
      <c r="J127" s="45" t="s">
        <v>546</v>
      </c>
      <c r="K127" s="116">
        <v>134.18</v>
      </c>
      <c r="L127" s="116">
        <v>134.18</v>
      </c>
      <c r="M127" s="116"/>
      <c r="N127" s="116">
        <v>0</v>
      </c>
      <c r="O127" s="116">
        <v>0</v>
      </c>
      <c r="P127" s="116"/>
      <c r="Q127" s="116"/>
      <c r="R127" s="116"/>
      <c r="S127" s="46">
        <v>268.36</v>
      </c>
      <c r="T127" s="117"/>
      <c r="U127" s="56" t="s">
        <v>949</v>
      </c>
      <c r="V127" s="105" t="s">
        <v>571</v>
      </c>
    </row>
    <row r="128" spans="1:22" s="18" customFormat="1" ht="21.75" customHeight="1" x14ac:dyDescent="0.3">
      <c r="A128" s="40">
        <v>14110512</v>
      </c>
      <c r="B128" s="40" t="s">
        <v>183</v>
      </c>
      <c r="C128" s="41" t="s">
        <v>673</v>
      </c>
      <c r="D128" s="42" t="s">
        <v>3</v>
      </c>
      <c r="E128" s="43" t="s">
        <v>567</v>
      </c>
      <c r="F128" s="43" t="s">
        <v>568</v>
      </c>
      <c r="G128" s="44">
        <v>68</v>
      </c>
      <c r="H128" s="43" t="s">
        <v>571</v>
      </c>
      <c r="I128" s="45" t="s">
        <v>569</v>
      </c>
      <c r="J128" s="45" t="s">
        <v>546</v>
      </c>
      <c r="K128" s="116">
        <v>134.18</v>
      </c>
      <c r="L128" s="116">
        <v>134.18</v>
      </c>
      <c r="M128" s="116"/>
      <c r="N128" s="116">
        <v>0</v>
      </c>
      <c r="O128" s="116">
        <v>177.44</v>
      </c>
      <c r="P128" s="116"/>
      <c r="Q128" s="116"/>
      <c r="R128" s="116"/>
      <c r="S128" s="46">
        <v>445.8</v>
      </c>
      <c r="T128" s="117"/>
      <c r="U128" s="56" t="s">
        <v>949</v>
      </c>
      <c r="V128" s="105" t="s">
        <v>571</v>
      </c>
    </row>
    <row r="129" spans="1:22" s="18" customFormat="1" ht="21.75" customHeight="1" x14ac:dyDescent="0.3">
      <c r="A129" s="39">
        <v>14110550</v>
      </c>
      <c r="B129" s="40" t="s">
        <v>103</v>
      </c>
      <c r="C129" s="41" t="s">
        <v>674</v>
      </c>
      <c r="D129" s="42" t="s">
        <v>3</v>
      </c>
      <c r="E129" s="43" t="s">
        <v>567</v>
      </c>
      <c r="F129" s="43" t="s">
        <v>568</v>
      </c>
      <c r="G129" s="44">
        <v>91</v>
      </c>
      <c r="H129" s="43" t="s">
        <v>569</v>
      </c>
      <c r="I129" s="45" t="s">
        <v>569</v>
      </c>
      <c r="J129" s="45" t="s">
        <v>573</v>
      </c>
      <c r="K129" s="116">
        <v>134.18</v>
      </c>
      <c r="L129" s="116">
        <v>134.18</v>
      </c>
      <c r="M129" s="116"/>
      <c r="N129" s="116">
        <v>200</v>
      </c>
      <c r="O129" s="116">
        <v>0</v>
      </c>
      <c r="P129" s="116"/>
      <c r="Q129" s="116"/>
      <c r="R129" s="116"/>
      <c r="S129" s="46">
        <v>468.36</v>
      </c>
      <c r="T129" s="117"/>
      <c r="U129" s="56" t="s">
        <v>949</v>
      </c>
      <c r="V129" s="105" t="s">
        <v>571</v>
      </c>
    </row>
    <row r="130" spans="1:22" s="18" customFormat="1" ht="21.75" customHeight="1" x14ac:dyDescent="0.3">
      <c r="A130" s="40">
        <v>14110604</v>
      </c>
      <c r="B130" s="40" t="s">
        <v>330</v>
      </c>
      <c r="C130" s="41" t="s">
        <v>675</v>
      </c>
      <c r="D130" s="42" t="s">
        <v>3</v>
      </c>
      <c r="E130" s="43" t="s">
        <v>567</v>
      </c>
      <c r="F130" s="43" t="s">
        <v>568</v>
      </c>
      <c r="G130" s="44">
        <v>22</v>
      </c>
      <c r="H130" s="43" t="s">
        <v>571</v>
      </c>
      <c r="I130" s="45" t="s">
        <v>571</v>
      </c>
      <c r="J130" s="45" t="s">
        <v>546</v>
      </c>
      <c r="K130" s="116">
        <v>134.18</v>
      </c>
      <c r="L130" s="116">
        <v>134.18</v>
      </c>
      <c r="M130" s="116"/>
      <c r="N130" s="116">
        <v>0</v>
      </c>
      <c r="O130" s="116">
        <v>0</v>
      </c>
      <c r="P130" s="116"/>
      <c r="Q130" s="116"/>
      <c r="R130" s="116"/>
      <c r="S130" s="46">
        <v>268.36</v>
      </c>
      <c r="T130" s="117"/>
      <c r="U130" s="56" t="s">
        <v>949</v>
      </c>
      <c r="V130" s="105" t="s">
        <v>571</v>
      </c>
    </row>
    <row r="131" spans="1:22" s="18" customFormat="1" ht="21.75" customHeight="1" x14ac:dyDescent="0.3">
      <c r="A131" s="39">
        <v>14110707</v>
      </c>
      <c r="B131" s="40" t="s">
        <v>267</v>
      </c>
      <c r="C131" s="41" t="s">
        <v>676</v>
      </c>
      <c r="D131" s="42" t="s">
        <v>3</v>
      </c>
      <c r="E131" s="43" t="s">
        <v>567</v>
      </c>
      <c r="F131" s="43" t="s">
        <v>568</v>
      </c>
      <c r="G131" s="44">
        <v>79</v>
      </c>
      <c r="H131" s="43" t="s">
        <v>571</v>
      </c>
      <c r="I131" s="45" t="s">
        <v>569</v>
      </c>
      <c r="J131" s="45" t="s">
        <v>546</v>
      </c>
      <c r="K131" s="116">
        <v>134.18</v>
      </c>
      <c r="L131" s="116">
        <v>134.18</v>
      </c>
      <c r="M131" s="116"/>
      <c r="N131" s="116">
        <v>0</v>
      </c>
      <c r="O131" s="116">
        <v>177.44</v>
      </c>
      <c r="P131" s="116"/>
      <c r="Q131" s="116"/>
      <c r="R131" s="116"/>
      <c r="S131" s="46">
        <v>445.8</v>
      </c>
      <c r="T131" s="117"/>
      <c r="U131" s="56" t="s">
        <v>949</v>
      </c>
      <c r="V131" s="105" t="s">
        <v>571</v>
      </c>
    </row>
    <row r="132" spans="1:22" s="18" customFormat="1" ht="21.75" customHeight="1" x14ac:dyDescent="0.3">
      <c r="A132" s="39">
        <v>14110741</v>
      </c>
      <c r="B132" s="40" t="s">
        <v>310</v>
      </c>
      <c r="C132" s="41" t="s">
        <v>677</v>
      </c>
      <c r="D132" s="42" t="s">
        <v>3</v>
      </c>
      <c r="E132" s="43" t="s">
        <v>567</v>
      </c>
      <c r="F132" s="43" t="s">
        <v>568</v>
      </c>
      <c r="G132" s="44"/>
      <c r="H132" s="43" t="s">
        <v>571</v>
      </c>
      <c r="I132" s="45" t="s">
        <v>569</v>
      </c>
      <c r="J132" s="45" t="s">
        <v>573</v>
      </c>
      <c r="K132" s="116">
        <v>0</v>
      </c>
      <c r="L132" s="116">
        <v>0</v>
      </c>
      <c r="M132" s="116"/>
      <c r="N132" s="116">
        <v>0</v>
      </c>
      <c r="O132" s="116">
        <v>0</v>
      </c>
      <c r="P132" s="116"/>
      <c r="Q132" s="116"/>
      <c r="R132" s="116"/>
      <c r="S132" s="46">
        <v>0</v>
      </c>
      <c r="T132" s="117"/>
      <c r="U132" s="56" t="s">
        <v>571</v>
      </c>
      <c r="V132" s="105" t="s">
        <v>571</v>
      </c>
    </row>
    <row r="133" spans="1:22" s="18" customFormat="1" ht="21.75" customHeight="1" x14ac:dyDescent="0.3">
      <c r="A133" s="39">
        <v>14110761</v>
      </c>
      <c r="B133" s="48" t="s">
        <v>104</v>
      </c>
      <c r="C133" s="41" t="s">
        <v>678</v>
      </c>
      <c r="D133" s="42" t="s">
        <v>3</v>
      </c>
      <c r="E133" s="43" t="s">
        <v>567</v>
      </c>
      <c r="F133" s="43" t="s">
        <v>568</v>
      </c>
      <c r="G133" s="44">
        <v>63</v>
      </c>
      <c r="H133" s="43" t="s">
        <v>571</v>
      </c>
      <c r="I133" s="45" t="s">
        <v>571</v>
      </c>
      <c r="J133" s="45" t="s">
        <v>573</v>
      </c>
      <c r="K133" s="116">
        <v>134.18</v>
      </c>
      <c r="L133" s="116">
        <v>134.18</v>
      </c>
      <c r="M133" s="116"/>
      <c r="N133" s="116">
        <v>0</v>
      </c>
      <c r="O133" s="116">
        <v>0</v>
      </c>
      <c r="P133" s="116"/>
      <c r="Q133" s="116"/>
      <c r="R133" s="116"/>
      <c r="S133" s="46">
        <v>268.36</v>
      </c>
      <c r="T133" s="117"/>
      <c r="U133" s="56" t="s">
        <v>949</v>
      </c>
      <c r="V133" s="105" t="s">
        <v>571</v>
      </c>
    </row>
    <row r="134" spans="1:22" s="18" customFormat="1" ht="21.75" customHeight="1" x14ac:dyDescent="0.3">
      <c r="A134" s="39">
        <v>14110765</v>
      </c>
      <c r="B134" s="40" t="s">
        <v>105</v>
      </c>
      <c r="C134" s="41" t="s">
        <v>678</v>
      </c>
      <c r="D134" s="42" t="s">
        <v>3</v>
      </c>
      <c r="E134" s="43" t="s">
        <v>567</v>
      </c>
      <c r="F134" s="43" t="s">
        <v>568</v>
      </c>
      <c r="G134" s="44">
        <v>91</v>
      </c>
      <c r="H134" s="43" t="s">
        <v>569</v>
      </c>
      <c r="I134" s="45" t="s">
        <v>569</v>
      </c>
      <c r="J134" s="45" t="s">
        <v>546</v>
      </c>
      <c r="K134" s="116">
        <v>134.18</v>
      </c>
      <c r="L134" s="116">
        <v>134.18</v>
      </c>
      <c r="M134" s="116"/>
      <c r="N134" s="116">
        <v>200</v>
      </c>
      <c r="O134" s="116">
        <v>177.44</v>
      </c>
      <c r="P134" s="116"/>
      <c r="Q134" s="116"/>
      <c r="R134" s="116"/>
      <c r="S134" s="46">
        <v>645.79999999999995</v>
      </c>
      <c r="T134" s="117"/>
      <c r="U134" s="56" t="s">
        <v>949</v>
      </c>
      <c r="V134" s="105" t="s">
        <v>571</v>
      </c>
    </row>
    <row r="135" spans="1:22" s="18" customFormat="1" ht="21.75" customHeight="1" x14ac:dyDescent="0.3">
      <c r="A135" s="40">
        <v>14110799</v>
      </c>
      <c r="B135" s="40" t="s">
        <v>455</v>
      </c>
      <c r="C135" s="41" t="s">
        <v>598</v>
      </c>
      <c r="D135" s="42" t="s">
        <v>3</v>
      </c>
      <c r="E135" s="43" t="s">
        <v>567</v>
      </c>
      <c r="F135" s="43" t="s">
        <v>568</v>
      </c>
      <c r="G135" s="44">
        <v>93</v>
      </c>
      <c r="H135" s="43" t="s">
        <v>569</v>
      </c>
      <c r="I135" s="45" t="s">
        <v>571</v>
      </c>
      <c r="J135" s="45" t="s">
        <v>546</v>
      </c>
      <c r="K135" s="116">
        <v>134.18</v>
      </c>
      <c r="L135" s="116">
        <v>134.18</v>
      </c>
      <c r="M135" s="116"/>
      <c r="N135" s="116">
        <v>0</v>
      </c>
      <c r="O135" s="116">
        <v>0</v>
      </c>
      <c r="P135" s="116"/>
      <c r="Q135" s="116"/>
      <c r="R135" s="116"/>
      <c r="S135" s="46">
        <v>268.36</v>
      </c>
      <c r="T135" s="117"/>
      <c r="U135" s="56" t="s">
        <v>949</v>
      </c>
      <c r="V135" s="105" t="s">
        <v>571</v>
      </c>
    </row>
    <row r="136" spans="1:22" s="18" customFormat="1" ht="21.75" customHeight="1" x14ac:dyDescent="0.3">
      <c r="A136" s="39">
        <v>14110929</v>
      </c>
      <c r="B136" s="40" t="s">
        <v>179</v>
      </c>
      <c r="C136" s="41" t="s">
        <v>647</v>
      </c>
      <c r="D136" s="42" t="s">
        <v>3</v>
      </c>
      <c r="E136" s="43" t="s">
        <v>567</v>
      </c>
      <c r="F136" s="43" t="s">
        <v>568</v>
      </c>
      <c r="G136" s="44">
        <v>90</v>
      </c>
      <c r="H136" s="43" t="s">
        <v>569</v>
      </c>
      <c r="I136" s="45" t="s">
        <v>569</v>
      </c>
      <c r="J136" s="45" t="s">
        <v>546</v>
      </c>
      <c r="K136" s="116">
        <v>134.18</v>
      </c>
      <c r="L136" s="116">
        <v>134.18</v>
      </c>
      <c r="M136" s="116"/>
      <c r="N136" s="116">
        <v>200</v>
      </c>
      <c r="O136" s="116">
        <v>177.44</v>
      </c>
      <c r="P136" s="116"/>
      <c r="Q136" s="116"/>
      <c r="R136" s="116"/>
      <c r="S136" s="46">
        <v>645.79999999999995</v>
      </c>
      <c r="T136" s="117"/>
      <c r="U136" s="56" t="s">
        <v>949</v>
      </c>
      <c r="V136" s="105" t="s">
        <v>571</v>
      </c>
    </row>
    <row r="137" spans="1:22" s="18" customFormat="1" ht="21.75" customHeight="1" x14ac:dyDescent="0.3">
      <c r="A137" s="39">
        <v>14110973</v>
      </c>
      <c r="B137" s="40" t="s">
        <v>106</v>
      </c>
      <c r="C137" s="41" t="s">
        <v>679</v>
      </c>
      <c r="D137" s="42" t="s">
        <v>3</v>
      </c>
      <c r="E137" s="43" t="s">
        <v>567</v>
      </c>
      <c r="F137" s="43" t="s">
        <v>568</v>
      </c>
      <c r="G137" s="44">
        <v>91</v>
      </c>
      <c r="H137" s="43" t="s">
        <v>569</v>
      </c>
      <c r="I137" s="45" t="s">
        <v>571</v>
      </c>
      <c r="J137" s="45" t="s">
        <v>546</v>
      </c>
      <c r="K137" s="116">
        <v>134.18</v>
      </c>
      <c r="L137" s="116">
        <v>134.18</v>
      </c>
      <c r="M137" s="116"/>
      <c r="N137" s="116">
        <v>0</v>
      </c>
      <c r="O137" s="116">
        <v>0</v>
      </c>
      <c r="P137" s="116"/>
      <c r="Q137" s="116"/>
      <c r="R137" s="116"/>
      <c r="S137" s="46">
        <v>268.36</v>
      </c>
      <c r="T137" s="117"/>
      <c r="U137" s="56" t="s">
        <v>949</v>
      </c>
      <c r="V137" s="105" t="s">
        <v>571</v>
      </c>
    </row>
    <row r="138" spans="1:22" s="18" customFormat="1" ht="21.75" customHeight="1" x14ac:dyDescent="0.3">
      <c r="A138" s="39">
        <v>14110974</v>
      </c>
      <c r="B138" s="40" t="s">
        <v>107</v>
      </c>
      <c r="C138" s="41" t="s">
        <v>679</v>
      </c>
      <c r="D138" s="42" t="s">
        <v>3</v>
      </c>
      <c r="E138" s="43" t="s">
        <v>567</v>
      </c>
      <c r="F138" s="43" t="s">
        <v>568</v>
      </c>
      <c r="G138" s="44">
        <v>89</v>
      </c>
      <c r="H138" s="43" t="s">
        <v>571</v>
      </c>
      <c r="I138" s="45" t="s">
        <v>569</v>
      </c>
      <c r="J138" s="45" t="s">
        <v>546</v>
      </c>
      <c r="K138" s="116">
        <v>134.18</v>
      </c>
      <c r="L138" s="116">
        <v>134.18</v>
      </c>
      <c r="M138" s="116"/>
      <c r="N138" s="116">
        <v>0</v>
      </c>
      <c r="O138" s="116">
        <v>177.44</v>
      </c>
      <c r="P138" s="116"/>
      <c r="Q138" s="116"/>
      <c r="R138" s="116"/>
      <c r="S138" s="46">
        <v>445.8</v>
      </c>
      <c r="T138" s="117"/>
      <c r="U138" s="56" t="s">
        <v>949</v>
      </c>
      <c r="V138" s="105" t="s">
        <v>571</v>
      </c>
    </row>
    <row r="139" spans="1:22" s="18" customFormat="1" ht="21.75" customHeight="1" x14ac:dyDescent="0.3">
      <c r="A139" s="39">
        <v>14110978</v>
      </c>
      <c r="B139" s="48" t="s">
        <v>108</v>
      </c>
      <c r="C139" s="41" t="s">
        <v>679</v>
      </c>
      <c r="D139" s="42" t="s">
        <v>3</v>
      </c>
      <c r="E139" s="43" t="s">
        <v>567</v>
      </c>
      <c r="F139" s="43" t="s">
        <v>568</v>
      </c>
      <c r="G139" s="44">
        <v>95</v>
      </c>
      <c r="H139" s="43" t="s">
        <v>569</v>
      </c>
      <c r="I139" s="45" t="s">
        <v>569</v>
      </c>
      <c r="J139" s="45" t="s">
        <v>546</v>
      </c>
      <c r="K139" s="116">
        <v>134.18</v>
      </c>
      <c r="L139" s="116">
        <v>134.18</v>
      </c>
      <c r="M139" s="116"/>
      <c r="N139" s="116">
        <v>200</v>
      </c>
      <c r="O139" s="116">
        <v>177.44</v>
      </c>
      <c r="P139" s="116"/>
      <c r="Q139" s="116"/>
      <c r="R139" s="116"/>
      <c r="S139" s="46">
        <v>645.79999999999995</v>
      </c>
      <c r="T139" s="117"/>
      <c r="U139" s="56" t="s">
        <v>949</v>
      </c>
      <c r="V139" s="105" t="s">
        <v>571</v>
      </c>
    </row>
    <row r="140" spans="1:22" s="18" customFormat="1" ht="21.75" customHeight="1" x14ac:dyDescent="0.3">
      <c r="A140" s="40">
        <v>14111143</v>
      </c>
      <c r="B140" s="40" t="s">
        <v>109</v>
      </c>
      <c r="C140" s="41" t="s">
        <v>680</v>
      </c>
      <c r="D140" s="42" t="s">
        <v>3</v>
      </c>
      <c r="E140" s="43" t="s">
        <v>567</v>
      </c>
      <c r="F140" s="43" t="s">
        <v>568</v>
      </c>
      <c r="G140" s="44">
        <v>80</v>
      </c>
      <c r="H140" s="43" t="s">
        <v>571</v>
      </c>
      <c r="I140" s="45" t="s">
        <v>569</v>
      </c>
      <c r="J140" s="45" t="s">
        <v>546</v>
      </c>
      <c r="K140" s="116">
        <v>134.18</v>
      </c>
      <c r="L140" s="116">
        <v>134.18</v>
      </c>
      <c r="M140" s="116"/>
      <c r="N140" s="116">
        <v>0</v>
      </c>
      <c r="O140" s="116">
        <v>177.44</v>
      </c>
      <c r="P140" s="116"/>
      <c r="Q140" s="116"/>
      <c r="R140" s="116"/>
      <c r="S140" s="46">
        <v>445.8</v>
      </c>
      <c r="T140" s="117"/>
      <c r="U140" s="56" t="s">
        <v>949</v>
      </c>
      <c r="V140" s="105" t="s">
        <v>571</v>
      </c>
    </row>
    <row r="141" spans="1:22" s="18" customFormat="1" ht="21.75" customHeight="1" x14ac:dyDescent="0.3">
      <c r="A141" s="39">
        <v>14111266</v>
      </c>
      <c r="B141" s="40" t="s">
        <v>110</v>
      </c>
      <c r="C141" s="41" t="s">
        <v>681</v>
      </c>
      <c r="D141" s="42" t="s">
        <v>3</v>
      </c>
      <c r="E141" s="43" t="s">
        <v>567</v>
      </c>
      <c r="F141" s="43" t="s">
        <v>568</v>
      </c>
      <c r="G141" s="44">
        <v>93</v>
      </c>
      <c r="H141" s="43" t="s">
        <v>569</v>
      </c>
      <c r="I141" s="45" t="s">
        <v>571</v>
      </c>
      <c r="J141" s="45" t="s">
        <v>546</v>
      </c>
      <c r="K141" s="116">
        <v>134.18</v>
      </c>
      <c r="L141" s="116">
        <v>134.18</v>
      </c>
      <c r="M141" s="116"/>
      <c r="N141" s="116">
        <v>0</v>
      </c>
      <c r="O141" s="116">
        <v>0</v>
      </c>
      <c r="P141" s="116"/>
      <c r="Q141" s="116"/>
      <c r="R141" s="116"/>
      <c r="S141" s="46">
        <v>268.36</v>
      </c>
      <c r="T141" s="117"/>
      <c r="U141" s="56" t="s">
        <v>949</v>
      </c>
      <c r="V141" s="105" t="s">
        <v>571</v>
      </c>
    </row>
    <row r="142" spans="1:22" s="18" customFormat="1" ht="21.75" customHeight="1" x14ac:dyDescent="0.3">
      <c r="A142" s="39">
        <v>14111557</v>
      </c>
      <c r="B142" s="40" t="s">
        <v>111</v>
      </c>
      <c r="C142" s="41" t="s">
        <v>682</v>
      </c>
      <c r="D142" s="42" t="s">
        <v>3</v>
      </c>
      <c r="E142" s="43" t="s">
        <v>567</v>
      </c>
      <c r="F142" s="43" t="s">
        <v>568</v>
      </c>
      <c r="G142" s="44">
        <v>94</v>
      </c>
      <c r="H142" s="43" t="s">
        <v>569</v>
      </c>
      <c r="I142" s="45" t="s">
        <v>569</v>
      </c>
      <c r="J142" s="45" t="s">
        <v>546</v>
      </c>
      <c r="K142" s="116">
        <v>134.18</v>
      </c>
      <c r="L142" s="116">
        <v>134.18</v>
      </c>
      <c r="M142" s="116"/>
      <c r="N142" s="116">
        <v>200</v>
      </c>
      <c r="O142" s="116">
        <v>177.44</v>
      </c>
      <c r="P142" s="116"/>
      <c r="Q142" s="116"/>
      <c r="R142" s="116"/>
      <c r="S142" s="46">
        <v>645.79999999999995</v>
      </c>
      <c r="T142" s="117"/>
      <c r="U142" s="56" t="s">
        <v>949</v>
      </c>
      <c r="V142" s="105" t="s">
        <v>571</v>
      </c>
    </row>
    <row r="143" spans="1:22" s="18" customFormat="1" ht="21.75" customHeight="1" x14ac:dyDescent="0.3">
      <c r="A143" s="39">
        <v>14111675</v>
      </c>
      <c r="B143" s="40" t="s">
        <v>112</v>
      </c>
      <c r="C143" s="41" t="s">
        <v>683</v>
      </c>
      <c r="D143" s="42" t="s">
        <v>3</v>
      </c>
      <c r="E143" s="43" t="s">
        <v>567</v>
      </c>
      <c r="F143" s="43" t="s">
        <v>568</v>
      </c>
      <c r="G143" s="44">
        <v>95</v>
      </c>
      <c r="H143" s="43" t="s">
        <v>569</v>
      </c>
      <c r="I143" s="45" t="s">
        <v>569</v>
      </c>
      <c r="J143" s="45" t="s">
        <v>573</v>
      </c>
      <c r="K143" s="116">
        <v>134.18</v>
      </c>
      <c r="L143" s="116">
        <v>134.18</v>
      </c>
      <c r="M143" s="116"/>
      <c r="N143" s="116">
        <v>200</v>
      </c>
      <c r="O143" s="116">
        <v>0</v>
      </c>
      <c r="P143" s="116"/>
      <c r="Q143" s="116"/>
      <c r="R143" s="116"/>
      <c r="S143" s="46">
        <v>468.36</v>
      </c>
      <c r="T143" s="117"/>
      <c r="U143" s="56" t="s">
        <v>949</v>
      </c>
      <c r="V143" s="105" t="s">
        <v>571</v>
      </c>
    </row>
    <row r="144" spans="1:22" s="18" customFormat="1" ht="21.75" customHeight="1" x14ac:dyDescent="0.3">
      <c r="A144" s="39">
        <v>14111678</v>
      </c>
      <c r="B144" s="40" t="s">
        <v>283</v>
      </c>
      <c r="C144" s="41" t="s">
        <v>684</v>
      </c>
      <c r="D144" s="42" t="s">
        <v>3</v>
      </c>
      <c r="E144" s="43" t="s">
        <v>567</v>
      </c>
      <c r="F144" s="43" t="s">
        <v>568</v>
      </c>
      <c r="G144" s="44">
        <v>93</v>
      </c>
      <c r="H144" s="43" t="s">
        <v>569</v>
      </c>
      <c r="I144" s="45" t="s">
        <v>569</v>
      </c>
      <c r="J144" s="45" t="s">
        <v>573</v>
      </c>
      <c r="K144" s="116">
        <v>134.18</v>
      </c>
      <c r="L144" s="116">
        <v>134.18</v>
      </c>
      <c r="M144" s="116"/>
      <c r="N144" s="116">
        <v>200</v>
      </c>
      <c r="O144" s="116">
        <v>0</v>
      </c>
      <c r="P144" s="116"/>
      <c r="Q144" s="116"/>
      <c r="R144" s="116"/>
      <c r="S144" s="46">
        <v>468.36</v>
      </c>
      <c r="T144" s="117"/>
      <c r="U144" s="56" t="s">
        <v>949</v>
      </c>
      <c r="V144" s="105" t="s">
        <v>571</v>
      </c>
    </row>
    <row r="145" spans="1:22" s="18" customFormat="1" ht="21.75" customHeight="1" x14ac:dyDescent="0.3">
      <c r="A145" s="39">
        <v>14111754</v>
      </c>
      <c r="B145" s="40" t="s">
        <v>311</v>
      </c>
      <c r="C145" s="41" t="s">
        <v>685</v>
      </c>
      <c r="D145" s="42" t="s">
        <v>3</v>
      </c>
      <c r="E145" s="43" t="s">
        <v>567</v>
      </c>
      <c r="F145" s="43" t="s">
        <v>568</v>
      </c>
      <c r="G145" s="44">
        <v>91</v>
      </c>
      <c r="H145" s="43" t="s">
        <v>569</v>
      </c>
      <c r="I145" s="45" t="s">
        <v>571</v>
      </c>
      <c r="J145" s="45" t="s">
        <v>546</v>
      </c>
      <c r="K145" s="116">
        <v>134.18</v>
      </c>
      <c r="L145" s="116">
        <v>134.18</v>
      </c>
      <c r="M145" s="116"/>
      <c r="N145" s="116">
        <v>0</v>
      </c>
      <c r="O145" s="116">
        <v>0</v>
      </c>
      <c r="P145" s="116"/>
      <c r="Q145" s="116"/>
      <c r="R145" s="116"/>
      <c r="S145" s="46">
        <v>268.36</v>
      </c>
      <c r="T145" s="117"/>
      <c r="U145" s="56" t="s">
        <v>949</v>
      </c>
      <c r="V145" s="105" t="s">
        <v>571</v>
      </c>
    </row>
    <row r="146" spans="1:22" s="18" customFormat="1" ht="17.25" x14ac:dyDescent="0.3">
      <c r="A146" s="39">
        <v>14112026</v>
      </c>
      <c r="B146" s="48" t="s">
        <v>113</v>
      </c>
      <c r="C146" s="41" t="s">
        <v>686</v>
      </c>
      <c r="D146" s="42" t="s">
        <v>3</v>
      </c>
      <c r="E146" s="43" t="s">
        <v>567</v>
      </c>
      <c r="F146" s="43" t="s">
        <v>568</v>
      </c>
      <c r="G146" s="44">
        <v>91</v>
      </c>
      <c r="H146" s="43" t="s">
        <v>569</v>
      </c>
      <c r="I146" s="45" t="s">
        <v>571</v>
      </c>
      <c r="J146" s="45" t="s">
        <v>546</v>
      </c>
      <c r="K146" s="116">
        <v>134.18</v>
      </c>
      <c r="L146" s="116">
        <v>134.18</v>
      </c>
      <c r="M146" s="116"/>
      <c r="N146" s="116">
        <v>0</v>
      </c>
      <c r="O146" s="116">
        <v>0</v>
      </c>
      <c r="P146" s="116"/>
      <c r="Q146" s="116"/>
      <c r="R146" s="116"/>
      <c r="S146" s="46">
        <v>268.36</v>
      </c>
      <c r="T146" s="117"/>
      <c r="U146" s="56" t="s">
        <v>949</v>
      </c>
      <c r="V146" s="105" t="s">
        <v>571</v>
      </c>
    </row>
    <row r="147" spans="1:22" s="18" customFormat="1" ht="17.25" x14ac:dyDescent="0.3">
      <c r="A147" s="40">
        <v>14112124</v>
      </c>
      <c r="B147" s="40" t="s">
        <v>250</v>
      </c>
      <c r="C147" s="41" t="s">
        <v>687</v>
      </c>
      <c r="D147" s="42" t="s">
        <v>3</v>
      </c>
      <c r="E147" s="43" t="s">
        <v>567</v>
      </c>
      <c r="F147" s="43" t="s">
        <v>568</v>
      </c>
      <c r="G147" s="44">
        <v>89</v>
      </c>
      <c r="H147" s="43" t="s">
        <v>571</v>
      </c>
      <c r="I147" s="45" t="s">
        <v>569</v>
      </c>
      <c r="J147" s="45" t="s">
        <v>546</v>
      </c>
      <c r="K147" s="116">
        <v>134.18</v>
      </c>
      <c r="L147" s="116">
        <v>134.18</v>
      </c>
      <c r="M147" s="116"/>
      <c r="N147" s="116">
        <v>0</v>
      </c>
      <c r="O147" s="116">
        <v>177.44</v>
      </c>
      <c r="P147" s="116"/>
      <c r="Q147" s="116"/>
      <c r="R147" s="116"/>
      <c r="S147" s="46">
        <v>445.8</v>
      </c>
      <c r="T147" s="117"/>
      <c r="U147" s="56" t="s">
        <v>949</v>
      </c>
      <c r="V147" s="105" t="s">
        <v>571</v>
      </c>
    </row>
    <row r="148" spans="1:22" s="18" customFormat="1" ht="17.25" x14ac:dyDescent="0.3">
      <c r="A148" s="39">
        <v>14112174</v>
      </c>
      <c r="B148" s="40" t="s">
        <v>114</v>
      </c>
      <c r="C148" s="41" t="s">
        <v>688</v>
      </c>
      <c r="D148" s="42" t="s">
        <v>3</v>
      </c>
      <c r="E148" s="43" t="s">
        <v>567</v>
      </c>
      <c r="F148" s="43" t="s">
        <v>730</v>
      </c>
      <c r="G148" s="44">
        <v>92</v>
      </c>
      <c r="H148" s="43" t="s">
        <v>569</v>
      </c>
      <c r="I148" s="45" t="s">
        <v>571</v>
      </c>
      <c r="J148" s="45" t="s">
        <v>546</v>
      </c>
      <c r="K148" s="116">
        <v>134.18</v>
      </c>
      <c r="L148" s="116">
        <v>0</v>
      </c>
      <c r="M148" s="116"/>
      <c r="N148" s="116">
        <v>0</v>
      </c>
      <c r="O148" s="116">
        <v>0</v>
      </c>
      <c r="P148" s="116"/>
      <c r="Q148" s="116"/>
      <c r="R148" s="116"/>
      <c r="S148" s="46">
        <v>134.18</v>
      </c>
      <c r="T148" s="117"/>
      <c r="U148" s="56" t="s">
        <v>949</v>
      </c>
      <c r="V148" s="105" t="s">
        <v>571</v>
      </c>
    </row>
    <row r="149" spans="1:22" s="18" customFormat="1" ht="17.25" x14ac:dyDescent="0.3">
      <c r="A149" s="39">
        <v>14112197</v>
      </c>
      <c r="B149" s="40" t="s">
        <v>242</v>
      </c>
      <c r="C149" s="41" t="s">
        <v>689</v>
      </c>
      <c r="D149" s="42" t="s">
        <v>3</v>
      </c>
      <c r="E149" s="43" t="s">
        <v>567</v>
      </c>
      <c r="F149" s="43" t="s">
        <v>568</v>
      </c>
      <c r="G149" s="44">
        <v>87</v>
      </c>
      <c r="H149" s="43" t="s">
        <v>571</v>
      </c>
      <c r="I149" s="45" t="s">
        <v>569</v>
      </c>
      <c r="J149" s="45" t="s">
        <v>546</v>
      </c>
      <c r="K149" s="116">
        <v>134.18</v>
      </c>
      <c r="L149" s="116">
        <v>134.18</v>
      </c>
      <c r="M149" s="116"/>
      <c r="N149" s="116">
        <v>0</v>
      </c>
      <c r="O149" s="116">
        <v>177.44</v>
      </c>
      <c r="P149" s="116"/>
      <c r="Q149" s="116"/>
      <c r="R149" s="116"/>
      <c r="S149" s="46">
        <v>445.8</v>
      </c>
      <c r="T149" s="117"/>
      <c r="U149" s="56" t="s">
        <v>949</v>
      </c>
      <c r="V149" s="105" t="s">
        <v>571</v>
      </c>
    </row>
    <row r="150" spans="1:22" s="18" customFormat="1" ht="17.25" x14ac:dyDescent="0.3">
      <c r="A150" s="40">
        <v>14112292</v>
      </c>
      <c r="B150" s="40" t="s">
        <v>190</v>
      </c>
      <c r="C150" s="41" t="s">
        <v>690</v>
      </c>
      <c r="D150" s="42" t="s">
        <v>3</v>
      </c>
      <c r="E150" s="43" t="s">
        <v>567</v>
      </c>
      <c r="F150" s="43" t="s">
        <v>568</v>
      </c>
      <c r="G150" s="44">
        <v>90</v>
      </c>
      <c r="H150" s="43" t="s">
        <v>569</v>
      </c>
      <c r="I150" s="45" t="s">
        <v>571</v>
      </c>
      <c r="J150" s="45" t="s">
        <v>546</v>
      </c>
      <c r="K150" s="116">
        <v>134.18</v>
      </c>
      <c r="L150" s="116">
        <v>134.18</v>
      </c>
      <c r="M150" s="116"/>
      <c r="N150" s="116">
        <v>0</v>
      </c>
      <c r="O150" s="116">
        <v>0</v>
      </c>
      <c r="P150" s="116"/>
      <c r="Q150" s="116"/>
      <c r="R150" s="116"/>
      <c r="S150" s="46">
        <v>268.36</v>
      </c>
      <c r="T150" s="117"/>
      <c r="U150" s="56" t="s">
        <v>949</v>
      </c>
      <c r="V150" s="105" t="s">
        <v>571</v>
      </c>
    </row>
    <row r="151" spans="1:22" s="18" customFormat="1" ht="17.25" x14ac:dyDescent="0.3">
      <c r="A151" s="39">
        <v>14112449</v>
      </c>
      <c r="B151" s="40" t="s">
        <v>192</v>
      </c>
      <c r="C151" s="41" t="s">
        <v>691</v>
      </c>
      <c r="D151" s="42" t="s">
        <v>3</v>
      </c>
      <c r="E151" s="43" t="s">
        <v>567</v>
      </c>
      <c r="F151" s="43" t="s">
        <v>568</v>
      </c>
      <c r="G151" s="44">
        <v>93</v>
      </c>
      <c r="H151" s="43" t="s">
        <v>569</v>
      </c>
      <c r="I151" s="45" t="s">
        <v>569</v>
      </c>
      <c r="J151" s="45" t="s">
        <v>546</v>
      </c>
      <c r="K151" s="116">
        <v>134.18</v>
      </c>
      <c r="L151" s="116">
        <v>134.18</v>
      </c>
      <c r="M151" s="116"/>
      <c r="N151" s="116">
        <v>200</v>
      </c>
      <c r="O151" s="116">
        <v>177.44</v>
      </c>
      <c r="P151" s="116"/>
      <c r="Q151" s="116"/>
      <c r="R151" s="116"/>
      <c r="S151" s="46">
        <v>645.79999999999995</v>
      </c>
      <c r="T151" s="117"/>
      <c r="U151" s="56" t="s">
        <v>949</v>
      </c>
      <c r="V151" s="105" t="s">
        <v>571</v>
      </c>
    </row>
    <row r="152" spans="1:22" s="18" customFormat="1" ht="17.25" x14ac:dyDescent="0.3">
      <c r="A152" s="39">
        <v>14112588</v>
      </c>
      <c r="B152" s="48" t="s">
        <v>931</v>
      </c>
      <c r="C152" s="41" t="s">
        <v>932</v>
      </c>
      <c r="D152" s="42" t="s">
        <v>3</v>
      </c>
      <c r="E152" s="43" t="s">
        <v>567</v>
      </c>
      <c r="F152" s="43" t="s">
        <v>568</v>
      </c>
      <c r="G152" s="44">
        <v>93</v>
      </c>
      <c r="H152" s="43" t="s">
        <v>569</v>
      </c>
      <c r="I152" s="45" t="s">
        <v>569</v>
      </c>
      <c r="J152" s="45" t="s">
        <v>546</v>
      </c>
      <c r="K152" s="116">
        <v>134.18</v>
      </c>
      <c r="L152" s="116">
        <v>134.18</v>
      </c>
      <c r="M152" s="116"/>
      <c r="N152" s="116">
        <v>200</v>
      </c>
      <c r="O152" s="116">
        <v>177.44</v>
      </c>
      <c r="P152" s="116"/>
      <c r="Q152" s="116"/>
      <c r="R152" s="116"/>
      <c r="S152" s="46">
        <v>645.79999999999995</v>
      </c>
      <c r="T152" s="117"/>
      <c r="U152" s="56" t="s">
        <v>949</v>
      </c>
      <c r="V152" s="105" t="s">
        <v>571</v>
      </c>
    </row>
    <row r="153" spans="1:22" s="18" customFormat="1" ht="17.25" x14ac:dyDescent="0.3">
      <c r="A153" s="39">
        <v>14112591</v>
      </c>
      <c r="B153" s="40" t="s">
        <v>115</v>
      </c>
      <c r="C153" s="41" t="s">
        <v>611</v>
      </c>
      <c r="D153" s="42" t="s">
        <v>3</v>
      </c>
      <c r="E153" s="43" t="s">
        <v>567</v>
      </c>
      <c r="F153" s="43" t="s">
        <v>568</v>
      </c>
      <c r="G153" s="44"/>
      <c r="H153" s="43" t="s">
        <v>571</v>
      </c>
      <c r="I153" s="45" t="s">
        <v>569</v>
      </c>
      <c r="J153" s="45" t="s">
        <v>573</v>
      </c>
      <c r="K153" s="116">
        <v>0</v>
      </c>
      <c r="L153" s="116">
        <v>0</v>
      </c>
      <c r="M153" s="116"/>
      <c r="N153" s="116">
        <v>0</v>
      </c>
      <c r="O153" s="116">
        <v>0</v>
      </c>
      <c r="P153" s="116"/>
      <c r="Q153" s="116"/>
      <c r="R153" s="116"/>
      <c r="S153" s="46">
        <v>0</v>
      </c>
      <c r="T153" s="117"/>
      <c r="U153" s="56" t="s">
        <v>571</v>
      </c>
      <c r="V153" s="105" t="s">
        <v>571</v>
      </c>
    </row>
    <row r="154" spans="1:22" s="18" customFormat="1" ht="17.25" x14ac:dyDescent="0.3">
      <c r="A154" s="39">
        <v>14112592</v>
      </c>
      <c r="B154" s="40" t="s">
        <v>116</v>
      </c>
      <c r="C154" s="41" t="s">
        <v>611</v>
      </c>
      <c r="D154" s="42" t="s">
        <v>3</v>
      </c>
      <c r="E154" s="43" t="s">
        <v>567</v>
      </c>
      <c r="F154" s="43" t="s">
        <v>568</v>
      </c>
      <c r="G154" s="44"/>
      <c r="H154" s="43" t="s">
        <v>571</v>
      </c>
      <c r="I154" s="45" t="s">
        <v>569</v>
      </c>
      <c r="J154" s="45" t="s">
        <v>573</v>
      </c>
      <c r="K154" s="116">
        <v>0</v>
      </c>
      <c r="L154" s="116">
        <v>0</v>
      </c>
      <c r="M154" s="116"/>
      <c r="N154" s="116">
        <v>0</v>
      </c>
      <c r="O154" s="116">
        <v>0</v>
      </c>
      <c r="P154" s="116"/>
      <c r="Q154" s="116"/>
      <c r="R154" s="116"/>
      <c r="S154" s="46">
        <v>0</v>
      </c>
      <c r="T154" s="117"/>
      <c r="U154" s="56" t="s">
        <v>571</v>
      </c>
      <c r="V154" s="105" t="s">
        <v>571</v>
      </c>
    </row>
    <row r="155" spans="1:22" s="18" customFormat="1" ht="17.25" x14ac:dyDescent="0.3">
      <c r="A155" s="39">
        <v>14112595</v>
      </c>
      <c r="B155" s="40" t="s">
        <v>365</v>
      </c>
      <c r="C155" s="41" t="s">
        <v>655</v>
      </c>
      <c r="D155" s="42" t="s">
        <v>3</v>
      </c>
      <c r="E155" s="43" t="s">
        <v>567</v>
      </c>
      <c r="F155" s="43" t="s">
        <v>568</v>
      </c>
      <c r="G155" s="44">
        <v>94</v>
      </c>
      <c r="H155" s="43" t="s">
        <v>569</v>
      </c>
      <c r="I155" s="45" t="s">
        <v>569</v>
      </c>
      <c r="J155" s="45" t="s">
        <v>546</v>
      </c>
      <c r="K155" s="116">
        <v>134.18</v>
      </c>
      <c r="L155" s="116">
        <v>134.18</v>
      </c>
      <c r="M155" s="116"/>
      <c r="N155" s="116">
        <v>200</v>
      </c>
      <c r="O155" s="116">
        <v>177.44</v>
      </c>
      <c r="P155" s="116"/>
      <c r="Q155" s="116"/>
      <c r="R155" s="116"/>
      <c r="S155" s="46">
        <v>645.79999999999995</v>
      </c>
      <c r="T155" s="117"/>
      <c r="U155" s="56" t="s">
        <v>949</v>
      </c>
      <c r="V155" s="105" t="s">
        <v>571</v>
      </c>
    </row>
    <row r="156" spans="1:22" s="18" customFormat="1" ht="17.25" x14ac:dyDescent="0.3">
      <c r="A156" s="39">
        <v>14112597</v>
      </c>
      <c r="B156" s="40" t="s">
        <v>117</v>
      </c>
      <c r="C156" s="41" t="s">
        <v>692</v>
      </c>
      <c r="D156" s="42" t="s">
        <v>3</v>
      </c>
      <c r="E156" s="43" t="s">
        <v>567</v>
      </c>
      <c r="F156" s="43" t="s">
        <v>568</v>
      </c>
      <c r="G156" s="44">
        <v>94</v>
      </c>
      <c r="H156" s="43" t="s">
        <v>569</v>
      </c>
      <c r="I156" s="45" t="s">
        <v>569</v>
      </c>
      <c r="J156" s="45" t="s">
        <v>546</v>
      </c>
      <c r="K156" s="116">
        <v>134.18</v>
      </c>
      <c r="L156" s="116">
        <v>134.18</v>
      </c>
      <c r="M156" s="116"/>
      <c r="N156" s="116">
        <v>200</v>
      </c>
      <c r="O156" s="116">
        <v>177.44</v>
      </c>
      <c r="P156" s="116"/>
      <c r="Q156" s="116"/>
      <c r="R156" s="116"/>
      <c r="S156" s="46">
        <v>645.79999999999995</v>
      </c>
      <c r="T156" s="117"/>
      <c r="U156" s="56" t="s">
        <v>949</v>
      </c>
      <c r="V156" s="105" t="s">
        <v>571</v>
      </c>
    </row>
    <row r="157" spans="1:22" s="18" customFormat="1" ht="17.25" x14ac:dyDescent="0.3">
      <c r="A157" s="39">
        <v>14112602</v>
      </c>
      <c r="B157" s="40" t="s">
        <v>118</v>
      </c>
      <c r="C157" s="41" t="s">
        <v>692</v>
      </c>
      <c r="D157" s="42" t="s">
        <v>3</v>
      </c>
      <c r="E157" s="43" t="s">
        <v>567</v>
      </c>
      <c r="F157" s="43" t="s">
        <v>568</v>
      </c>
      <c r="G157" s="44">
        <v>94</v>
      </c>
      <c r="H157" s="43" t="s">
        <v>569</v>
      </c>
      <c r="I157" s="45" t="s">
        <v>569</v>
      </c>
      <c r="J157" s="45" t="s">
        <v>546</v>
      </c>
      <c r="K157" s="116">
        <v>134.18</v>
      </c>
      <c r="L157" s="116">
        <v>134.18</v>
      </c>
      <c r="M157" s="116"/>
      <c r="N157" s="116">
        <v>200</v>
      </c>
      <c r="O157" s="116">
        <v>177.44</v>
      </c>
      <c r="P157" s="116"/>
      <c r="Q157" s="116"/>
      <c r="R157" s="116"/>
      <c r="S157" s="46">
        <v>645.79999999999995</v>
      </c>
      <c r="T157" s="117"/>
      <c r="U157" s="56" t="s">
        <v>949</v>
      </c>
      <c r="V157" s="105" t="s">
        <v>571</v>
      </c>
    </row>
    <row r="158" spans="1:22" s="18" customFormat="1" ht="17.25" x14ac:dyDescent="0.3">
      <c r="A158" s="40">
        <v>14112603</v>
      </c>
      <c r="B158" s="40" t="s">
        <v>119</v>
      </c>
      <c r="C158" s="41" t="s">
        <v>692</v>
      </c>
      <c r="D158" s="42" t="s">
        <v>3</v>
      </c>
      <c r="E158" s="43" t="s">
        <v>567</v>
      </c>
      <c r="F158" s="43" t="s">
        <v>568</v>
      </c>
      <c r="G158" s="44">
        <v>94</v>
      </c>
      <c r="H158" s="43" t="s">
        <v>569</v>
      </c>
      <c r="I158" s="45" t="s">
        <v>569</v>
      </c>
      <c r="J158" s="45" t="s">
        <v>546</v>
      </c>
      <c r="K158" s="116">
        <v>134.18</v>
      </c>
      <c r="L158" s="116">
        <v>134.18</v>
      </c>
      <c r="M158" s="116"/>
      <c r="N158" s="116">
        <v>200</v>
      </c>
      <c r="O158" s="116">
        <v>177.44</v>
      </c>
      <c r="P158" s="116"/>
      <c r="Q158" s="116"/>
      <c r="R158" s="116"/>
      <c r="S158" s="46">
        <v>645.79999999999995</v>
      </c>
      <c r="T158" s="117"/>
      <c r="U158" s="56" t="s">
        <v>949</v>
      </c>
      <c r="V158" s="105" t="s">
        <v>571</v>
      </c>
    </row>
    <row r="159" spans="1:22" s="18" customFormat="1" ht="17.25" x14ac:dyDescent="0.3">
      <c r="A159" s="39">
        <v>14112605</v>
      </c>
      <c r="B159" s="40" t="s">
        <v>120</v>
      </c>
      <c r="C159" s="41" t="s">
        <v>692</v>
      </c>
      <c r="D159" s="42" t="s">
        <v>3</v>
      </c>
      <c r="E159" s="43" t="s">
        <v>567</v>
      </c>
      <c r="F159" s="43" t="s">
        <v>568</v>
      </c>
      <c r="G159" s="44">
        <v>95</v>
      </c>
      <c r="H159" s="43" t="s">
        <v>569</v>
      </c>
      <c r="I159" s="45" t="s">
        <v>571</v>
      </c>
      <c r="J159" s="45" t="s">
        <v>546</v>
      </c>
      <c r="K159" s="116">
        <v>134.18</v>
      </c>
      <c r="L159" s="116">
        <v>134.18</v>
      </c>
      <c r="M159" s="116"/>
      <c r="N159" s="116">
        <v>0</v>
      </c>
      <c r="O159" s="116">
        <v>0</v>
      </c>
      <c r="P159" s="116"/>
      <c r="Q159" s="116"/>
      <c r="R159" s="116"/>
      <c r="S159" s="46">
        <v>268.36</v>
      </c>
      <c r="T159" s="117"/>
      <c r="U159" s="56" t="s">
        <v>949</v>
      </c>
      <c r="V159" s="105" t="s">
        <v>571</v>
      </c>
    </row>
    <row r="160" spans="1:22" s="18" customFormat="1" ht="17.25" x14ac:dyDescent="0.3">
      <c r="A160" s="39">
        <v>14112630</v>
      </c>
      <c r="B160" s="40" t="s">
        <v>121</v>
      </c>
      <c r="C160" s="41" t="s">
        <v>693</v>
      </c>
      <c r="D160" s="42" t="s">
        <v>3</v>
      </c>
      <c r="E160" s="43" t="s">
        <v>567</v>
      </c>
      <c r="F160" s="43" t="s">
        <v>568</v>
      </c>
      <c r="G160" s="44">
        <v>95</v>
      </c>
      <c r="H160" s="43" t="s">
        <v>569</v>
      </c>
      <c r="I160" s="45" t="s">
        <v>571</v>
      </c>
      <c r="J160" s="45" t="s">
        <v>546</v>
      </c>
      <c r="K160" s="116">
        <v>134.18</v>
      </c>
      <c r="L160" s="116">
        <v>134.18</v>
      </c>
      <c r="M160" s="116"/>
      <c r="N160" s="116">
        <v>0</v>
      </c>
      <c r="O160" s="116">
        <v>0</v>
      </c>
      <c r="P160" s="116"/>
      <c r="Q160" s="116"/>
      <c r="R160" s="116"/>
      <c r="S160" s="46">
        <v>268.36</v>
      </c>
      <c r="T160" s="117"/>
      <c r="U160" s="56" t="s">
        <v>949</v>
      </c>
      <c r="V160" s="105" t="s">
        <v>571</v>
      </c>
    </row>
    <row r="161" spans="1:22" s="18" customFormat="1" ht="17.25" x14ac:dyDescent="0.3">
      <c r="A161" s="39">
        <v>14112635</v>
      </c>
      <c r="B161" s="40" t="s">
        <v>985</v>
      </c>
      <c r="C161" s="41" t="s">
        <v>986</v>
      </c>
      <c r="D161" s="42" t="s">
        <v>3</v>
      </c>
      <c r="E161" s="43" t="s">
        <v>567</v>
      </c>
      <c r="F161" s="43" t="s">
        <v>568</v>
      </c>
      <c r="G161" s="44">
        <v>94</v>
      </c>
      <c r="H161" s="43" t="s">
        <v>569</v>
      </c>
      <c r="I161" s="45" t="s">
        <v>569</v>
      </c>
      <c r="J161" s="45" t="s">
        <v>573</v>
      </c>
      <c r="K161" s="116">
        <v>0</v>
      </c>
      <c r="L161" s="116">
        <v>0</v>
      </c>
      <c r="M161" s="116"/>
      <c r="N161" s="116">
        <v>0</v>
      </c>
      <c r="O161" s="116">
        <v>0</v>
      </c>
      <c r="P161" s="116"/>
      <c r="Q161" s="116"/>
      <c r="R161" s="116"/>
      <c r="S161" s="46">
        <v>0</v>
      </c>
      <c r="T161" s="117"/>
      <c r="U161" s="56" t="s">
        <v>571</v>
      </c>
      <c r="V161" s="105" t="s">
        <v>571</v>
      </c>
    </row>
    <row r="162" spans="1:22" s="18" customFormat="1" ht="17.25" x14ac:dyDescent="0.3">
      <c r="A162" s="108">
        <v>14112730</v>
      </c>
      <c r="B162" s="109" t="s">
        <v>280</v>
      </c>
      <c r="C162" s="110" t="s">
        <v>694</v>
      </c>
      <c r="D162" s="42" t="s">
        <v>3</v>
      </c>
      <c r="E162" s="43" t="s">
        <v>567</v>
      </c>
      <c r="F162" s="43" t="s">
        <v>568</v>
      </c>
      <c r="G162" s="44">
        <v>92</v>
      </c>
      <c r="H162" s="43" t="s">
        <v>569</v>
      </c>
      <c r="I162" s="45" t="s">
        <v>569</v>
      </c>
      <c r="J162" s="45" t="s">
        <v>546</v>
      </c>
      <c r="K162" s="116">
        <v>134.18</v>
      </c>
      <c r="L162" s="116">
        <v>134.18</v>
      </c>
      <c r="M162" s="116"/>
      <c r="N162" s="116">
        <v>200</v>
      </c>
      <c r="O162" s="116">
        <v>177.44</v>
      </c>
      <c r="P162" s="116"/>
      <c r="Q162" s="116"/>
      <c r="R162" s="116"/>
      <c r="S162" s="46">
        <v>645.79999999999995</v>
      </c>
      <c r="T162" s="117"/>
      <c r="U162" s="56" t="s">
        <v>949</v>
      </c>
      <c r="V162" s="105" t="s">
        <v>571</v>
      </c>
    </row>
    <row r="163" spans="1:22" s="18" customFormat="1" ht="17.25" x14ac:dyDescent="0.3">
      <c r="A163" s="39">
        <v>14112757</v>
      </c>
      <c r="B163" s="40" t="s">
        <v>348</v>
      </c>
      <c r="C163" s="41" t="s">
        <v>695</v>
      </c>
      <c r="D163" s="42" t="s">
        <v>3</v>
      </c>
      <c r="E163" s="43" t="s">
        <v>567</v>
      </c>
      <c r="F163" s="43" t="s">
        <v>568</v>
      </c>
      <c r="G163" s="44">
        <v>93</v>
      </c>
      <c r="H163" s="43" t="s">
        <v>569</v>
      </c>
      <c r="I163" s="45" t="s">
        <v>569</v>
      </c>
      <c r="J163" s="45" t="s">
        <v>546</v>
      </c>
      <c r="K163" s="116">
        <v>134.18</v>
      </c>
      <c r="L163" s="116">
        <v>134.18</v>
      </c>
      <c r="M163" s="116"/>
      <c r="N163" s="116">
        <v>200</v>
      </c>
      <c r="O163" s="116">
        <v>177.44</v>
      </c>
      <c r="P163" s="116"/>
      <c r="Q163" s="116"/>
      <c r="R163" s="116"/>
      <c r="S163" s="46">
        <v>645.79999999999995</v>
      </c>
      <c r="T163" s="117"/>
      <c r="U163" s="56" t="s">
        <v>949</v>
      </c>
      <c r="V163" s="105" t="s">
        <v>571</v>
      </c>
    </row>
    <row r="164" spans="1:22" s="18" customFormat="1" ht="17.25" x14ac:dyDescent="0.3">
      <c r="A164" s="39">
        <v>14112962</v>
      </c>
      <c r="B164" s="40" t="s">
        <v>483</v>
      </c>
      <c r="C164" s="41" t="s">
        <v>696</v>
      </c>
      <c r="D164" s="42" t="s">
        <v>3</v>
      </c>
      <c r="E164" s="43" t="s">
        <v>567</v>
      </c>
      <c r="F164" s="43" t="s">
        <v>568</v>
      </c>
      <c r="G164" s="44"/>
      <c r="H164" s="43" t="s">
        <v>571</v>
      </c>
      <c r="I164" s="45" t="s">
        <v>569</v>
      </c>
      <c r="J164" s="45" t="s">
        <v>573</v>
      </c>
      <c r="K164" s="116">
        <v>0</v>
      </c>
      <c r="L164" s="116">
        <v>0</v>
      </c>
      <c r="M164" s="116"/>
      <c r="N164" s="116">
        <v>0</v>
      </c>
      <c r="O164" s="116">
        <v>0</v>
      </c>
      <c r="P164" s="116"/>
      <c r="Q164" s="116"/>
      <c r="R164" s="116"/>
      <c r="S164" s="46">
        <v>0</v>
      </c>
      <c r="T164" s="117"/>
      <c r="U164" s="56" t="s">
        <v>571</v>
      </c>
      <c r="V164" s="105" t="s">
        <v>571</v>
      </c>
    </row>
    <row r="165" spans="1:22" s="18" customFormat="1" ht="17.25" x14ac:dyDescent="0.3">
      <c r="A165" s="39">
        <v>14113054</v>
      </c>
      <c r="B165" s="40" t="s">
        <v>122</v>
      </c>
      <c r="C165" s="41" t="s">
        <v>697</v>
      </c>
      <c r="D165" s="42" t="s">
        <v>3</v>
      </c>
      <c r="E165" s="43" t="s">
        <v>567</v>
      </c>
      <c r="F165" s="43" t="s">
        <v>568</v>
      </c>
      <c r="G165" s="44">
        <v>93</v>
      </c>
      <c r="H165" s="43" t="s">
        <v>569</v>
      </c>
      <c r="I165" s="45" t="s">
        <v>569</v>
      </c>
      <c r="J165" s="45" t="s">
        <v>546</v>
      </c>
      <c r="K165" s="116">
        <v>134.18</v>
      </c>
      <c r="L165" s="116">
        <v>134.18</v>
      </c>
      <c r="M165" s="116"/>
      <c r="N165" s="116">
        <v>200</v>
      </c>
      <c r="O165" s="116">
        <v>177.44</v>
      </c>
      <c r="P165" s="116"/>
      <c r="Q165" s="116"/>
      <c r="R165" s="116"/>
      <c r="S165" s="46">
        <v>645.79999999999995</v>
      </c>
      <c r="T165" s="117"/>
      <c r="U165" s="56" t="s">
        <v>949</v>
      </c>
      <c r="V165" s="105" t="s">
        <v>571</v>
      </c>
    </row>
    <row r="166" spans="1:22" s="18" customFormat="1" ht="17.25" x14ac:dyDescent="0.3">
      <c r="A166" s="39">
        <v>14113056</v>
      </c>
      <c r="B166" s="40" t="s">
        <v>234</v>
      </c>
      <c r="C166" s="41" t="s">
        <v>698</v>
      </c>
      <c r="D166" s="42" t="s">
        <v>3</v>
      </c>
      <c r="E166" s="43" t="s">
        <v>567</v>
      </c>
      <c r="F166" s="43" t="s">
        <v>568</v>
      </c>
      <c r="G166" s="44">
        <v>88</v>
      </c>
      <c r="H166" s="43" t="s">
        <v>571</v>
      </c>
      <c r="I166" s="45" t="s">
        <v>571</v>
      </c>
      <c r="J166" s="45" t="s">
        <v>546</v>
      </c>
      <c r="K166" s="116">
        <v>134.18</v>
      </c>
      <c r="L166" s="116">
        <v>134.18</v>
      </c>
      <c r="M166" s="116"/>
      <c r="N166" s="116">
        <v>0</v>
      </c>
      <c r="O166" s="116">
        <v>0</v>
      </c>
      <c r="P166" s="116"/>
      <c r="Q166" s="116"/>
      <c r="R166" s="116"/>
      <c r="S166" s="46">
        <v>268.36</v>
      </c>
      <c r="T166" s="117"/>
      <c r="U166" s="56" t="s">
        <v>949</v>
      </c>
      <c r="V166" s="105" t="s">
        <v>571</v>
      </c>
    </row>
    <row r="167" spans="1:22" s="18" customFormat="1" ht="17.25" x14ac:dyDescent="0.3">
      <c r="A167" s="39">
        <v>14113140</v>
      </c>
      <c r="B167" s="40" t="s">
        <v>123</v>
      </c>
      <c r="C167" s="41" t="s">
        <v>699</v>
      </c>
      <c r="D167" s="42" t="s">
        <v>3</v>
      </c>
      <c r="E167" s="43" t="s">
        <v>567</v>
      </c>
      <c r="F167" s="43" t="s">
        <v>568</v>
      </c>
      <c r="G167" s="44">
        <v>95</v>
      </c>
      <c r="H167" s="43" t="s">
        <v>569</v>
      </c>
      <c r="I167" s="45" t="s">
        <v>569</v>
      </c>
      <c r="J167" s="45" t="s">
        <v>546</v>
      </c>
      <c r="K167" s="116">
        <v>134.18</v>
      </c>
      <c r="L167" s="116">
        <v>134.18</v>
      </c>
      <c r="M167" s="116"/>
      <c r="N167" s="116">
        <v>200</v>
      </c>
      <c r="O167" s="116">
        <v>177.44</v>
      </c>
      <c r="P167" s="116"/>
      <c r="Q167" s="116"/>
      <c r="R167" s="116"/>
      <c r="S167" s="46">
        <v>645.79999999999995</v>
      </c>
      <c r="T167" s="117"/>
      <c r="U167" s="56" t="s">
        <v>949</v>
      </c>
      <c r="V167" s="105" t="s">
        <v>571</v>
      </c>
    </row>
    <row r="168" spans="1:22" s="18" customFormat="1" ht="17.25" x14ac:dyDescent="0.3">
      <c r="A168" s="39">
        <v>14113146</v>
      </c>
      <c r="B168" s="40" t="s">
        <v>124</v>
      </c>
      <c r="C168" s="41" t="s">
        <v>699</v>
      </c>
      <c r="D168" s="42" t="s">
        <v>3</v>
      </c>
      <c r="E168" s="43" t="s">
        <v>567</v>
      </c>
      <c r="F168" s="43" t="s">
        <v>568</v>
      </c>
      <c r="G168" s="44">
        <v>95</v>
      </c>
      <c r="H168" s="43" t="s">
        <v>569</v>
      </c>
      <c r="I168" s="45" t="s">
        <v>571</v>
      </c>
      <c r="J168" s="45" t="s">
        <v>546</v>
      </c>
      <c r="K168" s="116">
        <v>134.18</v>
      </c>
      <c r="L168" s="116">
        <v>134.18</v>
      </c>
      <c r="M168" s="116"/>
      <c r="N168" s="116">
        <v>0</v>
      </c>
      <c r="O168" s="116">
        <v>0</v>
      </c>
      <c r="P168" s="116"/>
      <c r="Q168" s="116"/>
      <c r="R168" s="116"/>
      <c r="S168" s="46">
        <v>268.36</v>
      </c>
      <c r="T168" s="117"/>
      <c r="U168" s="56" t="s">
        <v>949</v>
      </c>
      <c r="V168" s="105" t="s">
        <v>571</v>
      </c>
    </row>
    <row r="169" spans="1:22" s="18" customFormat="1" ht="17.25" x14ac:dyDescent="0.3">
      <c r="A169" s="39">
        <v>14113198</v>
      </c>
      <c r="B169" s="40" t="s">
        <v>212</v>
      </c>
      <c r="C169" s="41" t="s">
        <v>700</v>
      </c>
      <c r="D169" s="42" t="s">
        <v>3</v>
      </c>
      <c r="E169" s="43" t="s">
        <v>950</v>
      </c>
      <c r="F169" s="43" t="s">
        <v>568</v>
      </c>
      <c r="G169" s="44">
        <v>89</v>
      </c>
      <c r="H169" s="43" t="s">
        <v>571</v>
      </c>
      <c r="I169" s="45" t="s">
        <v>569</v>
      </c>
      <c r="J169" s="45" t="s">
        <v>546</v>
      </c>
      <c r="K169" s="116">
        <v>0</v>
      </c>
      <c r="L169" s="116">
        <v>134.18</v>
      </c>
      <c r="M169" s="116"/>
      <c r="N169" s="116">
        <v>0</v>
      </c>
      <c r="O169" s="116">
        <v>177.44</v>
      </c>
      <c r="P169" s="116"/>
      <c r="Q169" s="116"/>
      <c r="R169" s="116"/>
      <c r="S169" s="46">
        <v>311.62</v>
      </c>
      <c r="T169" s="117"/>
      <c r="U169" s="56" t="s">
        <v>949</v>
      </c>
      <c r="V169" s="105" t="s">
        <v>571</v>
      </c>
    </row>
    <row r="170" spans="1:22" s="18" customFormat="1" ht="17.25" x14ac:dyDescent="0.3">
      <c r="A170" s="39">
        <v>14113200</v>
      </c>
      <c r="B170" s="40" t="s">
        <v>125</v>
      </c>
      <c r="C170" s="41" t="s">
        <v>701</v>
      </c>
      <c r="D170" s="42" t="s">
        <v>3</v>
      </c>
      <c r="E170" s="43" t="s">
        <v>567</v>
      </c>
      <c r="F170" s="43" t="s">
        <v>568</v>
      </c>
      <c r="G170" s="44">
        <v>90</v>
      </c>
      <c r="H170" s="43" t="s">
        <v>569</v>
      </c>
      <c r="I170" s="45" t="s">
        <v>569</v>
      </c>
      <c r="J170" s="45" t="s">
        <v>546</v>
      </c>
      <c r="K170" s="116">
        <v>134.18</v>
      </c>
      <c r="L170" s="116">
        <v>134.18</v>
      </c>
      <c r="M170" s="116"/>
      <c r="N170" s="116">
        <v>200</v>
      </c>
      <c r="O170" s="116">
        <v>177.44</v>
      </c>
      <c r="P170" s="116"/>
      <c r="Q170" s="116"/>
      <c r="R170" s="116"/>
      <c r="S170" s="46">
        <v>645.79999999999995</v>
      </c>
      <c r="T170" s="117"/>
      <c r="U170" s="56" t="s">
        <v>949</v>
      </c>
      <c r="V170" s="105" t="s">
        <v>571</v>
      </c>
    </row>
    <row r="171" spans="1:22" s="18" customFormat="1" ht="17.25" x14ac:dyDescent="0.3">
      <c r="A171" s="39">
        <v>14113311</v>
      </c>
      <c r="B171" s="40" t="s">
        <v>126</v>
      </c>
      <c r="C171" s="41" t="s">
        <v>702</v>
      </c>
      <c r="D171" s="42" t="s">
        <v>3</v>
      </c>
      <c r="E171" s="43" t="s">
        <v>567</v>
      </c>
      <c r="F171" s="43" t="s">
        <v>568</v>
      </c>
      <c r="G171" s="44">
        <v>83</v>
      </c>
      <c r="H171" s="43" t="s">
        <v>571</v>
      </c>
      <c r="I171" s="45" t="s">
        <v>569</v>
      </c>
      <c r="J171" s="45" t="s">
        <v>573</v>
      </c>
      <c r="K171" s="116">
        <v>134.18</v>
      </c>
      <c r="L171" s="116">
        <v>134.18</v>
      </c>
      <c r="M171" s="116"/>
      <c r="N171" s="116">
        <v>0</v>
      </c>
      <c r="O171" s="116">
        <v>0</v>
      </c>
      <c r="P171" s="116"/>
      <c r="Q171" s="116"/>
      <c r="R171" s="116"/>
      <c r="S171" s="46">
        <v>268.36</v>
      </c>
      <c r="T171" s="117"/>
      <c r="U171" s="56" t="s">
        <v>949</v>
      </c>
      <c r="V171" s="47" t="s">
        <v>951</v>
      </c>
    </row>
    <row r="172" spans="1:22" s="18" customFormat="1" ht="17.25" x14ac:dyDescent="0.3">
      <c r="A172" s="39">
        <v>14113317</v>
      </c>
      <c r="B172" s="40" t="s">
        <v>193</v>
      </c>
      <c r="C172" s="41" t="s">
        <v>703</v>
      </c>
      <c r="D172" s="42" t="s">
        <v>3</v>
      </c>
      <c r="E172" s="43" t="s">
        <v>567</v>
      </c>
      <c r="F172" s="43" t="s">
        <v>568</v>
      </c>
      <c r="G172" s="44"/>
      <c r="H172" s="43" t="s">
        <v>571</v>
      </c>
      <c r="I172" s="45" t="s">
        <v>569</v>
      </c>
      <c r="J172" s="45" t="s">
        <v>573</v>
      </c>
      <c r="K172" s="116">
        <v>0</v>
      </c>
      <c r="L172" s="116">
        <v>0</v>
      </c>
      <c r="M172" s="116"/>
      <c r="N172" s="116">
        <v>0</v>
      </c>
      <c r="O172" s="116">
        <v>0</v>
      </c>
      <c r="P172" s="116"/>
      <c r="Q172" s="116"/>
      <c r="R172" s="116"/>
      <c r="S172" s="46">
        <v>0</v>
      </c>
      <c r="T172" s="117"/>
      <c r="U172" s="56" t="s">
        <v>571</v>
      </c>
      <c r="V172" s="105" t="s">
        <v>571</v>
      </c>
    </row>
    <row r="173" spans="1:22" s="18" customFormat="1" ht="17.25" x14ac:dyDescent="0.3">
      <c r="A173" s="40">
        <v>14113320</v>
      </c>
      <c r="B173" s="40" t="s">
        <v>127</v>
      </c>
      <c r="C173" s="41" t="s">
        <v>704</v>
      </c>
      <c r="D173" s="42" t="s">
        <v>3</v>
      </c>
      <c r="E173" s="43" t="s">
        <v>567</v>
      </c>
      <c r="F173" s="43" t="s">
        <v>568</v>
      </c>
      <c r="G173" s="44">
        <v>94</v>
      </c>
      <c r="H173" s="43" t="s">
        <v>569</v>
      </c>
      <c r="I173" s="45" t="s">
        <v>571</v>
      </c>
      <c r="J173" s="45" t="s">
        <v>546</v>
      </c>
      <c r="K173" s="116">
        <v>134.18</v>
      </c>
      <c r="L173" s="116">
        <v>134.18</v>
      </c>
      <c r="M173" s="116"/>
      <c r="N173" s="116">
        <v>0</v>
      </c>
      <c r="O173" s="116">
        <v>0</v>
      </c>
      <c r="P173" s="116"/>
      <c r="Q173" s="116"/>
      <c r="R173" s="116"/>
      <c r="S173" s="46">
        <v>268.36</v>
      </c>
      <c r="T173" s="117"/>
      <c r="U173" s="56" t="s">
        <v>949</v>
      </c>
      <c r="V173" s="105" t="s">
        <v>571</v>
      </c>
    </row>
    <row r="174" spans="1:22" s="18" customFormat="1" ht="17.25" x14ac:dyDescent="0.3">
      <c r="A174" s="39">
        <v>14113349</v>
      </c>
      <c r="B174" s="40" t="s">
        <v>128</v>
      </c>
      <c r="C174" s="41" t="s">
        <v>705</v>
      </c>
      <c r="D174" s="42" t="s">
        <v>3</v>
      </c>
      <c r="E174" s="43" t="s">
        <v>567</v>
      </c>
      <c r="F174" s="43" t="s">
        <v>568</v>
      </c>
      <c r="G174" s="44">
        <v>95</v>
      </c>
      <c r="H174" s="43" t="s">
        <v>569</v>
      </c>
      <c r="I174" s="45" t="s">
        <v>571</v>
      </c>
      <c r="J174" s="45" t="s">
        <v>546</v>
      </c>
      <c r="K174" s="116">
        <v>134.18</v>
      </c>
      <c r="L174" s="116">
        <v>134.18</v>
      </c>
      <c r="M174" s="116"/>
      <c r="N174" s="116">
        <v>0</v>
      </c>
      <c r="O174" s="116">
        <v>0</v>
      </c>
      <c r="P174" s="116"/>
      <c r="Q174" s="116"/>
      <c r="R174" s="116"/>
      <c r="S174" s="46">
        <v>268.36</v>
      </c>
      <c r="T174" s="117"/>
      <c r="U174" s="56" t="s">
        <v>949</v>
      </c>
      <c r="V174" s="105" t="s">
        <v>571</v>
      </c>
    </row>
    <row r="175" spans="1:22" s="18" customFormat="1" ht="17.25" x14ac:dyDescent="0.3">
      <c r="A175" s="39">
        <v>14113562</v>
      </c>
      <c r="B175" s="40" t="s">
        <v>393</v>
      </c>
      <c r="C175" s="41" t="s">
        <v>706</v>
      </c>
      <c r="D175" s="42" t="s">
        <v>3</v>
      </c>
      <c r="E175" s="43" t="s">
        <v>567</v>
      </c>
      <c r="F175" s="43" t="s">
        <v>568</v>
      </c>
      <c r="G175" s="44">
        <v>81</v>
      </c>
      <c r="H175" s="43" t="s">
        <v>571</v>
      </c>
      <c r="I175" s="45" t="s">
        <v>569</v>
      </c>
      <c r="J175" s="45" t="s">
        <v>546</v>
      </c>
      <c r="K175" s="116">
        <v>134.18</v>
      </c>
      <c r="L175" s="116">
        <v>134.18</v>
      </c>
      <c r="M175" s="116"/>
      <c r="N175" s="116">
        <v>0</v>
      </c>
      <c r="O175" s="116">
        <v>177.44</v>
      </c>
      <c r="P175" s="116"/>
      <c r="Q175" s="116"/>
      <c r="R175" s="116"/>
      <c r="S175" s="46">
        <v>445.8</v>
      </c>
      <c r="T175" s="117"/>
      <c r="U175" s="56" t="s">
        <v>949</v>
      </c>
      <c r="V175" s="105" t="s">
        <v>571</v>
      </c>
    </row>
    <row r="176" spans="1:22" s="18" customFormat="1" ht="17.25" x14ac:dyDescent="0.3">
      <c r="A176" s="39">
        <v>14113565</v>
      </c>
      <c r="B176" s="40" t="s">
        <v>129</v>
      </c>
      <c r="C176" s="41" t="s">
        <v>707</v>
      </c>
      <c r="D176" s="42" t="s">
        <v>3</v>
      </c>
      <c r="E176" s="43" t="s">
        <v>567</v>
      </c>
      <c r="F176" s="43" t="s">
        <v>568</v>
      </c>
      <c r="G176" s="44">
        <v>78</v>
      </c>
      <c r="H176" s="43" t="s">
        <v>571</v>
      </c>
      <c r="I176" s="45" t="s">
        <v>569</v>
      </c>
      <c r="J176" s="45" t="s">
        <v>546</v>
      </c>
      <c r="K176" s="116">
        <v>134.18</v>
      </c>
      <c r="L176" s="116">
        <v>134.18</v>
      </c>
      <c r="M176" s="116"/>
      <c r="N176" s="116">
        <v>0</v>
      </c>
      <c r="O176" s="116">
        <v>177.44</v>
      </c>
      <c r="P176" s="116"/>
      <c r="Q176" s="116"/>
      <c r="R176" s="116"/>
      <c r="S176" s="46">
        <v>445.8</v>
      </c>
      <c r="T176" s="117"/>
      <c r="U176" s="56" t="s">
        <v>949</v>
      </c>
      <c r="V176" s="105" t="s">
        <v>571</v>
      </c>
    </row>
    <row r="177" spans="1:22" s="18" customFormat="1" ht="17.25" x14ac:dyDescent="0.3">
      <c r="A177" s="40">
        <v>14113619</v>
      </c>
      <c r="B177" s="40" t="s">
        <v>130</v>
      </c>
      <c r="C177" s="41" t="s">
        <v>708</v>
      </c>
      <c r="D177" s="42" t="s">
        <v>3</v>
      </c>
      <c r="E177" s="43" t="s">
        <v>567</v>
      </c>
      <c r="F177" s="43" t="s">
        <v>568</v>
      </c>
      <c r="G177" s="44">
        <v>95</v>
      </c>
      <c r="H177" s="43" t="s">
        <v>569</v>
      </c>
      <c r="I177" s="45" t="s">
        <v>569</v>
      </c>
      <c r="J177" s="45" t="s">
        <v>546</v>
      </c>
      <c r="K177" s="116">
        <v>134.18</v>
      </c>
      <c r="L177" s="116">
        <v>134.18</v>
      </c>
      <c r="M177" s="116"/>
      <c r="N177" s="116">
        <v>200</v>
      </c>
      <c r="O177" s="116">
        <v>177.44</v>
      </c>
      <c r="P177" s="116"/>
      <c r="Q177" s="116"/>
      <c r="R177" s="116"/>
      <c r="S177" s="46">
        <v>645.79999999999995</v>
      </c>
      <c r="T177" s="117"/>
      <c r="U177" s="56" t="s">
        <v>949</v>
      </c>
      <c r="V177" s="105" t="s">
        <v>571</v>
      </c>
    </row>
    <row r="178" spans="1:22" s="18" customFormat="1" ht="17.25" x14ac:dyDescent="0.3">
      <c r="A178" s="39">
        <v>14113803</v>
      </c>
      <c r="B178" s="40" t="s">
        <v>296</v>
      </c>
      <c r="C178" s="41" t="s">
        <v>709</v>
      </c>
      <c r="D178" s="42" t="s">
        <v>3</v>
      </c>
      <c r="E178" s="43" t="s">
        <v>567</v>
      </c>
      <c r="F178" s="43" t="s">
        <v>568</v>
      </c>
      <c r="G178" s="44">
        <v>90</v>
      </c>
      <c r="H178" s="43" t="s">
        <v>569</v>
      </c>
      <c r="I178" s="45" t="s">
        <v>571</v>
      </c>
      <c r="J178" s="45" t="s">
        <v>546</v>
      </c>
      <c r="K178" s="116">
        <v>134.18</v>
      </c>
      <c r="L178" s="116">
        <v>134.18</v>
      </c>
      <c r="M178" s="116"/>
      <c r="N178" s="116">
        <v>0</v>
      </c>
      <c r="O178" s="116">
        <v>0</v>
      </c>
      <c r="P178" s="116"/>
      <c r="Q178" s="116"/>
      <c r="R178" s="116"/>
      <c r="S178" s="46">
        <v>268.36</v>
      </c>
      <c r="T178" s="117"/>
      <c r="U178" s="56" t="s">
        <v>949</v>
      </c>
      <c r="V178" s="105" t="s">
        <v>571</v>
      </c>
    </row>
    <row r="179" spans="1:22" s="18" customFormat="1" ht="17.25" x14ac:dyDescent="0.3">
      <c r="A179" s="39">
        <v>14113837</v>
      </c>
      <c r="B179" s="40" t="s">
        <v>131</v>
      </c>
      <c r="C179" s="41" t="s">
        <v>710</v>
      </c>
      <c r="D179" s="42" t="s">
        <v>3</v>
      </c>
      <c r="E179" s="43" t="s">
        <v>567</v>
      </c>
      <c r="F179" s="43" t="s">
        <v>568</v>
      </c>
      <c r="G179" s="44">
        <v>80</v>
      </c>
      <c r="H179" s="43" t="s">
        <v>571</v>
      </c>
      <c r="I179" s="45" t="s">
        <v>569</v>
      </c>
      <c r="J179" s="45" t="s">
        <v>546</v>
      </c>
      <c r="K179" s="116">
        <v>134.18</v>
      </c>
      <c r="L179" s="116">
        <v>134.18</v>
      </c>
      <c r="M179" s="116"/>
      <c r="N179" s="116">
        <v>0</v>
      </c>
      <c r="O179" s="116">
        <v>177.44</v>
      </c>
      <c r="P179" s="116"/>
      <c r="Q179" s="116"/>
      <c r="R179" s="116"/>
      <c r="S179" s="46">
        <v>445.8</v>
      </c>
      <c r="T179" s="117"/>
      <c r="U179" s="56" t="s">
        <v>949</v>
      </c>
      <c r="V179" s="105" t="s">
        <v>571</v>
      </c>
    </row>
    <row r="180" spans="1:22" s="18" customFormat="1" ht="17.25" x14ac:dyDescent="0.3">
      <c r="A180" s="39">
        <v>14114030</v>
      </c>
      <c r="B180" s="40" t="s">
        <v>132</v>
      </c>
      <c r="C180" s="41" t="s">
        <v>711</v>
      </c>
      <c r="D180" s="42" t="s">
        <v>3</v>
      </c>
      <c r="E180" s="43" t="s">
        <v>567</v>
      </c>
      <c r="F180" s="43" t="s">
        <v>568</v>
      </c>
      <c r="G180" s="44">
        <v>95</v>
      </c>
      <c r="H180" s="43" t="s">
        <v>569</v>
      </c>
      <c r="I180" s="45" t="s">
        <v>569</v>
      </c>
      <c r="J180" s="45" t="s">
        <v>546</v>
      </c>
      <c r="K180" s="116">
        <v>134.18</v>
      </c>
      <c r="L180" s="116">
        <v>134.18</v>
      </c>
      <c r="M180" s="116"/>
      <c r="N180" s="116">
        <v>200</v>
      </c>
      <c r="O180" s="116">
        <v>177.44</v>
      </c>
      <c r="P180" s="116"/>
      <c r="Q180" s="116"/>
      <c r="R180" s="116"/>
      <c r="S180" s="46">
        <v>645.79999999999995</v>
      </c>
      <c r="T180" s="117"/>
      <c r="U180" s="56" t="s">
        <v>949</v>
      </c>
      <c r="V180" s="105" t="s">
        <v>571</v>
      </c>
    </row>
    <row r="181" spans="1:22" s="18" customFormat="1" ht="17.25" x14ac:dyDescent="0.3">
      <c r="A181" s="39">
        <v>14114037</v>
      </c>
      <c r="B181" s="40" t="s">
        <v>180</v>
      </c>
      <c r="C181" s="41" t="s">
        <v>647</v>
      </c>
      <c r="D181" s="42" t="s">
        <v>3</v>
      </c>
      <c r="E181" s="43" t="s">
        <v>567</v>
      </c>
      <c r="F181" s="43" t="s">
        <v>568</v>
      </c>
      <c r="G181" s="44">
        <v>72</v>
      </c>
      <c r="H181" s="43" t="s">
        <v>571</v>
      </c>
      <c r="I181" s="45" t="s">
        <v>569</v>
      </c>
      <c r="J181" s="45" t="s">
        <v>546</v>
      </c>
      <c r="K181" s="116">
        <v>134.18</v>
      </c>
      <c r="L181" s="116">
        <v>134.18</v>
      </c>
      <c r="M181" s="116"/>
      <c r="N181" s="116">
        <v>0</v>
      </c>
      <c r="O181" s="116">
        <v>177.44</v>
      </c>
      <c r="P181" s="116"/>
      <c r="Q181" s="116"/>
      <c r="R181" s="116"/>
      <c r="S181" s="46">
        <v>445.8</v>
      </c>
      <c r="T181" s="117"/>
      <c r="U181" s="56" t="s">
        <v>949</v>
      </c>
      <c r="V181" s="105" t="s">
        <v>571</v>
      </c>
    </row>
    <row r="182" spans="1:22" s="18" customFormat="1" ht="17.25" x14ac:dyDescent="0.3">
      <c r="A182" s="39">
        <v>14114062</v>
      </c>
      <c r="B182" s="40" t="s">
        <v>133</v>
      </c>
      <c r="C182" s="41" t="s">
        <v>712</v>
      </c>
      <c r="D182" s="42" t="s">
        <v>3</v>
      </c>
      <c r="E182" s="43" t="s">
        <v>567</v>
      </c>
      <c r="F182" s="43" t="s">
        <v>568</v>
      </c>
      <c r="G182" s="44">
        <v>95</v>
      </c>
      <c r="H182" s="43" t="s">
        <v>569</v>
      </c>
      <c r="I182" s="45" t="s">
        <v>569</v>
      </c>
      <c r="J182" s="45" t="s">
        <v>546</v>
      </c>
      <c r="K182" s="116">
        <v>134.18</v>
      </c>
      <c r="L182" s="116">
        <v>134.18</v>
      </c>
      <c r="M182" s="116"/>
      <c r="N182" s="116">
        <v>200</v>
      </c>
      <c r="O182" s="116">
        <v>177.44</v>
      </c>
      <c r="P182" s="116"/>
      <c r="Q182" s="116"/>
      <c r="R182" s="116"/>
      <c r="S182" s="46">
        <v>645.79999999999995</v>
      </c>
      <c r="T182" s="117"/>
      <c r="U182" s="56" t="s">
        <v>949</v>
      </c>
      <c r="V182" s="105" t="s">
        <v>571</v>
      </c>
    </row>
    <row r="183" spans="1:22" s="18" customFormat="1" ht="17.25" x14ac:dyDescent="0.3">
      <c r="A183" s="39">
        <v>14114320</v>
      </c>
      <c r="B183" s="40" t="s">
        <v>312</v>
      </c>
      <c r="C183" s="41" t="s">
        <v>677</v>
      </c>
      <c r="D183" s="42" t="s">
        <v>3</v>
      </c>
      <c r="E183" s="43" t="s">
        <v>567</v>
      </c>
      <c r="F183" s="43" t="s">
        <v>568</v>
      </c>
      <c r="G183" s="44">
        <v>92</v>
      </c>
      <c r="H183" s="43" t="s">
        <v>569</v>
      </c>
      <c r="I183" s="45" t="s">
        <v>571</v>
      </c>
      <c r="J183" s="45" t="s">
        <v>546</v>
      </c>
      <c r="K183" s="116">
        <v>134.18</v>
      </c>
      <c r="L183" s="116">
        <v>134.18</v>
      </c>
      <c r="M183" s="116"/>
      <c r="N183" s="116">
        <v>0</v>
      </c>
      <c r="O183" s="116">
        <v>0</v>
      </c>
      <c r="P183" s="116"/>
      <c r="Q183" s="116"/>
      <c r="R183" s="116"/>
      <c r="S183" s="46">
        <v>268.36</v>
      </c>
      <c r="T183" s="117"/>
      <c r="U183" s="56" t="s">
        <v>949</v>
      </c>
      <c r="V183" s="105" t="s">
        <v>571</v>
      </c>
    </row>
    <row r="184" spans="1:22" s="18" customFormat="1" ht="17.25" x14ac:dyDescent="0.3">
      <c r="A184" s="39">
        <v>14114324</v>
      </c>
      <c r="B184" s="48" t="s">
        <v>341</v>
      </c>
      <c r="C184" s="41" t="s">
        <v>713</v>
      </c>
      <c r="D184" s="42" t="s">
        <v>3</v>
      </c>
      <c r="E184" s="43" t="s">
        <v>567</v>
      </c>
      <c r="F184" s="43" t="s">
        <v>568</v>
      </c>
      <c r="G184" s="44">
        <v>87</v>
      </c>
      <c r="H184" s="43" t="s">
        <v>571</v>
      </c>
      <c r="I184" s="45" t="s">
        <v>569</v>
      </c>
      <c r="J184" s="45" t="s">
        <v>546</v>
      </c>
      <c r="K184" s="116">
        <v>134.18</v>
      </c>
      <c r="L184" s="116">
        <v>134.18</v>
      </c>
      <c r="M184" s="116"/>
      <c r="N184" s="116">
        <v>0</v>
      </c>
      <c r="O184" s="116">
        <v>177.44</v>
      </c>
      <c r="P184" s="116"/>
      <c r="Q184" s="116"/>
      <c r="R184" s="116"/>
      <c r="S184" s="46">
        <v>445.8</v>
      </c>
      <c r="T184" s="117"/>
      <c r="U184" s="56" t="s">
        <v>949</v>
      </c>
      <c r="V184" s="105" t="s">
        <v>571</v>
      </c>
    </row>
    <row r="185" spans="1:22" s="18" customFormat="1" ht="17.25" x14ac:dyDescent="0.3">
      <c r="A185" s="40">
        <v>14114330</v>
      </c>
      <c r="B185" s="40" t="s">
        <v>134</v>
      </c>
      <c r="C185" s="41" t="s">
        <v>714</v>
      </c>
      <c r="D185" s="42" t="s">
        <v>3</v>
      </c>
      <c r="E185" s="43" t="s">
        <v>567</v>
      </c>
      <c r="F185" s="43" t="s">
        <v>568</v>
      </c>
      <c r="G185" s="44">
        <v>93</v>
      </c>
      <c r="H185" s="43" t="s">
        <v>569</v>
      </c>
      <c r="I185" s="45" t="s">
        <v>569</v>
      </c>
      <c r="J185" s="45" t="s">
        <v>546</v>
      </c>
      <c r="K185" s="116">
        <v>134.18</v>
      </c>
      <c r="L185" s="116">
        <v>134.18</v>
      </c>
      <c r="M185" s="116"/>
      <c r="N185" s="116">
        <v>200</v>
      </c>
      <c r="O185" s="116">
        <v>177.44</v>
      </c>
      <c r="P185" s="116"/>
      <c r="Q185" s="116"/>
      <c r="R185" s="116"/>
      <c r="S185" s="46">
        <v>645.79999999999995</v>
      </c>
      <c r="T185" s="117"/>
      <c r="U185" s="56" t="s">
        <v>949</v>
      </c>
      <c r="V185" s="105" t="s">
        <v>571</v>
      </c>
    </row>
    <row r="186" spans="1:22" s="18" customFormat="1" ht="17.25" x14ac:dyDescent="0.3">
      <c r="A186" s="39">
        <v>14114431</v>
      </c>
      <c r="B186" s="40" t="s">
        <v>135</v>
      </c>
      <c r="C186" s="41" t="s">
        <v>715</v>
      </c>
      <c r="D186" s="42" t="s">
        <v>3</v>
      </c>
      <c r="E186" s="43" t="s">
        <v>567</v>
      </c>
      <c r="F186" s="43" t="s">
        <v>730</v>
      </c>
      <c r="G186" s="44">
        <v>95</v>
      </c>
      <c r="H186" s="43" t="s">
        <v>569</v>
      </c>
      <c r="I186" s="45" t="s">
        <v>569</v>
      </c>
      <c r="J186" s="45" t="s">
        <v>546</v>
      </c>
      <c r="K186" s="116">
        <v>134.18</v>
      </c>
      <c r="L186" s="116">
        <v>0</v>
      </c>
      <c r="M186" s="116"/>
      <c r="N186" s="116">
        <v>200</v>
      </c>
      <c r="O186" s="116">
        <v>177.44</v>
      </c>
      <c r="P186" s="116"/>
      <c r="Q186" s="116"/>
      <c r="R186" s="116"/>
      <c r="S186" s="46">
        <v>511.62</v>
      </c>
      <c r="T186" s="117"/>
      <c r="U186" s="56" t="s">
        <v>949</v>
      </c>
      <c r="V186" s="105" t="s">
        <v>571</v>
      </c>
    </row>
    <row r="187" spans="1:22" s="18" customFormat="1" ht="17.25" x14ac:dyDescent="0.3">
      <c r="A187" s="39">
        <v>14114665</v>
      </c>
      <c r="B187" s="40" t="s">
        <v>136</v>
      </c>
      <c r="C187" s="41" t="s">
        <v>716</v>
      </c>
      <c r="D187" s="42" t="s">
        <v>3</v>
      </c>
      <c r="E187" s="43" t="s">
        <v>567</v>
      </c>
      <c r="F187" s="43" t="s">
        <v>568</v>
      </c>
      <c r="G187" s="44">
        <v>91</v>
      </c>
      <c r="H187" s="43" t="s">
        <v>569</v>
      </c>
      <c r="I187" s="45" t="s">
        <v>569</v>
      </c>
      <c r="J187" s="45" t="s">
        <v>573</v>
      </c>
      <c r="K187" s="116">
        <v>134.18</v>
      </c>
      <c r="L187" s="116">
        <v>134.18</v>
      </c>
      <c r="M187" s="116"/>
      <c r="N187" s="116">
        <v>200</v>
      </c>
      <c r="O187" s="116">
        <v>0</v>
      </c>
      <c r="P187" s="116"/>
      <c r="Q187" s="116"/>
      <c r="R187" s="116"/>
      <c r="S187" s="46">
        <v>468.36</v>
      </c>
      <c r="T187" s="117"/>
      <c r="U187" s="56" t="s">
        <v>949</v>
      </c>
      <c r="V187" s="105" t="s">
        <v>571</v>
      </c>
    </row>
    <row r="188" spans="1:22" s="18" customFormat="1" ht="17.25" x14ac:dyDescent="0.3">
      <c r="A188" s="39">
        <v>14114667</v>
      </c>
      <c r="B188" s="40" t="s">
        <v>137</v>
      </c>
      <c r="C188" s="41" t="s">
        <v>716</v>
      </c>
      <c r="D188" s="42" t="s">
        <v>3</v>
      </c>
      <c r="E188" s="43" t="s">
        <v>567</v>
      </c>
      <c r="F188" s="43" t="s">
        <v>568</v>
      </c>
      <c r="G188" s="44">
        <v>94</v>
      </c>
      <c r="H188" s="43" t="s">
        <v>569</v>
      </c>
      <c r="I188" s="45" t="s">
        <v>569</v>
      </c>
      <c r="J188" s="45" t="s">
        <v>546</v>
      </c>
      <c r="K188" s="116">
        <v>134.18</v>
      </c>
      <c r="L188" s="116">
        <v>134.18</v>
      </c>
      <c r="M188" s="116"/>
      <c r="N188" s="116">
        <v>200</v>
      </c>
      <c r="O188" s="116">
        <v>177.44</v>
      </c>
      <c r="P188" s="116"/>
      <c r="Q188" s="116"/>
      <c r="R188" s="116"/>
      <c r="S188" s="46">
        <v>645.79999999999995</v>
      </c>
      <c r="T188" s="117"/>
      <c r="U188" s="56" t="s">
        <v>949</v>
      </c>
      <c r="V188" s="105" t="s">
        <v>571</v>
      </c>
    </row>
    <row r="189" spans="1:22" s="18" customFormat="1" ht="17.25" x14ac:dyDescent="0.3">
      <c r="A189" s="39">
        <v>14114709</v>
      </c>
      <c r="B189" s="48" t="s">
        <v>138</v>
      </c>
      <c r="C189" s="41" t="s">
        <v>717</v>
      </c>
      <c r="D189" s="42" t="s">
        <v>3</v>
      </c>
      <c r="E189" s="43" t="s">
        <v>567</v>
      </c>
      <c r="F189" s="43" t="s">
        <v>568</v>
      </c>
      <c r="G189" s="44">
        <v>93</v>
      </c>
      <c r="H189" s="43" t="s">
        <v>569</v>
      </c>
      <c r="I189" s="45" t="s">
        <v>569</v>
      </c>
      <c r="J189" s="45" t="s">
        <v>546</v>
      </c>
      <c r="K189" s="116">
        <v>134.18</v>
      </c>
      <c r="L189" s="116">
        <v>134.18</v>
      </c>
      <c r="M189" s="116"/>
      <c r="N189" s="116">
        <v>200</v>
      </c>
      <c r="O189" s="116">
        <v>177.44</v>
      </c>
      <c r="P189" s="116"/>
      <c r="Q189" s="116"/>
      <c r="R189" s="116"/>
      <c r="S189" s="46">
        <v>645.79999999999995</v>
      </c>
      <c r="T189" s="117"/>
      <c r="U189" s="56" t="s">
        <v>949</v>
      </c>
      <c r="V189" s="105" t="s">
        <v>571</v>
      </c>
    </row>
    <row r="190" spans="1:22" s="18" customFormat="1" ht="17.25" x14ac:dyDescent="0.3">
      <c r="A190" s="39">
        <v>14114737</v>
      </c>
      <c r="B190" s="40" t="s">
        <v>139</v>
      </c>
      <c r="C190" s="41" t="s">
        <v>718</v>
      </c>
      <c r="D190" s="42" t="s">
        <v>3</v>
      </c>
      <c r="E190" s="43" t="s">
        <v>567</v>
      </c>
      <c r="F190" s="43" t="s">
        <v>568</v>
      </c>
      <c r="G190" s="44">
        <v>94</v>
      </c>
      <c r="H190" s="43" t="s">
        <v>569</v>
      </c>
      <c r="I190" s="45" t="s">
        <v>571</v>
      </c>
      <c r="J190" s="45" t="s">
        <v>546</v>
      </c>
      <c r="K190" s="116">
        <v>134.18</v>
      </c>
      <c r="L190" s="116">
        <v>134.18</v>
      </c>
      <c r="M190" s="116"/>
      <c r="N190" s="116">
        <v>0</v>
      </c>
      <c r="O190" s="116">
        <v>0</v>
      </c>
      <c r="P190" s="116"/>
      <c r="Q190" s="116"/>
      <c r="R190" s="116"/>
      <c r="S190" s="46">
        <v>268.36</v>
      </c>
      <c r="T190" s="117"/>
      <c r="U190" s="56" t="s">
        <v>949</v>
      </c>
      <c r="V190" s="105" t="s">
        <v>571</v>
      </c>
    </row>
    <row r="191" spans="1:22" s="18" customFormat="1" ht="17.25" x14ac:dyDescent="0.3">
      <c r="A191" s="39">
        <v>14115136</v>
      </c>
      <c r="B191" s="40" t="s">
        <v>140</v>
      </c>
      <c r="C191" s="41" t="s">
        <v>719</v>
      </c>
      <c r="D191" s="42" t="s">
        <v>3</v>
      </c>
      <c r="E191" s="43" t="s">
        <v>567</v>
      </c>
      <c r="F191" s="43" t="s">
        <v>568</v>
      </c>
      <c r="G191" s="44">
        <v>94</v>
      </c>
      <c r="H191" s="43" t="s">
        <v>569</v>
      </c>
      <c r="I191" s="45" t="s">
        <v>569</v>
      </c>
      <c r="J191" s="45" t="s">
        <v>546</v>
      </c>
      <c r="K191" s="116">
        <v>134.18</v>
      </c>
      <c r="L191" s="116">
        <v>134.18</v>
      </c>
      <c r="M191" s="116"/>
      <c r="N191" s="116">
        <v>200</v>
      </c>
      <c r="O191" s="116">
        <v>177.44</v>
      </c>
      <c r="P191" s="116"/>
      <c r="Q191" s="116"/>
      <c r="R191" s="116"/>
      <c r="S191" s="46">
        <v>645.79999999999995</v>
      </c>
      <c r="T191" s="117"/>
      <c r="U191" s="56" t="s">
        <v>949</v>
      </c>
      <c r="V191" s="105" t="s">
        <v>571</v>
      </c>
    </row>
    <row r="192" spans="1:22" s="18" customFormat="1" ht="17.25" x14ac:dyDescent="0.3">
      <c r="A192" s="40">
        <v>14115244</v>
      </c>
      <c r="B192" s="40" t="s">
        <v>141</v>
      </c>
      <c r="C192" s="41" t="s">
        <v>720</v>
      </c>
      <c r="D192" s="42" t="s">
        <v>3</v>
      </c>
      <c r="E192" s="43" t="s">
        <v>567</v>
      </c>
      <c r="F192" s="43" t="s">
        <v>568</v>
      </c>
      <c r="G192" s="44">
        <v>94</v>
      </c>
      <c r="H192" s="43" t="s">
        <v>569</v>
      </c>
      <c r="I192" s="45" t="s">
        <v>571</v>
      </c>
      <c r="J192" s="45" t="s">
        <v>573</v>
      </c>
      <c r="K192" s="116">
        <v>134.18</v>
      </c>
      <c r="L192" s="116">
        <v>134.18</v>
      </c>
      <c r="M192" s="116"/>
      <c r="N192" s="116">
        <v>0</v>
      </c>
      <c r="O192" s="116">
        <v>0</v>
      </c>
      <c r="P192" s="116"/>
      <c r="Q192" s="116"/>
      <c r="R192" s="116"/>
      <c r="S192" s="46">
        <v>268.36</v>
      </c>
      <c r="T192" s="117"/>
      <c r="U192" s="56" t="s">
        <v>949</v>
      </c>
      <c r="V192" s="105" t="s">
        <v>571</v>
      </c>
    </row>
    <row r="193" spans="1:22" s="18" customFormat="1" ht="17.25" x14ac:dyDescent="0.3">
      <c r="A193" s="40">
        <v>14115304</v>
      </c>
      <c r="B193" s="40" t="s">
        <v>142</v>
      </c>
      <c r="C193" s="41" t="s">
        <v>721</v>
      </c>
      <c r="D193" s="42" t="s">
        <v>3</v>
      </c>
      <c r="E193" s="43" t="s">
        <v>567</v>
      </c>
      <c r="F193" s="43" t="s">
        <v>568</v>
      </c>
      <c r="G193" s="44">
        <v>95</v>
      </c>
      <c r="H193" s="43" t="s">
        <v>569</v>
      </c>
      <c r="I193" s="45" t="s">
        <v>571</v>
      </c>
      <c r="J193" s="45" t="s">
        <v>546</v>
      </c>
      <c r="K193" s="116">
        <v>134.18</v>
      </c>
      <c r="L193" s="116">
        <v>134.18</v>
      </c>
      <c r="M193" s="116"/>
      <c r="N193" s="116">
        <v>0</v>
      </c>
      <c r="O193" s="116">
        <v>0</v>
      </c>
      <c r="P193" s="116"/>
      <c r="Q193" s="116"/>
      <c r="R193" s="116"/>
      <c r="S193" s="46">
        <v>268.36</v>
      </c>
      <c r="T193" s="117"/>
      <c r="U193" s="56" t="s">
        <v>949</v>
      </c>
      <c r="V193" s="105" t="s">
        <v>571</v>
      </c>
    </row>
    <row r="194" spans="1:22" s="18" customFormat="1" ht="17.25" x14ac:dyDescent="0.3">
      <c r="A194" s="39">
        <v>14115435</v>
      </c>
      <c r="B194" s="40" t="s">
        <v>143</v>
      </c>
      <c r="C194" s="41" t="s">
        <v>722</v>
      </c>
      <c r="D194" s="42" t="s">
        <v>3</v>
      </c>
      <c r="E194" s="43" t="s">
        <v>567</v>
      </c>
      <c r="F194" s="43" t="s">
        <v>568</v>
      </c>
      <c r="G194" s="44">
        <v>88</v>
      </c>
      <c r="H194" s="43" t="s">
        <v>571</v>
      </c>
      <c r="I194" s="45" t="s">
        <v>569</v>
      </c>
      <c r="J194" s="45" t="s">
        <v>546</v>
      </c>
      <c r="K194" s="116">
        <v>134.18</v>
      </c>
      <c r="L194" s="116">
        <v>134.18</v>
      </c>
      <c r="M194" s="116"/>
      <c r="N194" s="116">
        <v>0</v>
      </c>
      <c r="O194" s="116">
        <v>177.44</v>
      </c>
      <c r="P194" s="116"/>
      <c r="Q194" s="116"/>
      <c r="R194" s="116"/>
      <c r="S194" s="46">
        <v>445.8</v>
      </c>
      <c r="T194" s="117"/>
      <c r="U194" s="56" t="s">
        <v>949</v>
      </c>
      <c r="V194" s="105" t="s">
        <v>571</v>
      </c>
    </row>
    <row r="195" spans="1:22" s="18" customFormat="1" ht="17.25" x14ac:dyDescent="0.3">
      <c r="A195" s="40">
        <v>14115536</v>
      </c>
      <c r="B195" s="40" t="s">
        <v>144</v>
      </c>
      <c r="C195" s="41" t="s">
        <v>723</v>
      </c>
      <c r="D195" s="42" t="s">
        <v>3</v>
      </c>
      <c r="E195" s="43" t="s">
        <v>567</v>
      </c>
      <c r="F195" s="43" t="s">
        <v>568</v>
      </c>
      <c r="G195" s="44">
        <v>90</v>
      </c>
      <c r="H195" s="43" t="s">
        <v>569</v>
      </c>
      <c r="I195" s="45" t="s">
        <v>571</v>
      </c>
      <c r="J195" s="45" t="s">
        <v>546</v>
      </c>
      <c r="K195" s="116">
        <v>134.18</v>
      </c>
      <c r="L195" s="116">
        <v>134.18</v>
      </c>
      <c r="M195" s="116"/>
      <c r="N195" s="116">
        <v>0</v>
      </c>
      <c r="O195" s="116">
        <v>0</v>
      </c>
      <c r="P195" s="116"/>
      <c r="Q195" s="116"/>
      <c r="R195" s="116"/>
      <c r="S195" s="46">
        <v>268.36</v>
      </c>
      <c r="T195" s="117"/>
      <c r="U195" s="56" t="s">
        <v>949</v>
      </c>
      <c r="V195" s="105" t="s">
        <v>571</v>
      </c>
    </row>
    <row r="196" spans="1:22" s="18" customFormat="1" ht="17.25" x14ac:dyDescent="0.3">
      <c r="A196" s="39">
        <v>14115630</v>
      </c>
      <c r="B196" s="48" t="s">
        <v>146</v>
      </c>
      <c r="C196" s="41" t="s">
        <v>724</v>
      </c>
      <c r="D196" s="42" t="s">
        <v>3</v>
      </c>
      <c r="E196" s="43" t="s">
        <v>567</v>
      </c>
      <c r="F196" s="43" t="s">
        <v>568</v>
      </c>
      <c r="G196" s="44">
        <v>95</v>
      </c>
      <c r="H196" s="43" t="s">
        <v>569</v>
      </c>
      <c r="I196" s="45" t="s">
        <v>569</v>
      </c>
      <c r="J196" s="45" t="s">
        <v>546</v>
      </c>
      <c r="K196" s="116">
        <v>134.18</v>
      </c>
      <c r="L196" s="116">
        <v>134.18</v>
      </c>
      <c r="M196" s="116"/>
      <c r="N196" s="116">
        <v>200</v>
      </c>
      <c r="O196" s="116">
        <v>177.44</v>
      </c>
      <c r="P196" s="116"/>
      <c r="Q196" s="116"/>
      <c r="R196" s="116"/>
      <c r="S196" s="46">
        <v>645.79999999999995</v>
      </c>
      <c r="T196" s="117"/>
      <c r="U196" s="56" t="s">
        <v>949</v>
      </c>
      <c r="V196" s="105" t="s">
        <v>571</v>
      </c>
    </row>
    <row r="197" spans="1:22" s="18" customFormat="1" ht="17.25" x14ac:dyDescent="0.3">
      <c r="A197" s="39">
        <v>14115746</v>
      </c>
      <c r="B197" s="48" t="s">
        <v>147</v>
      </c>
      <c r="C197" s="41" t="s">
        <v>725</v>
      </c>
      <c r="D197" s="42" t="s">
        <v>3</v>
      </c>
      <c r="E197" s="43" t="s">
        <v>567</v>
      </c>
      <c r="F197" s="43" t="s">
        <v>568</v>
      </c>
      <c r="G197" s="44"/>
      <c r="H197" s="43" t="s">
        <v>571</v>
      </c>
      <c r="I197" s="45" t="s">
        <v>569</v>
      </c>
      <c r="J197" s="45" t="s">
        <v>573</v>
      </c>
      <c r="K197" s="116">
        <v>0</v>
      </c>
      <c r="L197" s="116">
        <v>0</v>
      </c>
      <c r="M197" s="116"/>
      <c r="N197" s="116">
        <v>0</v>
      </c>
      <c r="O197" s="116">
        <v>0</v>
      </c>
      <c r="P197" s="116"/>
      <c r="Q197" s="116"/>
      <c r="R197" s="116"/>
      <c r="S197" s="46">
        <v>0</v>
      </c>
      <c r="T197" s="117"/>
      <c r="U197" s="56" t="s">
        <v>571</v>
      </c>
      <c r="V197" s="105" t="s">
        <v>571</v>
      </c>
    </row>
    <row r="198" spans="1:22" s="18" customFormat="1" ht="17.25" x14ac:dyDescent="0.3">
      <c r="A198" s="39">
        <v>14115820</v>
      </c>
      <c r="B198" s="40" t="s">
        <v>148</v>
      </c>
      <c r="C198" s="41" t="s">
        <v>726</v>
      </c>
      <c r="D198" s="42" t="s">
        <v>3</v>
      </c>
      <c r="E198" s="43" t="s">
        <v>567</v>
      </c>
      <c r="F198" s="43" t="s">
        <v>568</v>
      </c>
      <c r="G198" s="44">
        <v>80</v>
      </c>
      <c r="H198" s="43" t="s">
        <v>571</v>
      </c>
      <c r="I198" s="45" t="s">
        <v>569</v>
      </c>
      <c r="J198" s="45" t="s">
        <v>546</v>
      </c>
      <c r="K198" s="116">
        <v>134.18</v>
      </c>
      <c r="L198" s="116">
        <v>134.18</v>
      </c>
      <c r="M198" s="116"/>
      <c r="N198" s="116">
        <v>0</v>
      </c>
      <c r="O198" s="116">
        <v>177.44</v>
      </c>
      <c r="P198" s="116"/>
      <c r="Q198" s="116"/>
      <c r="R198" s="116"/>
      <c r="S198" s="46">
        <v>445.8</v>
      </c>
      <c r="T198" s="117"/>
      <c r="U198" s="56" t="s">
        <v>949</v>
      </c>
      <c r="V198" s="105" t="s">
        <v>571</v>
      </c>
    </row>
    <row r="199" spans="1:22" s="18" customFormat="1" ht="17.25" x14ac:dyDescent="0.3">
      <c r="A199" s="39">
        <v>14115830</v>
      </c>
      <c r="B199" s="40" t="s">
        <v>149</v>
      </c>
      <c r="C199" s="41" t="s">
        <v>726</v>
      </c>
      <c r="D199" s="42" t="s">
        <v>3</v>
      </c>
      <c r="E199" s="43" t="s">
        <v>567</v>
      </c>
      <c r="F199" s="43" t="s">
        <v>568</v>
      </c>
      <c r="G199" s="44"/>
      <c r="H199" s="43" t="s">
        <v>571</v>
      </c>
      <c r="I199" s="45" t="s">
        <v>569</v>
      </c>
      <c r="J199" s="45" t="s">
        <v>573</v>
      </c>
      <c r="K199" s="116">
        <v>0</v>
      </c>
      <c r="L199" s="116">
        <v>0</v>
      </c>
      <c r="M199" s="116"/>
      <c r="N199" s="116">
        <v>0</v>
      </c>
      <c r="O199" s="116">
        <v>0</v>
      </c>
      <c r="P199" s="116"/>
      <c r="Q199" s="116"/>
      <c r="R199" s="116"/>
      <c r="S199" s="46">
        <v>0</v>
      </c>
      <c r="T199" s="117"/>
      <c r="U199" s="56" t="s">
        <v>571</v>
      </c>
      <c r="V199" s="105" t="s">
        <v>571</v>
      </c>
    </row>
    <row r="200" spans="1:22" s="18" customFormat="1" ht="17.25" x14ac:dyDescent="0.3">
      <c r="A200" s="39">
        <v>14115908</v>
      </c>
      <c r="B200" s="40" t="s">
        <v>150</v>
      </c>
      <c r="C200" s="41" t="s">
        <v>727</v>
      </c>
      <c r="D200" s="42" t="s">
        <v>3</v>
      </c>
      <c r="E200" s="43" t="s">
        <v>950</v>
      </c>
      <c r="F200" s="43" t="s">
        <v>568</v>
      </c>
      <c r="G200" s="44">
        <v>91</v>
      </c>
      <c r="H200" s="43" t="s">
        <v>569</v>
      </c>
      <c r="I200" s="45" t="s">
        <v>569</v>
      </c>
      <c r="J200" s="45" t="s">
        <v>546</v>
      </c>
      <c r="K200" s="116">
        <v>0</v>
      </c>
      <c r="L200" s="116">
        <v>134.18</v>
      </c>
      <c r="M200" s="116"/>
      <c r="N200" s="116">
        <v>200</v>
      </c>
      <c r="O200" s="116">
        <v>177.44</v>
      </c>
      <c r="P200" s="116"/>
      <c r="Q200" s="116"/>
      <c r="R200" s="116"/>
      <c r="S200" s="46">
        <v>511.62</v>
      </c>
      <c r="T200" s="117"/>
      <c r="U200" s="56" t="s">
        <v>949</v>
      </c>
      <c r="V200" s="105" t="s">
        <v>571</v>
      </c>
    </row>
    <row r="201" spans="1:22" s="18" customFormat="1" ht="17.25" x14ac:dyDescent="0.3">
      <c r="A201" s="40">
        <v>14115909</v>
      </c>
      <c r="B201" s="40" t="s">
        <v>335</v>
      </c>
      <c r="C201" s="41" t="s">
        <v>728</v>
      </c>
      <c r="D201" s="42" t="s">
        <v>3</v>
      </c>
      <c r="E201" s="43" t="s">
        <v>567</v>
      </c>
      <c r="F201" s="43" t="s">
        <v>568</v>
      </c>
      <c r="G201" s="44">
        <v>82</v>
      </c>
      <c r="H201" s="43" t="s">
        <v>571</v>
      </c>
      <c r="I201" s="45" t="s">
        <v>569</v>
      </c>
      <c r="J201" s="45" t="s">
        <v>573</v>
      </c>
      <c r="K201" s="116">
        <v>134.18</v>
      </c>
      <c r="L201" s="116">
        <v>134.18</v>
      </c>
      <c r="M201" s="116"/>
      <c r="N201" s="116">
        <v>0</v>
      </c>
      <c r="O201" s="116">
        <v>0</v>
      </c>
      <c r="P201" s="116"/>
      <c r="Q201" s="116"/>
      <c r="R201" s="116"/>
      <c r="S201" s="46">
        <v>268.36</v>
      </c>
      <c r="T201" s="117"/>
      <c r="U201" s="56" t="s">
        <v>949</v>
      </c>
      <c r="V201" s="47" t="s">
        <v>951</v>
      </c>
    </row>
    <row r="202" spans="1:22" s="18" customFormat="1" ht="17.25" x14ac:dyDescent="0.3">
      <c r="A202" s="39">
        <v>14115917</v>
      </c>
      <c r="B202" s="40" t="s">
        <v>151</v>
      </c>
      <c r="C202" s="41" t="s">
        <v>727</v>
      </c>
      <c r="D202" s="42" t="s">
        <v>3</v>
      </c>
      <c r="E202" s="43" t="s">
        <v>567</v>
      </c>
      <c r="F202" s="43" t="s">
        <v>568</v>
      </c>
      <c r="G202" s="44">
        <v>95</v>
      </c>
      <c r="H202" s="43" t="s">
        <v>569</v>
      </c>
      <c r="I202" s="45" t="s">
        <v>571</v>
      </c>
      <c r="J202" s="45" t="s">
        <v>546</v>
      </c>
      <c r="K202" s="116">
        <v>134.18</v>
      </c>
      <c r="L202" s="116">
        <v>134.18</v>
      </c>
      <c r="M202" s="116"/>
      <c r="N202" s="116">
        <v>0</v>
      </c>
      <c r="O202" s="116">
        <v>0</v>
      </c>
      <c r="P202" s="116"/>
      <c r="Q202" s="116"/>
      <c r="R202" s="116"/>
      <c r="S202" s="46">
        <v>268.36</v>
      </c>
      <c r="T202" s="117"/>
      <c r="U202" s="56" t="s">
        <v>949</v>
      </c>
      <c r="V202" s="105" t="s">
        <v>571</v>
      </c>
    </row>
    <row r="203" spans="1:22" s="18" customFormat="1" ht="17.25" x14ac:dyDescent="0.3">
      <c r="A203" s="39">
        <v>14116000</v>
      </c>
      <c r="B203" s="40" t="s">
        <v>152</v>
      </c>
      <c r="C203" s="41" t="s">
        <v>729</v>
      </c>
      <c r="D203" s="42" t="s">
        <v>3</v>
      </c>
      <c r="E203" s="43" t="s">
        <v>567</v>
      </c>
      <c r="F203" s="43" t="s">
        <v>568</v>
      </c>
      <c r="G203" s="44">
        <v>93</v>
      </c>
      <c r="H203" s="43" t="s">
        <v>569</v>
      </c>
      <c r="I203" s="45" t="s">
        <v>569</v>
      </c>
      <c r="J203" s="45" t="s">
        <v>546</v>
      </c>
      <c r="K203" s="116">
        <v>134.18</v>
      </c>
      <c r="L203" s="116">
        <v>134.18</v>
      </c>
      <c r="M203" s="116"/>
      <c r="N203" s="116">
        <v>200</v>
      </c>
      <c r="O203" s="116">
        <v>177.44</v>
      </c>
      <c r="P203" s="116"/>
      <c r="Q203" s="116"/>
      <c r="R203" s="116"/>
      <c r="S203" s="46">
        <v>645.79999999999995</v>
      </c>
      <c r="T203" s="117"/>
      <c r="U203" s="56" t="s">
        <v>949</v>
      </c>
      <c r="V203" s="105" t="s">
        <v>571</v>
      </c>
    </row>
    <row r="204" spans="1:22" s="18" customFormat="1" ht="17.25" x14ac:dyDescent="0.3">
      <c r="A204" s="39">
        <v>14116046</v>
      </c>
      <c r="B204" s="40" t="s">
        <v>153</v>
      </c>
      <c r="C204" s="41" t="s">
        <v>731</v>
      </c>
      <c r="D204" s="42" t="s">
        <v>3</v>
      </c>
      <c r="E204" s="43" t="s">
        <v>567</v>
      </c>
      <c r="F204" s="43" t="s">
        <v>568</v>
      </c>
      <c r="G204" s="44">
        <v>95</v>
      </c>
      <c r="H204" s="43" t="s">
        <v>569</v>
      </c>
      <c r="I204" s="45" t="s">
        <v>569</v>
      </c>
      <c r="J204" s="45" t="s">
        <v>546</v>
      </c>
      <c r="K204" s="116">
        <v>134.18</v>
      </c>
      <c r="L204" s="116">
        <v>134.18</v>
      </c>
      <c r="M204" s="116"/>
      <c r="N204" s="116">
        <v>200</v>
      </c>
      <c r="O204" s="116">
        <v>177.44</v>
      </c>
      <c r="P204" s="116"/>
      <c r="Q204" s="116"/>
      <c r="R204" s="116"/>
      <c r="S204" s="46">
        <v>645.79999999999995</v>
      </c>
      <c r="T204" s="117"/>
      <c r="U204" s="56" t="s">
        <v>949</v>
      </c>
      <c r="V204" s="105" t="s">
        <v>571</v>
      </c>
    </row>
    <row r="205" spans="1:22" s="18" customFormat="1" ht="17.25" x14ac:dyDescent="0.3">
      <c r="A205" s="39">
        <v>14116058</v>
      </c>
      <c r="B205" s="40" t="s">
        <v>154</v>
      </c>
      <c r="C205" s="41" t="s">
        <v>732</v>
      </c>
      <c r="D205" s="42" t="s">
        <v>3</v>
      </c>
      <c r="E205" s="43" t="s">
        <v>567</v>
      </c>
      <c r="F205" s="43" t="s">
        <v>568</v>
      </c>
      <c r="G205" s="44">
        <v>91</v>
      </c>
      <c r="H205" s="43" t="s">
        <v>569</v>
      </c>
      <c r="I205" s="45" t="s">
        <v>569</v>
      </c>
      <c r="J205" s="45" t="s">
        <v>546</v>
      </c>
      <c r="K205" s="116">
        <v>134.18</v>
      </c>
      <c r="L205" s="116">
        <v>134.18</v>
      </c>
      <c r="M205" s="116"/>
      <c r="N205" s="116">
        <v>200</v>
      </c>
      <c r="O205" s="116">
        <v>177.44</v>
      </c>
      <c r="P205" s="116"/>
      <c r="Q205" s="116"/>
      <c r="R205" s="116"/>
      <c r="S205" s="46">
        <v>645.79999999999995</v>
      </c>
      <c r="T205" s="117"/>
      <c r="U205" s="56" t="s">
        <v>949</v>
      </c>
      <c r="V205" s="105" t="s">
        <v>571</v>
      </c>
    </row>
    <row r="206" spans="1:22" s="18" customFormat="1" ht="17.25" x14ac:dyDescent="0.3">
      <c r="A206" s="39">
        <v>14116134</v>
      </c>
      <c r="B206" s="40" t="s">
        <v>156</v>
      </c>
      <c r="C206" s="41" t="s">
        <v>733</v>
      </c>
      <c r="D206" s="42" t="s">
        <v>3</v>
      </c>
      <c r="E206" s="43" t="s">
        <v>567</v>
      </c>
      <c r="F206" s="43" t="s">
        <v>568</v>
      </c>
      <c r="G206" s="44">
        <v>83</v>
      </c>
      <c r="H206" s="43" t="s">
        <v>571</v>
      </c>
      <c r="I206" s="45" t="s">
        <v>569</v>
      </c>
      <c r="J206" s="45" t="s">
        <v>546</v>
      </c>
      <c r="K206" s="116">
        <v>0</v>
      </c>
      <c r="L206" s="116">
        <v>0</v>
      </c>
      <c r="M206" s="116"/>
      <c r="N206" s="116">
        <v>0</v>
      </c>
      <c r="O206" s="116">
        <v>0</v>
      </c>
      <c r="P206" s="116"/>
      <c r="Q206" s="116"/>
      <c r="R206" s="116"/>
      <c r="S206" s="46">
        <v>0</v>
      </c>
      <c r="T206" s="117"/>
      <c r="U206" s="56" t="s">
        <v>571</v>
      </c>
      <c r="V206" s="105" t="s">
        <v>571</v>
      </c>
    </row>
    <row r="207" spans="1:22" s="18" customFormat="1" ht="17.25" x14ac:dyDescent="0.3">
      <c r="A207" s="39">
        <v>14116250</v>
      </c>
      <c r="B207" s="40" t="s">
        <v>425</v>
      </c>
      <c r="C207" s="41" t="s">
        <v>734</v>
      </c>
      <c r="D207" s="42" t="s">
        <v>3</v>
      </c>
      <c r="E207" s="43" t="s">
        <v>567</v>
      </c>
      <c r="F207" s="43" t="s">
        <v>568</v>
      </c>
      <c r="G207" s="44">
        <v>95</v>
      </c>
      <c r="H207" s="43" t="s">
        <v>569</v>
      </c>
      <c r="I207" s="45" t="s">
        <v>569</v>
      </c>
      <c r="J207" s="45" t="s">
        <v>546</v>
      </c>
      <c r="K207" s="116">
        <v>134.18</v>
      </c>
      <c r="L207" s="116">
        <v>134.18</v>
      </c>
      <c r="M207" s="116"/>
      <c r="N207" s="116">
        <v>200</v>
      </c>
      <c r="O207" s="116">
        <v>177.44</v>
      </c>
      <c r="P207" s="116"/>
      <c r="Q207" s="116"/>
      <c r="R207" s="116"/>
      <c r="S207" s="46">
        <v>645.79999999999995</v>
      </c>
      <c r="T207" s="117"/>
      <c r="U207" s="56" t="s">
        <v>949</v>
      </c>
      <c r="V207" s="105" t="s">
        <v>571</v>
      </c>
    </row>
    <row r="208" spans="1:22" s="18" customFormat="1" ht="17.25" x14ac:dyDescent="0.3">
      <c r="A208" s="40">
        <v>14116262</v>
      </c>
      <c r="B208" s="40" t="s">
        <v>157</v>
      </c>
      <c r="C208" s="41" t="s">
        <v>735</v>
      </c>
      <c r="D208" s="42" t="s">
        <v>3</v>
      </c>
      <c r="E208" s="43" t="s">
        <v>567</v>
      </c>
      <c r="F208" s="43" t="s">
        <v>568</v>
      </c>
      <c r="G208" s="44">
        <v>93</v>
      </c>
      <c r="H208" s="43" t="s">
        <v>569</v>
      </c>
      <c r="I208" s="45" t="s">
        <v>571</v>
      </c>
      <c r="J208" s="45" t="s">
        <v>546</v>
      </c>
      <c r="K208" s="116">
        <v>134.18</v>
      </c>
      <c r="L208" s="116">
        <v>134.18</v>
      </c>
      <c r="M208" s="116"/>
      <c r="N208" s="116">
        <v>0</v>
      </c>
      <c r="O208" s="116">
        <v>0</v>
      </c>
      <c r="P208" s="116"/>
      <c r="Q208" s="116"/>
      <c r="R208" s="116"/>
      <c r="S208" s="46">
        <v>268.36</v>
      </c>
      <c r="T208" s="117"/>
      <c r="U208" s="56" t="s">
        <v>949</v>
      </c>
      <c r="V208" s="105" t="s">
        <v>571</v>
      </c>
    </row>
    <row r="209" spans="1:22" s="18" customFormat="1" ht="17.25" x14ac:dyDescent="0.3">
      <c r="A209" s="40">
        <v>14116295</v>
      </c>
      <c r="B209" s="48" t="s">
        <v>158</v>
      </c>
      <c r="C209" s="41" t="s">
        <v>736</v>
      </c>
      <c r="D209" s="42" t="s">
        <v>3</v>
      </c>
      <c r="E209" s="43" t="s">
        <v>567</v>
      </c>
      <c r="F209" s="43" t="s">
        <v>568</v>
      </c>
      <c r="G209" s="44">
        <v>95</v>
      </c>
      <c r="H209" s="43" t="s">
        <v>569</v>
      </c>
      <c r="I209" s="45" t="s">
        <v>571</v>
      </c>
      <c r="J209" s="45" t="s">
        <v>546</v>
      </c>
      <c r="K209" s="116">
        <v>134.18</v>
      </c>
      <c r="L209" s="116">
        <v>134.18</v>
      </c>
      <c r="M209" s="116"/>
      <c r="N209" s="116">
        <v>0</v>
      </c>
      <c r="O209" s="116">
        <v>0</v>
      </c>
      <c r="P209" s="116"/>
      <c r="Q209" s="116"/>
      <c r="R209" s="116"/>
      <c r="S209" s="46">
        <v>268.36</v>
      </c>
      <c r="T209" s="117"/>
      <c r="U209" s="56" t="s">
        <v>949</v>
      </c>
      <c r="V209" s="105" t="s">
        <v>571</v>
      </c>
    </row>
    <row r="210" spans="1:22" s="18" customFormat="1" ht="17.25" x14ac:dyDescent="0.3">
      <c r="A210" s="39">
        <v>14116352</v>
      </c>
      <c r="B210" s="40" t="s">
        <v>159</v>
      </c>
      <c r="C210" s="41" t="s">
        <v>737</v>
      </c>
      <c r="D210" s="42" t="s">
        <v>3</v>
      </c>
      <c r="E210" s="43" t="s">
        <v>567</v>
      </c>
      <c r="F210" s="43" t="s">
        <v>568</v>
      </c>
      <c r="G210" s="44">
        <v>93</v>
      </c>
      <c r="H210" s="43" t="s">
        <v>569</v>
      </c>
      <c r="I210" s="45" t="s">
        <v>571</v>
      </c>
      <c r="J210" s="45" t="s">
        <v>546</v>
      </c>
      <c r="K210" s="116">
        <v>134.18</v>
      </c>
      <c r="L210" s="116">
        <v>134.18</v>
      </c>
      <c r="M210" s="116"/>
      <c r="N210" s="116">
        <v>0</v>
      </c>
      <c r="O210" s="116">
        <v>0</v>
      </c>
      <c r="P210" s="116"/>
      <c r="Q210" s="116"/>
      <c r="R210" s="116"/>
      <c r="S210" s="46">
        <v>268.36</v>
      </c>
      <c r="T210" s="117"/>
      <c r="U210" s="56" t="s">
        <v>949</v>
      </c>
      <c r="V210" s="105" t="s">
        <v>571</v>
      </c>
    </row>
    <row r="211" spans="1:22" s="18" customFormat="1" ht="17.25" x14ac:dyDescent="0.3">
      <c r="A211" s="39">
        <v>14116373</v>
      </c>
      <c r="B211" s="40" t="s">
        <v>161</v>
      </c>
      <c r="C211" s="41" t="s">
        <v>613</v>
      </c>
      <c r="D211" s="42" t="s">
        <v>3</v>
      </c>
      <c r="E211" s="43" t="s">
        <v>567</v>
      </c>
      <c r="F211" s="43" t="s">
        <v>568</v>
      </c>
      <c r="G211" s="44">
        <v>94</v>
      </c>
      <c r="H211" s="43" t="s">
        <v>569</v>
      </c>
      <c r="I211" s="45" t="s">
        <v>569</v>
      </c>
      <c r="J211" s="45" t="s">
        <v>546</v>
      </c>
      <c r="K211" s="116">
        <v>134.18</v>
      </c>
      <c r="L211" s="116">
        <v>134.18</v>
      </c>
      <c r="M211" s="116"/>
      <c r="N211" s="116">
        <v>200</v>
      </c>
      <c r="O211" s="116">
        <v>177.44</v>
      </c>
      <c r="P211" s="116"/>
      <c r="Q211" s="116"/>
      <c r="R211" s="116"/>
      <c r="S211" s="46">
        <v>645.79999999999995</v>
      </c>
      <c r="T211" s="117"/>
      <c r="U211" s="56" t="s">
        <v>949</v>
      </c>
      <c r="V211" s="105" t="s">
        <v>571</v>
      </c>
    </row>
    <row r="212" spans="1:22" s="18" customFormat="1" ht="17.25" x14ac:dyDescent="0.3">
      <c r="A212" s="39">
        <v>14116431</v>
      </c>
      <c r="B212" s="40" t="s">
        <v>162</v>
      </c>
      <c r="C212" s="41" t="s">
        <v>738</v>
      </c>
      <c r="D212" s="42" t="s">
        <v>3</v>
      </c>
      <c r="E212" s="43" t="s">
        <v>567</v>
      </c>
      <c r="F212" s="43" t="s">
        <v>568</v>
      </c>
      <c r="G212" s="44">
        <v>91</v>
      </c>
      <c r="H212" s="43" t="s">
        <v>569</v>
      </c>
      <c r="I212" s="45" t="s">
        <v>571</v>
      </c>
      <c r="J212" s="45" t="s">
        <v>546</v>
      </c>
      <c r="K212" s="116">
        <v>134.18</v>
      </c>
      <c r="L212" s="116">
        <v>134.18</v>
      </c>
      <c r="M212" s="116"/>
      <c r="N212" s="116">
        <v>0</v>
      </c>
      <c r="O212" s="116">
        <v>0</v>
      </c>
      <c r="P212" s="116"/>
      <c r="Q212" s="116"/>
      <c r="R212" s="116"/>
      <c r="S212" s="46">
        <v>268.36</v>
      </c>
      <c r="T212" s="117"/>
      <c r="U212" s="56" t="s">
        <v>949</v>
      </c>
      <c r="V212" s="105" t="s">
        <v>571</v>
      </c>
    </row>
    <row r="213" spans="1:22" s="18" customFormat="1" ht="17.25" x14ac:dyDescent="0.3">
      <c r="A213" s="39">
        <v>14116433</v>
      </c>
      <c r="B213" s="40" t="s">
        <v>163</v>
      </c>
      <c r="C213" s="41" t="s">
        <v>738</v>
      </c>
      <c r="D213" s="42" t="s">
        <v>3</v>
      </c>
      <c r="E213" s="43" t="s">
        <v>567</v>
      </c>
      <c r="F213" s="43" t="s">
        <v>568</v>
      </c>
      <c r="G213" s="44">
        <v>85</v>
      </c>
      <c r="H213" s="43" t="s">
        <v>571</v>
      </c>
      <c r="I213" s="45" t="s">
        <v>569</v>
      </c>
      <c r="J213" s="45" t="s">
        <v>573</v>
      </c>
      <c r="K213" s="116">
        <v>134.18</v>
      </c>
      <c r="L213" s="116">
        <v>134.18</v>
      </c>
      <c r="M213" s="116"/>
      <c r="N213" s="116">
        <v>0</v>
      </c>
      <c r="O213" s="116">
        <v>0</v>
      </c>
      <c r="P213" s="116"/>
      <c r="Q213" s="116"/>
      <c r="R213" s="116"/>
      <c r="S213" s="46">
        <v>268.36</v>
      </c>
      <c r="T213" s="117"/>
      <c r="U213" s="56" t="s">
        <v>949</v>
      </c>
      <c r="V213" s="105" t="s">
        <v>571</v>
      </c>
    </row>
    <row r="214" spans="1:22" s="18" customFormat="1" ht="17.25" x14ac:dyDescent="0.3">
      <c r="A214" s="39">
        <v>14116504</v>
      </c>
      <c r="B214" s="40" t="s">
        <v>164</v>
      </c>
      <c r="C214" s="41" t="s">
        <v>739</v>
      </c>
      <c r="D214" s="42" t="s">
        <v>3</v>
      </c>
      <c r="E214" s="43" t="s">
        <v>567</v>
      </c>
      <c r="F214" s="43" t="s">
        <v>568</v>
      </c>
      <c r="G214" s="44">
        <v>93</v>
      </c>
      <c r="H214" s="43" t="s">
        <v>569</v>
      </c>
      <c r="I214" s="45" t="s">
        <v>569</v>
      </c>
      <c r="J214" s="45" t="s">
        <v>546</v>
      </c>
      <c r="K214" s="116">
        <v>134.18</v>
      </c>
      <c r="L214" s="116">
        <v>134.18</v>
      </c>
      <c r="M214" s="116"/>
      <c r="N214" s="116">
        <v>200</v>
      </c>
      <c r="O214" s="116">
        <v>177.44</v>
      </c>
      <c r="P214" s="116"/>
      <c r="Q214" s="116"/>
      <c r="R214" s="116"/>
      <c r="S214" s="46">
        <v>645.79999999999995</v>
      </c>
      <c r="T214" s="117"/>
      <c r="U214" s="56" t="s">
        <v>949</v>
      </c>
      <c r="V214" s="105" t="s">
        <v>571</v>
      </c>
    </row>
    <row r="215" spans="1:22" s="18" customFormat="1" ht="17.25" x14ac:dyDescent="0.3">
      <c r="A215" s="39">
        <v>14116564</v>
      </c>
      <c r="B215" s="40" t="s">
        <v>166</v>
      </c>
      <c r="C215" s="41" t="s">
        <v>740</v>
      </c>
      <c r="D215" s="42" t="s">
        <v>3</v>
      </c>
      <c r="E215" s="43" t="s">
        <v>567</v>
      </c>
      <c r="F215" s="43" t="s">
        <v>568</v>
      </c>
      <c r="G215" s="44">
        <v>93</v>
      </c>
      <c r="H215" s="43" t="s">
        <v>569</v>
      </c>
      <c r="I215" s="45" t="s">
        <v>571</v>
      </c>
      <c r="J215" s="45" t="s">
        <v>546</v>
      </c>
      <c r="K215" s="116">
        <v>134.18</v>
      </c>
      <c r="L215" s="116">
        <v>134.18</v>
      </c>
      <c r="M215" s="116"/>
      <c r="N215" s="116">
        <v>0</v>
      </c>
      <c r="O215" s="116">
        <v>0</v>
      </c>
      <c r="P215" s="116"/>
      <c r="Q215" s="116"/>
      <c r="R215" s="116"/>
      <c r="S215" s="46">
        <v>268.36</v>
      </c>
      <c r="T215" s="117"/>
      <c r="U215" s="56" t="s">
        <v>949</v>
      </c>
      <c r="V215" s="105" t="s">
        <v>571</v>
      </c>
    </row>
    <row r="216" spans="1:22" s="18" customFormat="1" ht="17.25" x14ac:dyDescent="0.3">
      <c r="A216" s="39">
        <v>14116565</v>
      </c>
      <c r="B216" s="40" t="s">
        <v>456</v>
      </c>
      <c r="C216" s="41" t="s">
        <v>741</v>
      </c>
      <c r="D216" s="42" t="s">
        <v>3</v>
      </c>
      <c r="E216" s="43" t="s">
        <v>567</v>
      </c>
      <c r="F216" s="43" t="s">
        <v>568</v>
      </c>
      <c r="G216" s="44">
        <v>90</v>
      </c>
      <c r="H216" s="43" t="s">
        <v>569</v>
      </c>
      <c r="I216" s="45" t="s">
        <v>569</v>
      </c>
      <c r="J216" s="45" t="s">
        <v>546</v>
      </c>
      <c r="K216" s="116">
        <v>134.18</v>
      </c>
      <c r="L216" s="116">
        <v>134.18</v>
      </c>
      <c r="M216" s="116"/>
      <c r="N216" s="116">
        <v>200</v>
      </c>
      <c r="O216" s="116">
        <v>177.44</v>
      </c>
      <c r="P216" s="116"/>
      <c r="Q216" s="116"/>
      <c r="R216" s="116"/>
      <c r="S216" s="46">
        <v>645.79999999999995</v>
      </c>
      <c r="T216" s="117"/>
      <c r="U216" s="56" t="s">
        <v>949</v>
      </c>
      <c r="V216" s="105" t="s">
        <v>571</v>
      </c>
    </row>
    <row r="217" spans="1:22" s="18" customFormat="1" ht="17.25" x14ac:dyDescent="0.3">
      <c r="A217" s="39">
        <v>14116600</v>
      </c>
      <c r="B217" s="40" t="s">
        <v>167</v>
      </c>
      <c r="C217" s="41" t="s">
        <v>742</v>
      </c>
      <c r="D217" s="42" t="s">
        <v>3</v>
      </c>
      <c r="E217" s="43" t="s">
        <v>567</v>
      </c>
      <c r="F217" s="43" t="s">
        <v>568</v>
      </c>
      <c r="G217" s="44">
        <v>92</v>
      </c>
      <c r="H217" s="43" t="s">
        <v>569</v>
      </c>
      <c r="I217" s="45" t="s">
        <v>569</v>
      </c>
      <c r="J217" s="45" t="s">
        <v>546</v>
      </c>
      <c r="K217" s="116">
        <v>134.18</v>
      </c>
      <c r="L217" s="116">
        <v>134.18</v>
      </c>
      <c r="M217" s="116"/>
      <c r="N217" s="116">
        <v>200</v>
      </c>
      <c r="O217" s="116">
        <v>177.44</v>
      </c>
      <c r="P217" s="116"/>
      <c r="Q217" s="116"/>
      <c r="R217" s="116"/>
      <c r="S217" s="46">
        <v>645.79999999999995</v>
      </c>
      <c r="T217" s="117"/>
      <c r="U217" s="56" t="s">
        <v>949</v>
      </c>
      <c r="V217" s="105" t="s">
        <v>571</v>
      </c>
    </row>
    <row r="218" spans="1:22" s="18" customFormat="1" ht="17.25" x14ac:dyDescent="0.3">
      <c r="A218" s="39">
        <v>14116643</v>
      </c>
      <c r="B218" s="40" t="s">
        <v>292</v>
      </c>
      <c r="C218" s="41" t="s">
        <v>743</v>
      </c>
      <c r="D218" s="42" t="s">
        <v>3</v>
      </c>
      <c r="E218" s="43" t="s">
        <v>567</v>
      </c>
      <c r="F218" s="43" t="s">
        <v>568</v>
      </c>
      <c r="G218" s="44">
        <v>92</v>
      </c>
      <c r="H218" s="43" t="s">
        <v>569</v>
      </c>
      <c r="I218" s="45" t="s">
        <v>569</v>
      </c>
      <c r="J218" s="45" t="s">
        <v>546</v>
      </c>
      <c r="K218" s="116">
        <v>134.18</v>
      </c>
      <c r="L218" s="116">
        <v>134.18</v>
      </c>
      <c r="M218" s="116"/>
      <c r="N218" s="116">
        <v>200</v>
      </c>
      <c r="O218" s="116">
        <v>177.44</v>
      </c>
      <c r="P218" s="116"/>
      <c r="Q218" s="116"/>
      <c r="R218" s="116"/>
      <c r="S218" s="46">
        <v>645.79999999999995</v>
      </c>
      <c r="T218" s="117"/>
      <c r="U218" s="56" t="s">
        <v>949</v>
      </c>
      <c r="V218" s="105" t="s">
        <v>571</v>
      </c>
    </row>
    <row r="219" spans="1:22" s="18" customFormat="1" ht="17.25" x14ac:dyDescent="0.3">
      <c r="A219" s="39">
        <v>14116723</v>
      </c>
      <c r="B219" s="40" t="s">
        <v>168</v>
      </c>
      <c r="C219" s="41" t="s">
        <v>744</v>
      </c>
      <c r="D219" s="42" t="s">
        <v>3</v>
      </c>
      <c r="E219" s="43" t="s">
        <v>567</v>
      </c>
      <c r="F219" s="43" t="s">
        <v>568</v>
      </c>
      <c r="G219" s="44">
        <v>87</v>
      </c>
      <c r="H219" s="43" t="s">
        <v>571</v>
      </c>
      <c r="I219" s="45" t="s">
        <v>571</v>
      </c>
      <c r="J219" s="45" t="s">
        <v>546</v>
      </c>
      <c r="K219" s="116">
        <v>134.18</v>
      </c>
      <c r="L219" s="116">
        <v>134.18</v>
      </c>
      <c r="M219" s="116"/>
      <c r="N219" s="116">
        <v>0</v>
      </c>
      <c r="O219" s="116">
        <v>0</v>
      </c>
      <c r="P219" s="116"/>
      <c r="Q219" s="116"/>
      <c r="R219" s="116"/>
      <c r="S219" s="46">
        <v>268.36</v>
      </c>
      <c r="T219" s="117"/>
      <c r="U219" s="56" t="s">
        <v>949</v>
      </c>
      <c r="V219" s="105" t="s">
        <v>571</v>
      </c>
    </row>
    <row r="220" spans="1:22" s="18" customFormat="1" ht="17.25" x14ac:dyDescent="0.3">
      <c r="A220" s="39">
        <v>14116853</v>
      </c>
      <c r="B220" s="40" t="s">
        <v>255</v>
      </c>
      <c r="C220" s="41" t="s">
        <v>745</v>
      </c>
      <c r="D220" s="42" t="s">
        <v>3</v>
      </c>
      <c r="E220" s="43" t="s">
        <v>567</v>
      </c>
      <c r="F220" s="43" t="s">
        <v>568</v>
      </c>
      <c r="G220" s="44">
        <v>94</v>
      </c>
      <c r="H220" s="43" t="s">
        <v>569</v>
      </c>
      <c r="I220" s="45" t="s">
        <v>569</v>
      </c>
      <c r="J220" s="45" t="s">
        <v>546</v>
      </c>
      <c r="K220" s="116">
        <v>134.18</v>
      </c>
      <c r="L220" s="116">
        <v>134.18</v>
      </c>
      <c r="M220" s="116"/>
      <c r="N220" s="116">
        <v>200</v>
      </c>
      <c r="O220" s="116">
        <v>177.44</v>
      </c>
      <c r="P220" s="116"/>
      <c r="Q220" s="116"/>
      <c r="R220" s="116"/>
      <c r="S220" s="46">
        <v>645.79999999999995</v>
      </c>
      <c r="T220" s="117"/>
      <c r="U220" s="56" t="s">
        <v>949</v>
      </c>
      <c r="V220" s="105" t="s">
        <v>571</v>
      </c>
    </row>
    <row r="221" spans="1:22" s="18" customFormat="1" ht="17.25" x14ac:dyDescent="0.3">
      <c r="A221" s="39">
        <v>14116855</v>
      </c>
      <c r="B221" s="40" t="s">
        <v>169</v>
      </c>
      <c r="C221" s="41" t="s">
        <v>746</v>
      </c>
      <c r="D221" s="42" t="s">
        <v>3</v>
      </c>
      <c r="E221" s="43" t="s">
        <v>567</v>
      </c>
      <c r="F221" s="43" t="s">
        <v>568</v>
      </c>
      <c r="G221" s="44">
        <v>93</v>
      </c>
      <c r="H221" s="43" t="s">
        <v>569</v>
      </c>
      <c r="I221" s="45" t="s">
        <v>569</v>
      </c>
      <c r="J221" s="45" t="s">
        <v>573</v>
      </c>
      <c r="K221" s="116">
        <v>0</v>
      </c>
      <c r="L221" s="116">
        <v>0</v>
      </c>
      <c r="M221" s="116"/>
      <c r="N221" s="116">
        <v>0</v>
      </c>
      <c r="O221" s="116">
        <v>0</v>
      </c>
      <c r="P221" s="116"/>
      <c r="Q221" s="116"/>
      <c r="R221" s="116"/>
      <c r="S221" s="46">
        <v>0</v>
      </c>
      <c r="T221" s="117"/>
      <c r="U221" s="56" t="s">
        <v>571</v>
      </c>
      <c r="V221" s="105" t="s">
        <v>571</v>
      </c>
    </row>
    <row r="222" spans="1:22" s="18" customFormat="1" ht="17.25" x14ac:dyDescent="0.3">
      <c r="A222" s="39">
        <v>14116860</v>
      </c>
      <c r="B222" s="40" t="s">
        <v>170</v>
      </c>
      <c r="C222" s="41" t="s">
        <v>746</v>
      </c>
      <c r="D222" s="42" t="s">
        <v>3</v>
      </c>
      <c r="E222" s="43" t="s">
        <v>567</v>
      </c>
      <c r="F222" s="43" t="s">
        <v>568</v>
      </c>
      <c r="G222" s="44">
        <v>92</v>
      </c>
      <c r="H222" s="43" t="s">
        <v>569</v>
      </c>
      <c r="I222" s="45" t="s">
        <v>571</v>
      </c>
      <c r="J222" s="45" t="s">
        <v>546</v>
      </c>
      <c r="K222" s="116">
        <v>134.18</v>
      </c>
      <c r="L222" s="116">
        <v>134.18</v>
      </c>
      <c r="M222" s="116"/>
      <c r="N222" s="116">
        <v>0</v>
      </c>
      <c r="O222" s="116">
        <v>0</v>
      </c>
      <c r="P222" s="116"/>
      <c r="Q222" s="116"/>
      <c r="R222" s="116"/>
      <c r="S222" s="46">
        <v>268.36</v>
      </c>
      <c r="T222" s="117"/>
      <c r="U222" s="56" t="s">
        <v>949</v>
      </c>
      <c r="V222" s="105" t="s">
        <v>571</v>
      </c>
    </row>
    <row r="223" spans="1:22" s="18" customFormat="1" ht="17.25" x14ac:dyDescent="0.3">
      <c r="A223" s="39">
        <v>14116917</v>
      </c>
      <c r="B223" s="40" t="s">
        <v>171</v>
      </c>
      <c r="C223" s="41" t="s">
        <v>747</v>
      </c>
      <c r="D223" s="42" t="s">
        <v>3</v>
      </c>
      <c r="E223" s="43" t="s">
        <v>567</v>
      </c>
      <c r="F223" s="43" t="s">
        <v>568</v>
      </c>
      <c r="G223" s="44">
        <v>95</v>
      </c>
      <c r="H223" s="43" t="s">
        <v>569</v>
      </c>
      <c r="I223" s="45" t="s">
        <v>569</v>
      </c>
      <c r="J223" s="45" t="s">
        <v>546</v>
      </c>
      <c r="K223" s="116">
        <v>134.18</v>
      </c>
      <c r="L223" s="116">
        <v>134.18</v>
      </c>
      <c r="M223" s="116"/>
      <c r="N223" s="116">
        <v>200</v>
      </c>
      <c r="O223" s="116">
        <v>177.44</v>
      </c>
      <c r="P223" s="116"/>
      <c r="Q223" s="116"/>
      <c r="R223" s="116"/>
      <c r="S223" s="46">
        <v>645.79999999999995</v>
      </c>
      <c r="T223" s="117"/>
      <c r="U223" s="56" t="s">
        <v>949</v>
      </c>
      <c r="V223" s="105" t="s">
        <v>571</v>
      </c>
    </row>
    <row r="224" spans="1:22" s="18" customFormat="1" ht="17.25" x14ac:dyDescent="0.3">
      <c r="A224" s="39">
        <v>14116929</v>
      </c>
      <c r="B224" s="40" t="s">
        <v>366</v>
      </c>
      <c r="C224" s="41" t="s">
        <v>748</v>
      </c>
      <c r="D224" s="42" t="s">
        <v>3</v>
      </c>
      <c r="E224" s="43" t="s">
        <v>567</v>
      </c>
      <c r="F224" s="43" t="s">
        <v>568</v>
      </c>
      <c r="G224" s="44">
        <v>93</v>
      </c>
      <c r="H224" s="43" t="s">
        <v>569</v>
      </c>
      <c r="I224" s="45" t="s">
        <v>569</v>
      </c>
      <c r="J224" s="45" t="s">
        <v>546</v>
      </c>
      <c r="K224" s="116">
        <v>134.18</v>
      </c>
      <c r="L224" s="116">
        <v>134.18</v>
      </c>
      <c r="M224" s="116"/>
      <c r="N224" s="116">
        <v>200</v>
      </c>
      <c r="O224" s="116">
        <v>177.44</v>
      </c>
      <c r="P224" s="116"/>
      <c r="Q224" s="116"/>
      <c r="R224" s="116"/>
      <c r="S224" s="46">
        <v>645.79999999999995</v>
      </c>
      <c r="T224" s="117"/>
      <c r="U224" s="56" t="s">
        <v>949</v>
      </c>
      <c r="V224" s="105" t="s">
        <v>571</v>
      </c>
    </row>
    <row r="225" spans="1:22" s="18" customFormat="1" ht="17.25" x14ac:dyDescent="0.3">
      <c r="A225" s="40">
        <v>14117156</v>
      </c>
      <c r="B225" s="40" t="s">
        <v>239</v>
      </c>
      <c r="C225" s="41" t="s">
        <v>749</v>
      </c>
      <c r="D225" s="42" t="s">
        <v>3</v>
      </c>
      <c r="E225" s="43" t="s">
        <v>567</v>
      </c>
      <c r="F225" s="43" t="s">
        <v>568</v>
      </c>
      <c r="G225" s="44">
        <v>91</v>
      </c>
      <c r="H225" s="43" t="s">
        <v>569</v>
      </c>
      <c r="I225" s="45" t="s">
        <v>569</v>
      </c>
      <c r="J225" s="45" t="s">
        <v>546</v>
      </c>
      <c r="K225" s="116">
        <v>134.18</v>
      </c>
      <c r="L225" s="116">
        <v>134.18</v>
      </c>
      <c r="M225" s="116"/>
      <c r="N225" s="116">
        <v>200</v>
      </c>
      <c r="O225" s="116">
        <v>177.44</v>
      </c>
      <c r="P225" s="116"/>
      <c r="Q225" s="116"/>
      <c r="R225" s="116"/>
      <c r="S225" s="46">
        <v>645.79999999999995</v>
      </c>
      <c r="T225" s="117"/>
      <c r="U225" s="56" t="s">
        <v>949</v>
      </c>
      <c r="V225" s="105" t="s">
        <v>571</v>
      </c>
    </row>
    <row r="226" spans="1:22" s="18" customFormat="1" ht="17.25" x14ac:dyDescent="0.3">
      <c r="A226" s="40">
        <v>14117157</v>
      </c>
      <c r="B226" s="40" t="s">
        <v>244</v>
      </c>
      <c r="C226" s="41" t="s">
        <v>750</v>
      </c>
      <c r="D226" s="42" t="s">
        <v>3</v>
      </c>
      <c r="E226" s="43" t="s">
        <v>567</v>
      </c>
      <c r="F226" s="43" t="s">
        <v>568</v>
      </c>
      <c r="G226" s="44">
        <v>94</v>
      </c>
      <c r="H226" s="43" t="s">
        <v>569</v>
      </c>
      <c r="I226" s="45" t="s">
        <v>569</v>
      </c>
      <c r="J226" s="45" t="s">
        <v>546</v>
      </c>
      <c r="K226" s="116">
        <v>134.18</v>
      </c>
      <c r="L226" s="116">
        <v>134.18</v>
      </c>
      <c r="M226" s="116"/>
      <c r="N226" s="116">
        <v>200</v>
      </c>
      <c r="O226" s="116">
        <v>177.44</v>
      </c>
      <c r="P226" s="116"/>
      <c r="Q226" s="116"/>
      <c r="R226" s="116"/>
      <c r="S226" s="46">
        <v>645.79999999999995</v>
      </c>
      <c r="T226" s="117"/>
      <c r="U226" s="56" t="s">
        <v>949</v>
      </c>
      <c r="V226" s="105" t="s">
        <v>571</v>
      </c>
    </row>
    <row r="227" spans="1:22" s="18" customFormat="1" ht="17.25" x14ac:dyDescent="0.3">
      <c r="A227" s="39">
        <v>14117158</v>
      </c>
      <c r="B227" s="40" t="s">
        <v>172</v>
      </c>
      <c r="C227" s="41" t="s">
        <v>751</v>
      </c>
      <c r="D227" s="42" t="s">
        <v>3</v>
      </c>
      <c r="E227" s="43" t="s">
        <v>567</v>
      </c>
      <c r="F227" s="43" t="s">
        <v>568</v>
      </c>
      <c r="G227" s="44"/>
      <c r="H227" s="43" t="s">
        <v>571</v>
      </c>
      <c r="I227" s="45" t="s">
        <v>569</v>
      </c>
      <c r="J227" s="45" t="s">
        <v>573</v>
      </c>
      <c r="K227" s="116">
        <v>134.18</v>
      </c>
      <c r="L227" s="116">
        <v>134.18</v>
      </c>
      <c r="M227" s="116"/>
      <c r="N227" s="116">
        <v>0</v>
      </c>
      <c r="O227" s="116">
        <v>0</v>
      </c>
      <c r="P227" s="116"/>
      <c r="Q227" s="116"/>
      <c r="R227" s="116"/>
      <c r="S227" s="46">
        <v>268.36</v>
      </c>
      <c r="T227" s="117"/>
      <c r="U227" s="56" t="s">
        <v>949</v>
      </c>
      <c r="V227" s="105" t="s">
        <v>571</v>
      </c>
    </row>
    <row r="228" spans="1:22" s="18" customFormat="1" ht="17.25" x14ac:dyDescent="0.3">
      <c r="A228" s="39">
        <v>14117160</v>
      </c>
      <c r="B228" s="40" t="s">
        <v>173</v>
      </c>
      <c r="C228" s="41" t="s">
        <v>751</v>
      </c>
      <c r="D228" s="42" t="s">
        <v>3</v>
      </c>
      <c r="E228" s="43" t="s">
        <v>567</v>
      </c>
      <c r="F228" s="43" t="s">
        <v>568</v>
      </c>
      <c r="G228" s="44">
        <v>94</v>
      </c>
      <c r="H228" s="43" t="s">
        <v>569</v>
      </c>
      <c r="I228" s="45" t="s">
        <v>571</v>
      </c>
      <c r="J228" s="45" t="s">
        <v>546</v>
      </c>
      <c r="K228" s="116">
        <v>134.18</v>
      </c>
      <c r="L228" s="116">
        <v>134.18</v>
      </c>
      <c r="M228" s="116"/>
      <c r="N228" s="116">
        <v>0</v>
      </c>
      <c r="O228" s="116">
        <v>0</v>
      </c>
      <c r="P228" s="116"/>
      <c r="Q228" s="116"/>
      <c r="R228" s="116"/>
      <c r="S228" s="46">
        <v>268.36</v>
      </c>
      <c r="T228" s="117"/>
      <c r="U228" s="56" t="s">
        <v>949</v>
      </c>
      <c r="V228" s="105" t="s">
        <v>571</v>
      </c>
    </row>
    <row r="229" spans="1:22" s="18" customFormat="1" ht="17.25" x14ac:dyDescent="0.3">
      <c r="A229" s="39">
        <v>14117297</v>
      </c>
      <c r="B229" s="40" t="s">
        <v>174</v>
      </c>
      <c r="C229" s="41" t="s">
        <v>752</v>
      </c>
      <c r="D229" s="42" t="s">
        <v>3</v>
      </c>
      <c r="E229" s="43" t="s">
        <v>567</v>
      </c>
      <c r="F229" s="43" t="s">
        <v>568</v>
      </c>
      <c r="G229" s="44">
        <v>94</v>
      </c>
      <c r="H229" s="43" t="s">
        <v>569</v>
      </c>
      <c r="I229" s="45" t="s">
        <v>569</v>
      </c>
      <c r="J229" s="45" t="s">
        <v>546</v>
      </c>
      <c r="K229" s="116">
        <v>134.18</v>
      </c>
      <c r="L229" s="116">
        <v>134.18</v>
      </c>
      <c r="M229" s="116"/>
      <c r="N229" s="116">
        <v>200</v>
      </c>
      <c r="O229" s="116">
        <v>177.44</v>
      </c>
      <c r="P229" s="116"/>
      <c r="Q229" s="116"/>
      <c r="R229" s="116"/>
      <c r="S229" s="46">
        <v>645.79999999999995</v>
      </c>
      <c r="T229" s="117"/>
      <c r="U229" s="56" t="s">
        <v>949</v>
      </c>
      <c r="V229" s="105" t="s">
        <v>571</v>
      </c>
    </row>
    <row r="230" spans="1:22" s="18" customFormat="1" ht="17.25" x14ac:dyDescent="0.3">
      <c r="A230" s="39">
        <v>14117400</v>
      </c>
      <c r="B230" s="40" t="s">
        <v>753</v>
      </c>
      <c r="C230" s="41" t="s">
        <v>754</v>
      </c>
      <c r="D230" s="42" t="s">
        <v>3</v>
      </c>
      <c r="E230" s="43" t="s">
        <v>567</v>
      </c>
      <c r="F230" s="43" t="s">
        <v>568</v>
      </c>
      <c r="G230" s="44">
        <v>83</v>
      </c>
      <c r="H230" s="43" t="s">
        <v>571</v>
      </c>
      <c r="I230" s="45" t="s">
        <v>571</v>
      </c>
      <c r="J230" s="45" t="s">
        <v>546</v>
      </c>
      <c r="K230" s="116">
        <v>134.18</v>
      </c>
      <c r="L230" s="116">
        <v>134.18</v>
      </c>
      <c r="M230" s="116"/>
      <c r="N230" s="116">
        <v>0</v>
      </c>
      <c r="O230" s="116">
        <v>0</v>
      </c>
      <c r="P230" s="116"/>
      <c r="Q230" s="116"/>
      <c r="R230" s="116"/>
      <c r="S230" s="46">
        <v>268.36</v>
      </c>
      <c r="T230" s="117"/>
      <c r="U230" s="56" t="s">
        <v>949</v>
      </c>
      <c r="V230" s="105" t="s">
        <v>571</v>
      </c>
    </row>
    <row r="231" spans="1:22" s="18" customFormat="1" ht="17.25" x14ac:dyDescent="0.3">
      <c r="A231" s="39">
        <v>14117508</v>
      </c>
      <c r="B231" s="48" t="s">
        <v>313</v>
      </c>
      <c r="C231" s="41" t="s">
        <v>755</v>
      </c>
      <c r="D231" s="42" t="s">
        <v>3</v>
      </c>
      <c r="E231" s="43" t="s">
        <v>567</v>
      </c>
      <c r="F231" s="43" t="s">
        <v>568</v>
      </c>
      <c r="G231" s="44">
        <v>93</v>
      </c>
      <c r="H231" s="43" t="s">
        <v>569</v>
      </c>
      <c r="I231" s="45" t="s">
        <v>569</v>
      </c>
      <c r="J231" s="45" t="s">
        <v>546</v>
      </c>
      <c r="K231" s="116">
        <v>134.18</v>
      </c>
      <c r="L231" s="116">
        <v>134.18</v>
      </c>
      <c r="M231" s="116"/>
      <c r="N231" s="116">
        <v>200</v>
      </c>
      <c r="O231" s="116">
        <v>177.44</v>
      </c>
      <c r="P231" s="116"/>
      <c r="Q231" s="116"/>
      <c r="R231" s="116"/>
      <c r="S231" s="46">
        <v>645.79999999999995</v>
      </c>
      <c r="T231" s="117"/>
      <c r="U231" s="56" t="s">
        <v>949</v>
      </c>
      <c r="V231" s="105" t="s">
        <v>571</v>
      </c>
    </row>
    <row r="232" spans="1:22" s="18" customFormat="1" ht="17.25" x14ac:dyDescent="0.3">
      <c r="A232" s="39">
        <v>14117509</v>
      </c>
      <c r="B232" s="40" t="s">
        <v>235</v>
      </c>
      <c r="C232" s="41" t="s">
        <v>698</v>
      </c>
      <c r="D232" s="42" t="s">
        <v>3</v>
      </c>
      <c r="E232" s="43" t="s">
        <v>567</v>
      </c>
      <c r="F232" s="43" t="s">
        <v>568</v>
      </c>
      <c r="G232" s="44">
        <v>93</v>
      </c>
      <c r="H232" s="43" t="s">
        <v>569</v>
      </c>
      <c r="I232" s="45" t="s">
        <v>571</v>
      </c>
      <c r="J232" s="45" t="s">
        <v>546</v>
      </c>
      <c r="K232" s="116">
        <v>134.18</v>
      </c>
      <c r="L232" s="116">
        <v>134.18</v>
      </c>
      <c r="M232" s="116"/>
      <c r="N232" s="116">
        <v>0</v>
      </c>
      <c r="O232" s="116">
        <v>0</v>
      </c>
      <c r="P232" s="116"/>
      <c r="Q232" s="116"/>
      <c r="R232" s="116"/>
      <c r="S232" s="46">
        <v>268.36</v>
      </c>
      <c r="T232" s="117"/>
      <c r="U232" s="56" t="s">
        <v>949</v>
      </c>
      <c r="V232" s="105" t="s">
        <v>571</v>
      </c>
    </row>
    <row r="233" spans="1:22" s="18" customFormat="1" ht="17.25" x14ac:dyDescent="0.3">
      <c r="A233" s="39">
        <v>14117542</v>
      </c>
      <c r="B233" s="40" t="s">
        <v>176</v>
      </c>
      <c r="C233" s="41" t="s">
        <v>756</v>
      </c>
      <c r="D233" s="42" t="s">
        <v>3</v>
      </c>
      <c r="E233" s="43" t="s">
        <v>567</v>
      </c>
      <c r="F233" s="43" t="s">
        <v>568</v>
      </c>
      <c r="G233" s="44">
        <v>92</v>
      </c>
      <c r="H233" s="43" t="s">
        <v>569</v>
      </c>
      <c r="I233" s="45" t="s">
        <v>569</v>
      </c>
      <c r="J233" s="45" t="s">
        <v>546</v>
      </c>
      <c r="K233" s="116">
        <v>134.18</v>
      </c>
      <c r="L233" s="116">
        <v>134.18</v>
      </c>
      <c r="M233" s="116"/>
      <c r="N233" s="116">
        <v>200</v>
      </c>
      <c r="O233" s="116">
        <v>177.44</v>
      </c>
      <c r="P233" s="116"/>
      <c r="Q233" s="116"/>
      <c r="R233" s="116"/>
      <c r="S233" s="46">
        <v>645.79999999999995</v>
      </c>
      <c r="T233" s="117"/>
      <c r="U233" s="56" t="s">
        <v>949</v>
      </c>
      <c r="V233" s="105" t="s">
        <v>571</v>
      </c>
    </row>
    <row r="234" spans="1:22" s="18" customFormat="1" ht="17.25" x14ac:dyDescent="0.3">
      <c r="A234" s="39">
        <v>14117647</v>
      </c>
      <c r="B234" s="40" t="s">
        <v>177</v>
      </c>
      <c r="C234" s="41" t="s">
        <v>757</v>
      </c>
      <c r="D234" s="42" t="s">
        <v>3</v>
      </c>
      <c r="E234" s="43" t="s">
        <v>567</v>
      </c>
      <c r="F234" s="43" t="s">
        <v>568</v>
      </c>
      <c r="G234" s="44"/>
      <c r="H234" s="43" t="s">
        <v>571</v>
      </c>
      <c r="I234" s="45" t="s">
        <v>569</v>
      </c>
      <c r="J234" s="45" t="s">
        <v>573</v>
      </c>
      <c r="K234" s="116">
        <v>0</v>
      </c>
      <c r="L234" s="116">
        <v>0</v>
      </c>
      <c r="M234" s="116"/>
      <c r="N234" s="116">
        <v>0</v>
      </c>
      <c r="O234" s="116">
        <v>0</v>
      </c>
      <c r="P234" s="116"/>
      <c r="Q234" s="116"/>
      <c r="R234" s="116"/>
      <c r="S234" s="46">
        <v>0</v>
      </c>
      <c r="T234" s="117"/>
      <c r="U234" s="56" t="s">
        <v>571</v>
      </c>
      <c r="V234" s="105" t="s">
        <v>571</v>
      </c>
    </row>
    <row r="235" spans="1:22" s="18" customFormat="1" ht="17.25" x14ac:dyDescent="0.3">
      <c r="A235" s="39">
        <v>14117905</v>
      </c>
      <c r="B235" s="40" t="s">
        <v>398</v>
      </c>
      <c r="C235" s="41" t="s">
        <v>758</v>
      </c>
      <c r="D235" s="42" t="s">
        <v>3</v>
      </c>
      <c r="E235" s="43" t="s">
        <v>567</v>
      </c>
      <c r="F235" s="43" t="s">
        <v>568</v>
      </c>
      <c r="G235" s="44">
        <v>93</v>
      </c>
      <c r="H235" s="43" t="s">
        <v>569</v>
      </c>
      <c r="I235" s="45" t="s">
        <v>569</v>
      </c>
      <c r="J235" s="45" t="s">
        <v>546</v>
      </c>
      <c r="K235" s="116">
        <v>134.18</v>
      </c>
      <c r="L235" s="116">
        <v>134.18</v>
      </c>
      <c r="M235" s="116"/>
      <c r="N235" s="116">
        <v>200</v>
      </c>
      <c r="O235" s="116">
        <v>177.44</v>
      </c>
      <c r="P235" s="116"/>
      <c r="Q235" s="116"/>
      <c r="R235" s="116"/>
      <c r="S235" s="46">
        <v>645.79999999999995</v>
      </c>
      <c r="T235" s="117"/>
      <c r="U235" s="56" t="s">
        <v>949</v>
      </c>
      <c r="V235" s="105" t="s">
        <v>571</v>
      </c>
    </row>
    <row r="236" spans="1:22" s="18" customFormat="1" ht="17.25" x14ac:dyDescent="0.3">
      <c r="A236" s="39">
        <v>14117967</v>
      </c>
      <c r="B236" s="40" t="s">
        <v>182</v>
      </c>
      <c r="C236" s="41" t="s">
        <v>759</v>
      </c>
      <c r="D236" s="42" t="s">
        <v>3</v>
      </c>
      <c r="E236" s="43" t="s">
        <v>567</v>
      </c>
      <c r="F236" s="43" t="s">
        <v>568</v>
      </c>
      <c r="G236" s="44">
        <v>95</v>
      </c>
      <c r="H236" s="43" t="s">
        <v>569</v>
      </c>
      <c r="I236" s="45" t="s">
        <v>569</v>
      </c>
      <c r="J236" s="45" t="s">
        <v>546</v>
      </c>
      <c r="K236" s="116">
        <v>134.18</v>
      </c>
      <c r="L236" s="116">
        <v>134.18</v>
      </c>
      <c r="M236" s="116"/>
      <c r="N236" s="116">
        <v>200</v>
      </c>
      <c r="O236" s="116">
        <v>177.44</v>
      </c>
      <c r="P236" s="116"/>
      <c r="Q236" s="116"/>
      <c r="R236" s="116"/>
      <c r="S236" s="46">
        <v>645.79999999999995</v>
      </c>
      <c r="T236" s="117"/>
      <c r="U236" s="56" t="s">
        <v>949</v>
      </c>
      <c r="V236" s="105" t="s">
        <v>571</v>
      </c>
    </row>
    <row r="237" spans="1:22" s="18" customFormat="1" ht="17.25" x14ac:dyDescent="0.3">
      <c r="A237" s="39">
        <v>14117969</v>
      </c>
      <c r="B237" s="40" t="s">
        <v>399</v>
      </c>
      <c r="C237" s="41" t="s">
        <v>760</v>
      </c>
      <c r="D237" s="42" t="s">
        <v>3</v>
      </c>
      <c r="E237" s="43" t="s">
        <v>567</v>
      </c>
      <c r="F237" s="43" t="s">
        <v>568</v>
      </c>
      <c r="G237" s="44">
        <v>67</v>
      </c>
      <c r="H237" s="43" t="s">
        <v>571</v>
      </c>
      <c r="I237" s="45" t="s">
        <v>571</v>
      </c>
      <c r="J237" s="45" t="s">
        <v>573</v>
      </c>
      <c r="K237" s="116">
        <v>0</v>
      </c>
      <c r="L237" s="116">
        <v>0</v>
      </c>
      <c r="M237" s="116"/>
      <c r="N237" s="116">
        <v>0</v>
      </c>
      <c r="O237" s="116">
        <v>0</v>
      </c>
      <c r="P237" s="116"/>
      <c r="Q237" s="116"/>
      <c r="R237" s="116"/>
      <c r="S237" s="46">
        <v>0</v>
      </c>
      <c r="T237" s="117"/>
      <c r="U237" s="56" t="s">
        <v>571</v>
      </c>
      <c r="V237" s="105" t="s">
        <v>571</v>
      </c>
    </row>
    <row r="238" spans="1:22" s="18" customFormat="1" ht="17.25" x14ac:dyDescent="0.3">
      <c r="A238" s="39">
        <v>14117986</v>
      </c>
      <c r="B238" s="40" t="s">
        <v>184</v>
      </c>
      <c r="C238" s="41" t="s">
        <v>673</v>
      </c>
      <c r="D238" s="42" t="s">
        <v>3</v>
      </c>
      <c r="E238" s="43" t="s">
        <v>567</v>
      </c>
      <c r="F238" s="43" t="s">
        <v>568</v>
      </c>
      <c r="G238" s="44">
        <v>94</v>
      </c>
      <c r="H238" s="43" t="s">
        <v>569</v>
      </c>
      <c r="I238" s="45" t="s">
        <v>569</v>
      </c>
      <c r="J238" s="45" t="s">
        <v>546</v>
      </c>
      <c r="K238" s="116">
        <v>134.18</v>
      </c>
      <c r="L238" s="116">
        <v>134.18</v>
      </c>
      <c r="M238" s="116"/>
      <c r="N238" s="116">
        <v>200</v>
      </c>
      <c r="O238" s="116">
        <v>177.44</v>
      </c>
      <c r="P238" s="116"/>
      <c r="Q238" s="116"/>
      <c r="R238" s="116"/>
      <c r="S238" s="46">
        <v>645.79999999999995</v>
      </c>
      <c r="T238" s="117"/>
      <c r="U238" s="56" t="s">
        <v>949</v>
      </c>
      <c r="V238" s="105" t="s">
        <v>571</v>
      </c>
    </row>
    <row r="239" spans="1:22" s="18" customFormat="1" ht="17.25" x14ac:dyDescent="0.3">
      <c r="A239" s="40">
        <v>14118028</v>
      </c>
      <c r="B239" s="40" t="s">
        <v>185</v>
      </c>
      <c r="C239" s="41" t="s">
        <v>761</v>
      </c>
      <c r="D239" s="42" t="s">
        <v>3</v>
      </c>
      <c r="E239" s="43" t="s">
        <v>567</v>
      </c>
      <c r="F239" s="43" t="s">
        <v>568</v>
      </c>
      <c r="G239" s="44">
        <v>93</v>
      </c>
      <c r="H239" s="43" t="s">
        <v>569</v>
      </c>
      <c r="I239" s="45" t="s">
        <v>569</v>
      </c>
      <c r="J239" s="45" t="s">
        <v>546</v>
      </c>
      <c r="K239" s="116">
        <v>134.18</v>
      </c>
      <c r="L239" s="116">
        <v>134.18</v>
      </c>
      <c r="M239" s="116"/>
      <c r="N239" s="116">
        <v>200</v>
      </c>
      <c r="O239" s="116">
        <v>177.44</v>
      </c>
      <c r="P239" s="116"/>
      <c r="Q239" s="116"/>
      <c r="R239" s="116"/>
      <c r="S239" s="46">
        <v>645.79999999999995</v>
      </c>
      <c r="T239" s="117"/>
      <c r="U239" s="56" t="s">
        <v>949</v>
      </c>
      <c r="V239" s="105" t="s">
        <v>571</v>
      </c>
    </row>
    <row r="240" spans="1:22" s="18" customFormat="1" ht="17.25" x14ac:dyDescent="0.3">
      <c r="A240" s="39">
        <v>14118065</v>
      </c>
      <c r="B240" s="40" t="s">
        <v>186</v>
      </c>
      <c r="C240" s="41" t="s">
        <v>762</v>
      </c>
      <c r="D240" s="42" t="s">
        <v>3</v>
      </c>
      <c r="E240" s="43" t="s">
        <v>567</v>
      </c>
      <c r="F240" s="43" t="s">
        <v>568</v>
      </c>
      <c r="G240" s="44">
        <v>90</v>
      </c>
      <c r="H240" s="43" t="s">
        <v>569</v>
      </c>
      <c r="I240" s="45" t="s">
        <v>569</v>
      </c>
      <c r="J240" s="45" t="s">
        <v>546</v>
      </c>
      <c r="K240" s="116">
        <v>134.18</v>
      </c>
      <c r="L240" s="116">
        <v>134.18</v>
      </c>
      <c r="M240" s="116"/>
      <c r="N240" s="116">
        <v>200</v>
      </c>
      <c r="O240" s="116">
        <v>177.44</v>
      </c>
      <c r="P240" s="116"/>
      <c r="Q240" s="116"/>
      <c r="R240" s="116"/>
      <c r="S240" s="46">
        <v>645.79999999999995</v>
      </c>
      <c r="T240" s="117"/>
      <c r="U240" s="56" t="s">
        <v>949</v>
      </c>
      <c r="V240" s="105" t="s">
        <v>571</v>
      </c>
    </row>
    <row r="241" spans="1:22" s="18" customFormat="1" ht="17.25" x14ac:dyDescent="0.3">
      <c r="A241" s="39">
        <v>14118184</v>
      </c>
      <c r="B241" s="40" t="s">
        <v>237</v>
      </c>
      <c r="C241" s="41" t="s">
        <v>763</v>
      </c>
      <c r="D241" s="42" t="s">
        <v>3</v>
      </c>
      <c r="E241" s="43" t="s">
        <v>567</v>
      </c>
      <c r="F241" s="43" t="s">
        <v>568</v>
      </c>
      <c r="G241" s="44">
        <v>94</v>
      </c>
      <c r="H241" s="43" t="s">
        <v>569</v>
      </c>
      <c r="I241" s="45" t="s">
        <v>569</v>
      </c>
      <c r="J241" s="45" t="s">
        <v>546</v>
      </c>
      <c r="K241" s="116">
        <v>134.18</v>
      </c>
      <c r="L241" s="116">
        <v>134.18</v>
      </c>
      <c r="M241" s="116"/>
      <c r="N241" s="116">
        <v>200</v>
      </c>
      <c r="O241" s="116">
        <v>177.44</v>
      </c>
      <c r="P241" s="116"/>
      <c r="Q241" s="116"/>
      <c r="R241" s="116"/>
      <c r="S241" s="46">
        <v>645.79999999999995</v>
      </c>
      <c r="T241" s="117"/>
      <c r="U241" s="56" t="s">
        <v>949</v>
      </c>
      <c r="V241" s="105" t="s">
        <v>571</v>
      </c>
    </row>
    <row r="242" spans="1:22" s="18" customFormat="1" ht="17.25" x14ac:dyDescent="0.3">
      <c r="A242" s="39">
        <v>14118186</v>
      </c>
      <c r="B242" s="40" t="s">
        <v>187</v>
      </c>
      <c r="C242" s="41" t="s">
        <v>764</v>
      </c>
      <c r="D242" s="42" t="s">
        <v>3</v>
      </c>
      <c r="E242" s="43" t="s">
        <v>567</v>
      </c>
      <c r="F242" s="43" t="s">
        <v>568</v>
      </c>
      <c r="G242" s="44">
        <v>90</v>
      </c>
      <c r="H242" s="43" t="s">
        <v>569</v>
      </c>
      <c r="I242" s="45" t="s">
        <v>571</v>
      </c>
      <c r="J242" s="45" t="s">
        <v>546</v>
      </c>
      <c r="K242" s="116">
        <v>134.18</v>
      </c>
      <c r="L242" s="116">
        <v>134.18</v>
      </c>
      <c r="M242" s="116"/>
      <c r="N242" s="116">
        <v>0</v>
      </c>
      <c r="O242" s="116">
        <v>0</v>
      </c>
      <c r="P242" s="116"/>
      <c r="Q242" s="116"/>
      <c r="R242" s="116"/>
      <c r="S242" s="46">
        <v>268.36</v>
      </c>
      <c r="T242" s="117"/>
      <c r="U242" s="56" t="s">
        <v>949</v>
      </c>
      <c r="V242" s="47" t="s">
        <v>951</v>
      </c>
    </row>
    <row r="243" spans="1:22" s="18" customFormat="1" ht="17.25" x14ac:dyDescent="0.3">
      <c r="A243" s="39">
        <v>14118196</v>
      </c>
      <c r="B243" s="40" t="s">
        <v>188</v>
      </c>
      <c r="C243" s="41" t="s">
        <v>765</v>
      </c>
      <c r="D243" s="42" t="s">
        <v>3</v>
      </c>
      <c r="E243" s="43" t="s">
        <v>567</v>
      </c>
      <c r="F243" s="43" t="s">
        <v>568</v>
      </c>
      <c r="G243" s="44">
        <v>95</v>
      </c>
      <c r="H243" s="43" t="s">
        <v>569</v>
      </c>
      <c r="I243" s="45" t="s">
        <v>569</v>
      </c>
      <c r="J243" s="45" t="s">
        <v>546</v>
      </c>
      <c r="K243" s="116">
        <v>134.18</v>
      </c>
      <c r="L243" s="116">
        <v>134.18</v>
      </c>
      <c r="M243" s="116"/>
      <c r="N243" s="116">
        <v>200</v>
      </c>
      <c r="O243" s="116">
        <v>177.44</v>
      </c>
      <c r="P243" s="116"/>
      <c r="Q243" s="116"/>
      <c r="R243" s="116"/>
      <c r="S243" s="46">
        <v>645.79999999999995</v>
      </c>
      <c r="T243" s="117"/>
      <c r="U243" s="56" t="s">
        <v>949</v>
      </c>
      <c r="V243" s="105" t="s">
        <v>571</v>
      </c>
    </row>
    <row r="244" spans="1:22" s="18" customFormat="1" ht="17.25" x14ac:dyDescent="0.3">
      <c r="A244" s="39">
        <v>14118210</v>
      </c>
      <c r="B244" s="40" t="s">
        <v>189</v>
      </c>
      <c r="C244" s="41" t="s">
        <v>766</v>
      </c>
      <c r="D244" s="42" t="s">
        <v>3</v>
      </c>
      <c r="E244" s="43" t="s">
        <v>567</v>
      </c>
      <c r="F244" s="43" t="s">
        <v>568</v>
      </c>
      <c r="G244" s="44">
        <v>95</v>
      </c>
      <c r="H244" s="43" t="s">
        <v>569</v>
      </c>
      <c r="I244" s="45" t="s">
        <v>569</v>
      </c>
      <c r="J244" s="45" t="s">
        <v>546</v>
      </c>
      <c r="K244" s="116">
        <v>134.18</v>
      </c>
      <c r="L244" s="116">
        <v>134.18</v>
      </c>
      <c r="M244" s="116"/>
      <c r="N244" s="116">
        <v>200</v>
      </c>
      <c r="O244" s="116">
        <v>177.44</v>
      </c>
      <c r="P244" s="116"/>
      <c r="Q244" s="116"/>
      <c r="R244" s="116"/>
      <c r="S244" s="46">
        <v>645.79999999999995</v>
      </c>
      <c r="T244" s="117"/>
      <c r="U244" s="56" t="s">
        <v>949</v>
      </c>
      <c r="V244" s="105" t="s">
        <v>571</v>
      </c>
    </row>
    <row r="245" spans="1:22" s="18" customFormat="1" ht="17.25" x14ac:dyDescent="0.3">
      <c r="A245" s="39">
        <v>14118212</v>
      </c>
      <c r="B245" s="40" t="s">
        <v>426</v>
      </c>
      <c r="C245" s="41" t="s">
        <v>767</v>
      </c>
      <c r="D245" s="42" t="s">
        <v>3</v>
      </c>
      <c r="E245" s="43" t="s">
        <v>567</v>
      </c>
      <c r="F245" s="43" t="s">
        <v>568</v>
      </c>
      <c r="G245" s="44">
        <v>94</v>
      </c>
      <c r="H245" s="43" t="s">
        <v>569</v>
      </c>
      <c r="I245" s="45" t="s">
        <v>569</v>
      </c>
      <c r="J245" s="45" t="s">
        <v>546</v>
      </c>
      <c r="K245" s="116">
        <v>134.18</v>
      </c>
      <c r="L245" s="116">
        <v>134.18</v>
      </c>
      <c r="M245" s="116"/>
      <c r="N245" s="116">
        <v>200</v>
      </c>
      <c r="O245" s="116">
        <v>177.44</v>
      </c>
      <c r="P245" s="116"/>
      <c r="Q245" s="116"/>
      <c r="R245" s="116"/>
      <c r="S245" s="46">
        <v>645.79999999999995</v>
      </c>
      <c r="T245" s="117"/>
      <c r="U245" s="56" t="s">
        <v>949</v>
      </c>
      <c r="V245" s="105" t="s">
        <v>571</v>
      </c>
    </row>
    <row r="246" spans="1:22" s="18" customFormat="1" ht="17.25" x14ac:dyDescent="0.3">
      <c r="A246" s="39">
        <v>14118225</v>
      </c>
      <c r="B246" s="40" t="s">
        <v>271</v>
      </c>
      <c r="C246" s="41" t="s">
        <v>769</v>
      </c>
      <c r="D246" s="42" t="s">
        <v>3</v>
      </c>
      <c r="E246" s="43" t="s">
        <v>567</v>
      </c>
      <c r="F246" s="43" t="s">
        <v>568</v>
      </c>
      <c r="G246" s="44">
        <v>94</v>
      </c>
      <c r="H246" s="43" t="s">
        <v>569</v>
      </c>
      <c r="I246" s="45" t="s">
        <v>569</v>
      </c>
      <c r="J246" s="45" t="s">
        <v>546</v>
      </c>
      <c r="K246" s="116">
        <v>134.18</v>
      </c>
      <c r="L246" s="116">
        <v>134.18</v>
      </c>
      <c r="M246" s="116"/>
      <c r="N246" s="116">
        <v>200</v>
      </c>
      <c r="O246" s="116">
        <v>177.44</v>
      </c>
      <c r="P246" s="116"/>
      <c r="Q246" s="116"/>
      <c r="R246" s="116"/>
      <c r="S246" s="46">
        <v>645.79999999999995</v>
      </c>
      <c r="T246" s="117"/>
      <c r="U246" s="56" t="s">
        <v>949</v>
      </c>
      <c r="V246" s="105" t="s">
        <v>571</v>
      </c>
    </row>
    <row r="247" spans="1:22" s="18" customFormat="1" ht="17.25" x14ac:dyDescent="0.3">
      <c r="A247" s="39">
        <v>14118288</v>
      </c>
      <c r="B247" s="40" t="s">
        <v>194</v>
      </c>
      <c r="C247" s="41" t="s">
        <v>770</v>
      </c>
      <c r="D247" s="42" t="s">
        <v>3</v>
      </c>
      <c r="E247" s="43" t="s">
        <v>567</v>
      </c>
      <c r="F247" s="43" t="s">
        <v>568</v>
      </c>
      <c r="G247" s="44">
        <v>87</v>
      </c>
      <c r="H247" s="43" t="s">
        <v>571</v>
      </c>
      <c r="I247" s="45" t="s">
        <v>569</v>
      </c>
      <c r="J247" s="45" t="s">
        <v>573</v>
      </c>
      <c r="K247" s="116">
        <v>0</v>
      </c>
      <c r="L247" s="116">
        <v>0</v>
      </c>
      <c r="M247" s="116"/>
      <c r="N247" s="116">
        <v>0</v>
      </c>
      <c r="O247" s="116">
        <v>0</v>
      </c>
      <c r="P247" s="116"/>
      <c r="Q247" s="116"/>
      <c r="R247" s="116"/>
      <c r="S247" s="46">
        <v>0</v>
      </c>
      <c r="T247" s="117"/>
      <c r="U247" s="56" t="s">
        <v>571</v>
      </c>
      <c r="V247" s="105" t="s">
        <v>571</v>
      </c>
    </row>
    <row r="248" spans="1:22" s="18" customFormat="1" ht="17.25" x14ac:dyDescent="0.3">
      <c r="A248" s="39">
        <v>14118341</v>
      </c>
      <c r="B248" s="40" t="s">
        <v>195</v>
      </c>
      <c r="C248" s="41" t="s">
        <v>771</v>
      </c>
      <c r="D248" s="42" t="s">
        <v>3</v>
      </c>
      <c r="E248" s="43" t="s">
        <v>567</v>
      </c>
      <c r="F248" s="43" t="s">
        <v>568</v>
      </c>
      <c r="G248" s="44">
        <v>51</v>
      </c>
      <c r="H248" s="43" t="s">
        <v>571</v>
      </c>
      <c r="I248" s="45" t="s">
        <v>569</v>
      </c>
      <c r="J248" s="45" t="s">
        <v>573</v>
      </c>
      <c r="K248" s="116">
        <v>134.18</v>
      </c>
      <c r="L248" s="116">
        <v>134.18</v>
      </c>
      <c r="M248" s="116"/>
      <c r="N248" s="116">
        <v>0</v>
      </c>
      <c r="O248" s="116">
        <v>0</v>
      </c>
      <c r="P248" s="116"/>
      <c r="Q248" s="116"/>
      <c r="R248" s="116"/>
      <c r="S248" s="46">
        <v>268.36</v>
      </c>
      <c r="T248" s="117"/>
      <c r="U248" s="56" t="s">
        <v>949</v>
      </c>
      <c r="V248" s="47" t="s">
        <v>951</v>
      </c>
    </row>
    <row r="249" spans="1:22" s="18" customFormat="1" ht="17.25" x14ac:dyDescent="0.3">
      <c r="A249" s="39">
        <v>14118397</v>
      </c>
      <c r="B249" s="40" t="s">
        <v>196</v>
      </c>
      <c r="C249" s="41" t="s">
        <v>772</v>
      </c>
      <c r="D249" s="42" t="s">
        <v>3</v>
      </c>
      <c r="E249" s="43" t="s">
        <v>567</v>
      </c>
      <c r="F249" s="43" t="s">
        <v>568</v>
      </c>
      <c r="G249" s="44">
        <v>92</v>
      </c>
      <c r="H249" s="43" t="s">
        <v>569</v>
      </c>
      <c r="I249" s="45" t="s">
        <v>569</v>
      </c>
      <c r="J249" s="45" t="s">
        <v>546</v>
      </c>
      <c r="K249" s="116">
        <v>134.18</v>
      </c>
      <c r="L249" s="116">
        <v>134.18</v>
      </c>
      <c r="M249" s="116"/>
      <c r="N249" s="116">
        <v>200</v>
      </c>
      <c r="O249" s="116">
        <v>177.44</v>
      </c>
      <c r="P249" s="116"/>
      <c r="Q249" s="116"/>
      <c r="R249" s="116"/>
      <c r="S249" s="46">
        <v>645.79999999999995</v>
      </c>
      <c r="T249" s="117"/>
      <c r="U249" s="56" t="s">
        <v>949</v>
      </c>
      <c r="V249" s="105" t="s">
        <v>571</v>
      </c>
    </row>
    <row r="250" spans="1:22" s="18" customFormat="1" ht="17.25" x14ac:dyDescent="0.3">
      <c r="A250" s="39">
        <v>14118440</v>
      </c>
      <c r="B250" s="40" t="s">
        <v>197</v>
      </c>
      <c r="C250" s="41" t="s">
        <v>773</v>
      </c>
      <c r="D250" s="42" t="s">
        <v>3</v>
      </c>
      <c r="E250" s="43" t="s">
        <v>567</v>
      </c>
      <c r="F250" s="43" t="s">
        <v>568</v>
      </c>
      <c r="G250" s="44"/>
      <c r="H250" s="43" t="s">
        <v>571</v>
      </c>
      <c r="I250" s="45" t="s">
        <v>569</v>
      </c>
      <c r="J250" s="45" t="s">
        <v>573</v>
      </c>
      <c r="K250" s="116">
        <v>0</v>
      </c>
      <c r="L250" s="116">
        <v>0</v>
      </c>
      <c r="M250" s="116"/>
      <c r="N250" s="116">
        <v>0</v>
      </c>
      <c r="O250" s="116">
        <v>0</v>
      </c>
      <c r="P250" s="116"/>
      <c r="Q250" s="116"/>
      <c r="R250" s="116"/>
      <c r="S250" s="46">
        <v>0</v>
      </c>
      <c r="T250" s="117"/>
      <c r="U250" s="56" t="s">
        <v>571</v>
      </c>
      <c r="V250" s="105" t="s">
        <v>571</v>
      </c>
    </row>
    <row r="251" spans="1:22" s="18" customFormat="1" ht="17.25" x14ac:dyDescent="0.3">
      <c r="A251" s="39">
        <v>14118499</v>
      </c>
      <c r="B251" s="40" t="s">
        <v>198</v>
      </c>
      <c r="C251" s="41" t="s">
        <v>774</v>
      </c>
      <c r="D251" s="42" t="s">
        <v>3</v>
      </c>
      <c r="E251" s="43" t="s">
        <v>567</v>
      </c>
      <c r="F251" s="43" t="s">
        <v>568</v>
      </c>
      <c r="G251" s="44">
        <v>91</v>
      </c>
      <c r="H251" s="43" t="s">
        <v>569</v>
      </c>
      <c r="I251" s="45" t="s">
        <v>569</v>
      </c>
      <c r="J251" s="45" t="s">
        <v>546</v>
      </c>
      <c r="K251" s="116">
        <v>134.18</v>
      </c>
      <c r="L251" s="116">
        <v>134.18</v>
      </c>
      <c r="M251" s="116"/>
      <c r="N251" s="116">
        <v>200</v>
      </c>
      <c r="O251" s="116">
        <v>177.44</v>
      </c>
      <c r="P251" s="116"/>
      <c r="Q251" s="116"/>
      <c r="R251" s="116"/>
      <c r="S251" s="46">
        <v>645.79999999999995</v>
      </c>
      <c r="T251" s="117"/>
      <c r="U251" s="56" t="s">
        <v>949</v>
      </c>
      <c r="V251" s="105" t="s">
        <v>571</v>
      </c>
    </row>
    <row r="252" spans="1:22" s="18" customFormat="1" ht="17.25" x14ac:dyDescent="0.3">
      <c r="A252" s="39">
        <v>14118501</v>
      </c>
      <c r="B252" s="40" t="s">
        <v>199</v>
      </c>
      <c r="C252" s="41" t="s">
        <v>774</v>
      </c>
      <c r="D252" s="42" t="s">
        <v>3</v>
      </c>
      <c r="E252" s="43" t="s">
        <v>567</v>
      </c>
      <c r="F252" s="43" t="s">
        <v>568</v>
      </c>
      <c r="G252" s="44">
        <v>78</v>
      </c>
      <c r="H252" s="43" t="s">
        <v>571</v>
      </c>
      <c r="I252" s="45" t="s">
        <v>569</v>
      </c>
      <c r="J252" s="45" t="s">
        <v>546</v>
      </c>
      <c r="K252" s="116">
        <v>134.18</v>
      </c>
      <c r="L252" s="116">
        <v>134.18</v>
      </c>
      <c r="M252" s="116"/>
      <c r="N252" s="116">
        <v>0</v>
      </c>
      <c r="O252" s="116">
        <v>177.44</v>
      </c>
      <c r="P252" s="116"/>
      <c r="Q252" s="116"/>
      <c r="R252" s="116"/>
      <c r="S252" s="46">
        <v>445.8</v>
      </c>
      <c r="T252" s="117"/>
      <c r="U252" s="56" t="s">
        <v>949</v>
      </c>
      <c r="V252" s="105" t="s">
        <v>571</v>
      </c>
    </row>
    <row r="253" spans="1:22" s="18" customFormat="1" ht="17.25" x14ac:dyDescent="0.3">
      <c r="A253" s="39">
        <v>14118505</v>
      </c>
      <c r="B253" s="40" t="s">
        <v>349</v>
      </c>
      <c r="C253" s="41" t="s">
        <v>775</v>
      </c>
      <c r="D253" s="42" t="s">
        <v>3</v>
      </c>
      <c r="E253" s="43" t="s">
        <v>567</v>
      </c>
      <c r="F253" s="43" t="s">
        <v>568</v>
      </c>
      <c r="G253" s="44">
        <v>90</v>
      </c>
      <c r="H253" s="43" t="s">
        <v>569</v>
      </c>
      <c r="I253" s="45" t="s">
        <v>571</v>
      </c>
      <c r="J253" s="45" t="s">
        <v>546</v>
      </c>
      <c r="K253" s="116">
        <v>134.18</v>
      </c>
      <c r="L253" s="116">
        <v>134.18</v>
      </c>
      <c r="M253" s="116"/>
      <c r="N253" s="116">
        <v>0</v>
      </c>
      <c r="O253" s="116">
        <v>0</v>
      </c>
      <c r="P253" s="116"/>
      <c r="Q253" s="116"/>
      <c r="R253" s="116"/>
      <c r="S253" s="46">
        <v>268.36</v>
      </c>
      <c r="T253" s="117"/>
      <c r="U253" s="56" t="s">
        <v>949</v>
      </c>
      <c r="V253" s="105" t="s">
        <v>571</v>
      </c>
    </row>
    <row r="254" spans="1:22" s="18" customFormat="1" ht="17.25" x14ac:dyDescent="0.3">
      <c r="A254" s="39">
        <v>14118518</v>
      </c>
      <c r="B254" s="40" t="s">
        <v>200</v>
      </c>
      <c r="C254" s="41" t="s">
        <v>776</v>
      </c>
      <c r="D254" s="42" t="s">
        <v>3</v>
      </c>
      <c r="E254" s="43" t="s">
        <v>567</v>
      </c>
      <c r="F254" s="43" t="s">
        <v>568</v>
      </c>
      <c r="G254" s="44">
        <v>76</v>
      </c>
      <c r="H254" s="43" t="s">
        <v>571</v>
      </c>
      <c r="I254" s="45" t="s">
        <v>571</v>
      </c>
      <c r="J254" s="45" t="s">
        <v>546</v>
      </c>
      <c r="K254" s="116">
        <v>134.18</v>
      </c>
      <c r="L254" s="116">
        <v>134.18</v>
      </c>
      <c r="M254" s="116"/>
      <c r="N254" s="116">
        <v>0</v>
      </c>
      <c r="O254" s="116">
        <v>0</v>
      </c>
      <c r="P254" s="116"/>
      <c r="Q254" s="116"/>
      <c r="R254" s="116"/>
      <c r="S254" s="46">
        <v>268.36</v>
      </c>
      <c r="T254" s="117"/>
      <c r="U254" s="56" t="s">
        <v>949</v>
      </c>
      <c r="V254" s="105" t="s">
        <v>571</v>
      </c>
    </row>
    <row r="255" spans="1:22" s="18" customFormat="1" ht="17.25" x14ac:dyDescent="0.3">
      <c r="A255" s="39">
        <v>14118579</v>
      </c>
      <c r="B255" s="40" t="s">
        <v>464</v>
      </c>
      <c r="C255" s="41" t="s">
        <v>777</v>
      </c>
      <c r="D255" s="42" t="s">
        <v>3</v>
      </c>
      <c r="E255" s="43" t="s">
        <v>567</v>
      </c>
      <c r="F255" s="43" t="s">
        <v>568</v>
      </c>
      <c r="G255" s="44">
        <v>94</v>
      </c>
      <c r="H255" s="43" t="s">
        <v>569</v>
      </c>
      <c r="I255" s="45" t="s">
        <v>571</v>
      </c>
      <c r="J255" s="45" t="s">
        <v>546</v>
      </c>
      <c r="K255" s="116">
        <v>134.18</v>
      </c>
      <c r="L255" s="116">
        <v>134.18</v>
      </c>
      <c r="M255" s="116"/>
      <c r="N255" s="116">
        <v>0</v>
      </c>
      <c r="O255" s="116">
        <v>0</v>
      </c>
      <c r="P255" s="116"/>
      <c r="Q255" s="116"/>
      <c r="R255" s="116"/>
      <c r="S255" s="46">
        <v>268.36</v>
      </c>
      <c r="T255" s="117"/>
      <c r="U255" s="56" t="s">
        <v>949</v>
      </c>
      <c r="V255" s="105" t="s">
        <v>571</v>
      </c>
    </row>
    <row r="256" spans="1:22" s="18" customFormat="1" ht="17.25" x14ac:dyDescent="0.3">
      <c r="A256" s="39">
        <v>14118620</v>
      </c>
      <c r="B256" s="48" t="s">
        <v>201</v>
      </c>
      <c r="C256" s="41" t="s">
        <v>778</v>
      </c>
      <c r="D256" s="42" t="s">
        <v>3</v>
      </c>
      <c r="E256" s="43" t="s">
        <v>567</v>
      </c>
      <c r="F256" s="43" t="s">
        <v>568</v>
      </c>
      <c r="G256" s="44">
        <v>95</v>
      </c>
      <c r="H256" s="43" t="s">
        <v>569</v>
      </c>
      <c r="I256" s="45" t="s">
        <v>571</v>
      </c>
      <c r="J256" s="45" t="s">
        <v>546</v>
      </c>
      <c r="K256" s="116">
        <v>134.18</v>
      </c>
      <c r="L256" s="116">
        <v>134.18</v>
      </c>
      <c r="M256" s="116"/>
      <c r="N256" s="116">
        <v>0</v>
      </c>
      <c r="O256" s="116">
        <v>0</v>
      </c>
      <c r="P256" s="116"/>
      <c r="Q256" s="116"/>
      <c r="R256" s="116"/>
      <c r="S256" s="46">
        <v>268.36</v>
      </c>
      <c r="T256" s="117"/>
      <c r="U256" s="56" t="s">
        <v>949</v>
      </c>
      <c r="V256" s="105" t="s">
        <v>571</v>
      </c>
    </row>
    <row r="257" spans="1:22" s="18" customFormat="1" ht="17.25" x14ac:dyDescent="0.3">
      <c r="A257" s="39">
        <v>14118621</v>
      </c>
      <c r="B257" s="40" t="s">
        <v>202</v>
      </c>
      <c r="C257" s="41" t="s">
        <v>778</v>
      </c>
      <c r="D257" s="42" t="s">
        <v>3</v>
      </c>
      <c r="E257" s="43" t="s">
        <v>567</v>
      </c>
      <c r="F257" s="43" t="s">
        <v>730</v>
      </c>
      <c r="G257" s="44">
        <v>95</v>
      </c>
      <c r="H257" s="43" t="s">
        <v>569</v>
      </c>
      <c r="I257" s="45" t="s">
        <v>569</v>
      </c>
      <c r="J257" s="45" t="s">
        <v>546</v>
      </c>
      <c r="K257" s="116">
        <v>134.18</v>
      </c>
      <c r="L257" s="116">
        <v>0</v>
      </c>
      <c r="M257" s="116"/>
      <c r="N257" s="116">
        <v>200</v>
      </c>
      <c r="O257" s="116">
        <v>177.44</v>
      </c>
      <c r="P257" s="116"/>
      <c r="Q257" s="116"/>
      <c r="R257" s="116"/>
      <c r="S257" s="46">
        <v>511.62</v>
      </c>
      <c r="T257" s="117"/>
      <c r="U257" s="56" t="s">
        <v>949</v>
      </c>
      <c r="V257" s="105" t="s">
        <v>571</v>
      </c>
    </row>
    <row r="258" spans="1:22" s="18" customFormat="1" ht="17.25" x14ac:dyDescent="0.3">
      <c r="A258" s="39">
        <v>14118622</v>
      </c>
      <c r="B258" s="40" t="s">
        <v>203</v>
      </c>
      <c r="C258" s="41" t="s">
        <v>778</v>
      </c>
      <c r="D258" s="42" t="s">
        <v>3</v>
      </c>
      <c r="E258" s="43" t="s">
        <v>567</v>
      </c>
      <c r="F258" s="43" t="s">
        <v>568</v>
      </c>
      <c r="G258" s="44">
        <v>90</v>
      </c>
      <c r="H258" s="43" t="s">
        <v>569</v>
      </c>
      <c r="I258" s="45" t="s">
        <v>569</v>
      </c>
      <c r="J258" s="45" t="s">
        <v>546</v>
      </c>
      <c r="K258" s="116">
        <v>134.18</v>
      </c>
      <c r="L258" s="116">
        <v>134.18</v>
      </c>
      <c r="M258" s="116"/>
      <c r="N258" s="116">
        <v>200</v>
      </c>
      <c r="O258" s="116">
        <v>177.44</v>
      </c>
      <c r="P258" s="116"/>
      <c r="Q258" s="116"/>
      <c r="R258" s="116"/>
      <c r="S258" s="46">
        <v>645.79999999999995</v>
      </c>
      <c r="T258" s="117"/>
      <c r="U258" s="56" t="s">
        <v>949</v>
      </c>
      <c r="V258" s="47" t="s">
        <v>951</v>
      </c>
    </row>
    <row r="259" spans="1:22" s="18" customFormat="1" ht="17.25" x14ac:dyDescent="0.3">
      <c r="A259" s="39">
        <v>14118625</v>
      </c>
      <c r="B259" s="40" t="s">
        <v>422</v>
      </c>
      <c r="C259" s="41" t="s">
        <v>779</v>
      </c>
      <c r="D259" s="42" t="s">
        <v>3</v>
      </c>
      <c r="E259" s="43" t="s">
        <v>567</v>
      </c>
      <c r="F259" s="43" t="s">
        <v>568</v>
      </c>
      <c r="G259" s="44">
        <v>87</v>
      </c>
      <c r="H259" s="43" t="s">
        <v>571</v>
      </c>
      <c r="I259" s="45" t="s">
        <v>571</v>
      </c>
      <c r="J259" s="45" t="s">
        <v>546</v>
      </c>
      <c r="K259" s="116">
        <v>134.18</v>
      </c>
      <c r="L259" s="116">
        <v>134.18</v>
      </c>
      <c r="M259" s="116"/>
      <c r="N259" s="116">
        <v>0</v>
      </c>
      <c r="O259" s="116">
        <v>0</v>
      </c>
      <c r="P259" s="116"/>
      <c r="Q259" s="116"/>
      <c r="R259" s="116"/>
      <c r="S259" s="46">
        <v>268.36</v>
      </c>
      <c r="T259" s="117"/>
      <c r="U259" s="56" t="s">
        <v>949</v>
      </c>
      <c r="V259" s="105" t="s">
        <v>571</v>
      </c>
    </row>
    <row r="260" spans="1:22" s="18" customFormat="1" ht="17.25" x14ac:dyDescent="0.3">
      <c r="A260" s="39">
        <v>14118627</v>
      </c>
      <c r="B260" s="40" t="s">
        <v>204</v>
      </c>
      <c r="C260" s="41" t="s">
        <v>778</v>
      </c>
      <c r="D260" s="42" t="s">
        <v>3</v>
      </c>
      <c r="E260" s="43" t="s">
        <v>567</v>
      </c>
      <c r="F260" s="43" t="s">
        <v>568</v>
      </c>
      <c r="G260" s="44">
        <v>90</v>
      </c>
      <c r="H260" s="43" t="s">
        <v>569</v>
      </c>
      <c r="I260" s="45" t="s">
        <v>569</v>
      </c>
      <c r="J260" s="45" t="s">
        <v>546</v>
      </c>
      <c r="K260" s="116">
        <v>134.18</v>
      </c>
      <c r="L260" s="116">
        <v>134.18</v>
      </c>
      <c r="M260" s="116"/>
      <c r="N260" s="116">
        <v>200</v>
      </c>
      <c r="O260" s="116">
        <v>177.44</v>
      </c>
      <c r="P260" s="116"/>
      <c r="Q260" s="116"/>
      <c r="R260" s="116"/>
      <c r="S260" s="46">
        <v>645.79999999999995</v>
      </c>
      <c r="T260" s="117"/>
      <c r="U260" s="56" t="s">
        <v>949</v>
      </c>
      <c r="V260" s="105" t="s">
        <v>571</v>
      </c>
    </row>
    <row r="261" spans="1:22" s="18" customFormat="1" ht="17.25" x14ac:dyDescent="0.3">
      <c r="A261" s="39">
        <v>14118640</v>
      </c>
      <c r="B261" s="40" t="s">
        <v>205</v>
      </c>
      <c r="C261" s="41" t="s">
        <v>780</v>
      </c>
      <c r="D261" s="42" t="s">
        <v>3</v>
      </c>
      <c r="E261" s="43" t="s">
        <v>567</v>
      </c>
      <c r="F261" s="43" t="s">
        <v>568</v>
      </c>
      <c r="G261" s="44">
        <v>74</v>
      </c>
      <c r="H261" s="43" t="s">
        <v>571</v>
      </c>
      <c r="I261" s="45" t="s">
        <v>571</v>
      </c>
      <c r="J261" s="45" t="s">
        <v>546</v>
      </c>
      <c r="K261" s="116">
        <v>134.18</v>
      </c>
      <c r="L261" s="116">
        <v>134.18</v>
      </c>
      <c r="M261" s="116"/>
      <c r="N261" s="116">
        <v>0</v>
      </c>
      <c r="O261" s="116">
        <v>0</v>
      </c>
      <c r="P261" s="116"/>
      <c r="Q261" s="116"/>
      <c r="R261" s="116"/>
      <c r="S261" s="46">
        <v>268.36</v>
      </c>
      <c r="T261" s="117"/>
      <c r="U261" s="56" t="s">
        <v>949</v>
      </c>
      <c r="V261" s="105" t="s">
        <v>571</v>
      </c>
    </row>
    <row r="262" spans="1:22" s="18" customFormat="1" ht="17.25" x14ac:dyDescent="0.3">
      <c r="A262" s="39">
        <v>14118660</v>
      </c>
      <c r="B262" s="40" t="s">
        <v>206</v>
      </c>
      <c r="C262" s="41" t="s">
        <v>781</v>
      </c>
      <c r="D262" s="42" t="s">
        <v>3</v>
      </c>
      <c r="E262" s="43" t="s">
        <v>567</v>
      </c>
      <c r="F262" s="43" t="s">
        <v>568</v>
      </c>
      <c r="G262" s="44">
        <v>89</v>
      </c>
      <c r="H262" s="43" t="s">
        <v>571</v>
      </c>
      <c r="I262" s="45" t="s">
        <v>569</v>
      </c>
      <c r="J262" s="45" t="s">
        <v>546</v>
      </c>
      <c r="K262" s="116">
        <v>134.18</v>
      </c>
      <c r="L262" s="116">
        <v>134.18</v>
      </c>
      <c r="M262" s="116"/>
      <c r="N262" s="116">
        <v>0</v>
      </c>
      <c r="O262" s="116">
        <v>177.44</v>
      </c>
      <c r="P262" s="116"/>
      <c r="Q262" s="116"/>
      <c r="R262" s="116"/>
      <c r="S262" s="46">
        <v>445.8</v>
      </c>
      <c r="T262" s="117"/>
      <c r="U262" s="56" t="s">
        <v>949</v>
      </c>
      <c r="V262" s="105" t="s">
        <v>571</v>
      </c>
    </row>
    <row r="263" spans="1:22" s="18" customFormat="1" ht="17.25" x14ac:dyDescent="0.3">
      <c r="A263" s="40">
        <v>14118663</v>
      </c>
      <c r="B263" s="40" t="s">
        <v>207</v>
      </c>
      <c r="C263" s="41" t="s">
        <v>781</v>
      </c>
      <c r="D263" s="42" t="s">
        <v>3</v>
      </c>
      <c r="E263" s="43" t="s">
        <v>567</v>
      </c>
      <c r="F263" s="43" t="s">
        <v>568</v>
      </c>
      <c r="G263" s="44">
        <v>92</v>
      </c>
      <c r="H263" s="43" t="s">
        <v>569</v>
      </c>
      <c r="I263" s="45" t="s">
        <v>569</v>
      </c>
      <c r="J263" s="45" t="s">
        <v>546</v>
      </c>
      <c r="K263" s="116">
        <v>134.18</v>
      </c>
      <c r="L263" s="116">
        <v>134.18</v>
      </c>
      <c r="M263" s="116"/>
      <c r="N263" s="116">
        <v>200</v>
      </c>
      <c r="O263" s="116">
        <v>177.44</v>
      </c>
      <c r="P263" s="116"/>
      <c r="Q263" s="116"/>
      <c r="R263" s="116"/>
      <c r="S263" s="46">
        <v>645.79999999999995</v>
      </c>
      <c r="T263" s="117"/>
      <c r="U263" s="56" t="s">
        <v>949</v>
      </c>
      <c r="V263" s="105" t="s">
        <v>571</v>
      </c>
    </row>
    <row r="264" spans="1:22" s="18" customFormat="1" ht="17.25" x14ac:dyDescent="0.3">
      <c r="A264" s="39">
        <v>14118745</v>
      </c>
      <c r="B264" s="40" t="s">
        <v>209</v>
      </c>
      <c r="C264" s="41" t="s">
        <v>782</v>
      </c>
      <c r="D264" s="42" t="s">
        <v>3</v>
      </c>
      <c r="E264" s="43" t="s">
        <v>567</v>
      </c>
      <c r="F264" s="43" t="s">
        <v>568</v>
      </c>
      <c r="G264" s="44">
        <v>93</v>
      </c>
      <c r="H264" s="43" t="s">
        <v>569</v>
      </c>
      <c r="I264" s="45" t="s">
        <v>571</v>
      </c>
      <c r="J264" s="45" t="s">
        <v>546</v>
      </c>
      <c r="K264" s="116">
        <v>134.18</v>
      </c>
      <c r="L264" s="116">
        <v>134.18</v>
      </c>
      <c r="M264" s="116"/>
      <c r="N264" s="116">
        <v>0</v>
      </c>
      <c r="O264" s="116">
        <v>0</v>
      </c>
      <c r="P264" s="116"/>
      <c r="Q264" s="116"/>
      <c r="R264" s="116"/>
      <c r="S264" s="46">
        <v>268.36</v>
      </c>
      <c r="T264" s="117"/>
      <c r="U264" s="56" t="s">
        <v>949</v>
      </c>
      <c r="V264" s="105" t="s">
        <v>571</v>
      </c>
    </row>
    <row r="265" spans="1:22" s="18" customFormat="1" ht="17.25" x14ac:dyDescent="0.3">
      <c r="A265" s="39">
        <v>14118773</v>
      </c>
      <c r="B265" s="40" t="s">
        <v>210</v>
      </c>
      <c r="C265" s="41" t="s">
        <v>783</v>
      </c>
      <c r="D265" s="42" t="s">
        <v>3</v>
      </c>
      <c r="E265" s="43" t="s">
        <v>567</v>
      </c>
      <c r="F265" s="43" t="s">
        <v>568</v>
      </c>
      <c r="G265" s="44">
        <v>54</v>
      </c>
      <c r="H265" s="43" t="s">
        <v>571</v>
      </c>
      <c r="I265" s="45" t="s">
        <v>571</v>
      </c>
      <c r="J265" s="45" t="s">
        <v>546</v>
      </c>
      <c r="K265" s="116">
        <v>134.18</v>
      </c>
      <c r="L265" s="116">
        <v>134.18</v>
      </c>
      <c r="M265" s="116"/>
      <c r="N265" s="116">
        <v>0</v>
      </c>
      <c r="O265" s="116">
        <v>0</v>
      </c>
      <c r="P265" s="116"/>
      <c r="Q265" s="116"/>
      <c r="R265" s="116"/>
      <c r="S265" s="46">
        <v>268.36</v>
      </c>
      <c r="T265" s="117"/>
      <c r="U265" s="56" t="s">
        <v>949</v>
      </c>
      <c r="V265" s="105" t="s">
        <v>571</v>
      </c>
    </row>
    <row r="266" spans="1:22" s="18" customFormat="1" ht="17.25" x14ac:dyDescent="0.3">
      <c r="A266" s="39">
        <v>14118809</v>
      </c>
      <c r="B266" s="40" t="s">
        <v>213</v>
      </c>
      <c r="C266" s="41" t="s">
        <v>784</v>
      </c>
      <c r="D266" s="42" t="s">
        <v>3</v>
      </c>
      <c r="E266" s="43" t="s">
        <v>567</v>
      </c>
      <c r="F266" s="43" t="s">
        <v>568</v>
      </c>
      <c r="G266" s="44">
        <v>93</v>
      </c>
      <c r="H266" s="43" t="s">
        <v>569</v>
      </c>
      <c r="I266" s="45" t="s">
        <v>569</v>
      </c>
      <c r="J266" s="45" t="s">
        <v>546</v>
      </c>
      <c r="K266" s="116">
        <v>134.18</v>
      </c>
      <c r="L266" s="116">
        <v>134.18</v>
      </c>
      <c r="M266" s="116"/>
      <c r="N266" s="116">
        <v>200</v>
      </c>
      <c r="O266" s="116">
        <v>177.44</v>
      </c>
      <c r="P266" s="116"/>
      <c r="Q266" s="116"/>
      <c r="R266" s="116"/>
      <c r="S266" s="46">
        <v>645.79999999999995</v>
      </c>
      <c r="T266" s="117"/>
      <c r="U266" s="56" t="s">
        <v>949</v>
      </c>
      <c r="V266" s="105" t="s">
        <v>571</v>
      </c>
    </row>
    <row r="267" spans="1:22" s="18" customFormat="1" ht="17.25" x14ac:dyDescent="0.3">
      <c r="A267" s="39">
        <v>14118811</v>
      </c>
      <c r="B267" s="40" t="s">
        <v>214</v>
      </c>
      <c r="C267" s="41" t="s">
        <v>784</v>
      </c>
      <c r="D267" s="42" t="s">
        <v>3</v>
      </c>
      <c r="E267" s="43" t="s">
        <v>567</v>
      </c>
      <c r="F267" s="43" t="s">
        <v>568</v>
      </c>
      <c r="G267" s="44">
        <v>93</v>
      </c>
      <c r="H267" s="43" t="s">
        <v>569</v>
      </c>
      <c r="I267" s="45" t="s">
        <v>571</v>
      </c>
      <c r="J267" s="45" t="s">
        <v>546</v>
      </c>
      <c r="K267" s="116">
        <v>134.18</v>
      </c>
      <c r="L267" s="116">
        <v>134.18</v>
      </c>
      <c r="M267" s="116"/>
      <c r="N267" s="116">
        <v>0</v>
      </c>
      <c r="O267" s="116">
        <v>0</v>
      </c>
      <c r="P267" s="116"/>
      <c r="Q267" s="116"/>
      <c r="R267" s="116"/>
      <c r="S267" s="46">
        <v>268.36</v>
      </c>
      <c r="T267" s="117"/>
      <c r="U267" s="56" t="s">
        <v>949</v>
      </c>
      <c r="V267" s="105" t="s">
        <v>571</v>
      </c>
    </row>
    <row r="268" spans="1:22" s="18" customFormat="1" ht="17.25" x14ac:dyDescent="0.3">
      <c r="A268" s="39">
        <v>14118815</v>
      </c>
      <c r="B268" s="40" t="s">
        <v>215</v>
      </c>
      <c r="C268" s="41" t="s">
        <v>784</v>
      </c>
      <c r="D268" s="42" t="s">
        <v>3</v>
      </c>
      <c r="E268" s="43" t="s">
        <v>567</v>
      </c>
      <c r="F268" s="43" t="s">
        <v>568</v>
      </c>
      <c r="G268" s="44"/>
      <c r="H268" s="43" t="s">
        <v>571</v>
      </c>
      <c r="I268" s="45" t="s">
        <v>569</v>
      </c>
      <c r="J268" s="45" t="s">
        <v>573</v>
      </c>
      <c r="K268" s="116">
        <v>0</v>
      </c>
      <c r="L268" s="116">
        <v>0</v>
      </c>
      <c r="M268" s="116"/>
      <c r="N268" s="116">
        <v>0</v>
      </c>
      <c r="O268" s="116">
        <v>0</v>
      </c>
      <c r="P268" s="116"/>
      <c r="Q268" s="116"/>
      <c r="R268" s="116"/>
      <c r="S268" s="46">
        <v>0</v>
      </c>
      <c r="T268" s="117"/>
      <c r="U268" s="56" t="s">
        <v>571</v>
      </c>
      <c r="V268" s="105" t="s">
        <v>571</v>
      </c>
    </row>
    <row r="269" spans="1:22" s="18" customFormat="1" ht="17.25" x14ac:dyDescent="0.3">
      <c r="A269" s="39">
        <v>14118849</v>
      </c>
      <c r="B269" s="40" t="s">
        <v>216</v>
      </c>
      <c r="C269" s="41" t="s">
        <v>785</v>
      </c>
      <c r="D269" s="42" t="s">
        <v>3</v>
      </c>
      <c r="E269" s="43" t="s">
        <v>567</v>
      </c>
      <c r="F269" s="43" t="s">
        <v>568</v>
      </c>
      <c r="G269" s="44">
        <v>73</v>
      </c>
      <c r="H269" s="43" t="s">
        <v>571</v>
      </c>
      <c r="I269" s="45" t="s">
        <v>569</v>
      </c>
      <c r="J269" s="45" t="s">
        <v>546</v>
      </c>
      <c r="K269" s="116">
        <v>134.18</v>
      </c>
      <c r="L269" s="116">
        <v>134.18</v>
      </c>
      <c r="M269" s="116"/>
      <c r="N269" s="116">
        <v>0</v>
      </c>
      <c r="O269" s="116">
        <v>177.44</v>
      </c>
      <c r="P269" s="116"/>
      <c r="Q269" s="116"/>
      <c r="R269" s="116"/>
      <c r="S269" s="46">
        <v>445.8</v>
      </c>
      <c r="T269" s="117"/>
      <c r="U269" s="56" t="s">
        <v>949</v>
      </c>
      <c r="V269" s="105" t="s">
        <v>571</v>
      </c>
    </row>
    <row r="270" spans="1:22" s="18" customFormat="1" ht="17.25" x14ac:dyDescent="0.3">
      <c r="A270" s="39">
        <v>14118887</v>
      </c>
      <c r="B270" s="40" t="s">
        <v>217</v>
      </c>
      <c r="C270" s="41" t="s">
        <v>786</v>
      </c>
      <c r="D270" s="42" t="s">
        <v>3</v>
      </c>
      <c r="E270" s="43" t="s">
        <v>567</v>
      </c>
      <c r="F270" s="43" t="s">
        <v>568</v>
      </c>
      <c r="G270" s="44">
        <v>77</v>
      </c>
      <c r="H270" s="43" t="s">
        <v>571</v>
      </c>
      <c r="I270" s="45" t="s">
        <v>569</v>
      </c>
      <c r="J270" s="45" t="s">
        <v>546</v>
      </c>
      <c r="K270" s="116">
        <v>134.18</v>
      </c>
      <c r="L270" s="116">
        <v>134.18</v>
      </c>
      <c r="M270" s="116"/>
      <c r="N270" s="116">
        <v>0</v>
      </c>
      <c r="O270" s="116">
        <v>177.44</v>
      </c>
      <c r="P270" s="116"/>
      <c r="Q270" s="116"/>
      <c r="R270" s="116"/>
      <c r="S270" s="46">
        <v>445.8</v>
      </c>
      <c r="T270" s="117"/>
      <c r="U270" s="56" t="s">
        <v>949</v>
      </c>
      <c r="V270" s="105" t="s">
        <v>571</v>
      </c>
    </row>
    <row r="271" spans="1:22" s="18" customFormat="1" ht="17.25" x14ac:dyDescent="0.3">
      <c r="A271" s="39">
        <v>14118889</v>
      </c>
      <c r="B271" s="40" t="s">
        <v>218</v>
      </c>
      <c r="C271" s="41" t="s">
        <v>786</v>
      </c>
      <c r="D271" s="42" t="s">
        <v>3</v>
      </c>
      <c r="E271" s="43" t="s">
        <v>567</v>
      </c>
      <c r="F271" s="43" t="s">
        <v>568</v>
      </c>
      <c r="G271" s="44">
        <v>86</v>
      </c>
      <c r="H271" s="43" t="s">
        <v>571</v>
      </c>
      <c r="I271" s="45" t="s">
        <v>571</v>
      </c>
      <c r="J271" s="45" t="s">
        <v>546</v>
      </c>
      <c r="K271" s="116">
        <v>134.18</v>
      </c>
      <c r="L271" s="116">
        <v>134.18</v>
      </c>
      <c r="M271" s="116"/>
      <c r="N271" s="116">
        <v>0</v>
      </c>
      <c r="O271" s="116">
        <v>0</v>
      </c>
      <c r="P271" s="116"/>
      <c r="Q271" s="116"/>
      <c r="R271" s="116"/>
      <c r="S271" s="46">
        <v>268.36</v>
      </c>
      <c r="T271" s="117"/>
      <c r="U271" s="56" t="s">
        <v>949</v>
      </c>
      <c r="V271" s="105" t="s">
        <v>571</v>
      </c>
    </row>
    <row r="272" spans="1:22" s="18" customFormat="1" ht="17.25" x14ac:dyDescent="0.3">
      <c r="A272" s="39">
        <v>14118892</v>
      </c>
      <c r="B272" s="40" t="s">
        <v>219</v>
      </c>
      <c r="C272" s="41" t="s">
        <v>786</v>
      </c>
      <c r="D272" s="42" t="s">
        <v>3</v>
      </c>
      <c r="E272" s="43" t="s">
        <v>567</v>
      </c>
      <c r="F272" s="43" t="s">
        <v>568</v>
      </c>
      <c r="G272" s="44">
        <v>95</v>
      </c>
      <c r="H272" s="43" t="s">
        <v>569</v>
      </c>
      <c r="I272" s="45" t="s">
        <v>569</v>
      </c>
      <c r="J272" s="45" t="s">
        <v>573</v>
      </c>
      <c r="K272" s="116">
        <v>134.18</v>
      </c>
      <c r="L272" s="116">
        <v>134.18</v>
      </c>
      <c r="M272" s="116"/>
      <c r="N272" s="116">
        <v>200</v>
      </c>
      <c r="O272" s="116">
        <v>0</v>
      </c>
      <c r="P272" s="116"/>
      <c r="Q272" s="116"/>
      <c r="R272" s="116"/>
      <c r="S272" s="46">
        <v>468.36</v>
      </c>
      <c r="T272" s="117"/>
      <c r="U272" s="56" t="s">
        <v>949</v>
      </c>
      <c r="V272" s="105" t="s">
        <v>571</v>
      </c>
    </row>
    <row r="273" spans="1:22" s="18" customFormat="1" ht="17.25" x14ac:dyDescent="0.3">
      <c r="A273" s="39">
        <v>14118893</v>
      </c>
      <c r="B273" s="40" t="s">
        <v>220</v>
      </c>
      <c r="C273" s="41" t="s">
        <v>786</v>
      </c>
      <c r="D273" s="42" t="s">
        <v>3</v>
      </c>
      <c r="E273" s="43" t="s">
        <v>567</v>
      </c>
      <c r="F273" s="43" t="s">
        <v>568</v>
      </c>
      <c r="G273" s="44">
        <v>79</v>
      </c>
      <c r="H273" s="43" t="s">
        <v>571</v>
      </c>
      <c r="I273" s="45" t="s">
        <v>569</v>
      </c>
      <c r="J273" s="45" t="s">
        <v>546</v>
      </c>
      <c r="K273" s="116">
        <v>134.18</v>
      </c>
      <c r="L273" s="116">
        <v>134.18</v>
      </c>
      <c r="M273" s="116"/>
      <c r="N273" s="116">
        <v>0</v>
      </c>
      <c r="O273" s="116">
        <v>177.44</v>
      </c>
      <c r="P273" s="116"/>
      <c r="Q273" s="116"/>
      <c r="R273" s="116"/>
      <c r="S273" s="46">
        <v>445.8</v>
      </c>
      <c r="T273" s="117"/>
      <c r="U273" s="56" t="s">
        <v>949</v>
      </c>
      <c r="V273" s="105" t="s">
        <v>571</v>
      </c>
    </row>
    <row r="274" spans="1:22" s="18" customFormat="1" ht="17.25" x14ac:dyDescent="0.3">
      <c r="A274" s="39">
        <v>14118956</v>
      </c>
      <c r="B274" s="40" t="s">
        <v>222</v>
      </c>
      <c r="C274" s="41" t="s">
        <v>787</v>
      </c>
      <c r="D274" s="42" t="s">
        <v>3</v>
      </c>
      <c r="E274" s="43" t="s">
        <v>567</v>
      </c>
      <c r="F274" s="43" t="s">
        <v>568</v>
      </c>
      <c r="G274" s="44">
        <v>86</v>
      </c>
      <c r="H274" s="43" t="s">
        <v>571</v>
      </c>
      <c r="I274" s="45" t="s">
        <v>571</v>
      </c>
      <c r="J274" s="45" t="s">
        <v>546</v>
      </c>
      <c r="K274" s="116">
        <v>134.18</v>
      </c>
      <c r="L274" s="116">
        <v>134.18</v>
      </c>
      <c r="M274" s="116"/>
      <c r="N274" s="116">
        <v>0</v>
      </c>
      <c r="O274" s="116">
        <v>0</v>
      </c>
      <c r="P274" s="116"/>
      <c r="Q274" s="116"/>
      <c r="R274" s="116"/>
      <c r="S274" s="46">
        <v>268.36</v>
      </c>
      <c r="T274" s="117"/>
      <c r="U274" s="56" t="s">
        <v>949</v>
      </c>
      <c r="V274" s="105" t="s">
        <v>571</v>
      </c>
    </row>
    <row r="275" spans="1:22" s="18" customFormat="1" ht="17.25" x14ac:dyDescent="0.3">
      <c r="A275" s="39">
        <v>14118957</v>
      </c>
      <c r="B275" s="40" t="s">
        <v>223</v>
      </c>
      <c r="C275" s="41" t="s">
        <v>787</v>
      </c>
      <c r="D275" s="42" t="s">
        <v>3</v>
      </c>
      <c r="E275" s="43" t="s">
        <v>567</v>
      </c>
      <c r="F275" s="43" t="s">
        <v>568</v>
      </c>
      <c r="G275" s="44">
        <v>94</v>
      </c>
      <c r="H275" s="43" t="s">
        <v>569</v>
      </c>
      <c r="I275" s="45" t="s">
        <v>569</v>
      </c>
      <c r="J275" s="45" t="s">
        <v>546</v>
      </c>
      <c r="K275" s="116">
        <v>134.18</v>
      </c>
      <c r="L275" s="116">
        <v>134.18</v>
      </c>
      <c r="M275" s="116"/>
      <c r="N275" s="116">
        <v>200</v>
      </c>
      <c r="O275" s="116">
        <v>177.44</v>
      </c>
      <c r="P275" s="116"/>
      <c r="Q275" s="116"/>
      <c r="R275" s="116"/>
      <c r="S275" s="46">
        <v>645.79999999999995</v>
      </c>
      <c r="T275" s="117"/>
      <c r="U275" s="56" t="s">
        <v>949</v>
      </c>
      <c r="V275" s="47" t="s">
        <v>951</v>
      </c>
    </row>
    <row r="276" spans="1:22" s="18" customFormat="1" ht="17.25" x14ac:dyDescent="0.3">
      <c r="A276" s="39">
        <v>14118958</v>
      </c>
      <c r="B276" s="40" t="s">
        <v>367</v>
      </c>
      <c r="C276" s="41" t="s">
        <v>788</v>
      </c>
      <c r="D276" s="42" t="s">
        <v>3</v>
      </c>
      <c r="E276" s="43" t="s">
        <v>567</v>
      </c>
      <c r="F276" s="43" t="s">
        <v>568</v>
      </c>
      <c r="G276" s="44">
        <v>90</v>
      </c>
      <c r="H276" s="43" t="s">
        <v>569</v>
      </c>
      <c r="I276" s="45" t="s">
        <v>569</v>
      </c>
      <c r="J276" s="45" t="s">
        <v>546</v>
      </c>
      <c r="K276" s="116">
        <v>134.18</v>
      </c>
      <c r="L276" s="116">
        <v>134.18</v>
      </c>
      <c r="M276" s="116"/>
      <c r="N276" s="116">
        <v>200</v>
      </c>
      <c r="O276" s="116">
        <v>177.44</v>
      </c>
      <c r="P276" s="116"/>
      <c r="Q276" s="116"/>
      <c r="R276" s="116"/>
      <c r="S276" s="46">
        <v>645.79999999999995</v>
      </c>
      <c r="T276" s="117"/>
      <c r="U276" s="56" t="s">
        <v>949</v>
      </c>
      <c r="V276" s="105" t="s">
        <v>571</v>
      </c>
    </row>
    <row r="277" spans="1:22" s="18" customFormat="1" ht="17.25" x14ac:dyDescent="0.3">
      <c r="A277" s="39">
        <v>14118992</v>
      </c>
      <c r="B277" s="40" t="s">
        <v>226</v>
      </c>
      <c r="C277" s="41" t="s">
        <v>605</v>
      </c>
      <c r="D277" s="42" t="s">
        <v>3</v>
      </c>
      <c r="E277" s="43" t="s">
        <v>567</v>
      </c>
      <c r="F277" s="43" t="s">
        <v>568</v>
      </c>
      <c r="G277" s="44"/>
      <c r="H277" s="43" t="s">
        <v>571</v>
      </c>
      <c r="I277" s="45" t="s">
        <v>569</v>
      </c>
      <c r="J277" s="45" t="s">
        <v>573</v>
      </c>
      <c r="K277" s="116">
        <v>0</v>
      </c>
      <c r="L277" s="116">
        <v>0</v>
      </c>
      <c r="M277" s="116"/>
      <c r="N277" s="116">
        <v>0</v>
      </c>
      <c r="O277" s="116">
        <v>0</v>
      </c>
      <c r="P277" s="116"/>
      <c r="Q277" s="116"/>
      <c r="R277" s="116"/>
      <c r="S277" s="46">
        <v>0</v>
      </c>
      <c r="T277" s="117"/>
      <c r="U277" s="56" t="s">
        <v>571</v>
      </c>
      <c r="V277" s="105" t="s">
        <v>571</v>
      </c>
    </row>
    <row r="278" spans="1:22" s="18" customFormat="1" ht="17.25" x14ac:dyDescent="0.3">
      <c r="A278" s="40">
        <v>14119017</v>
      </c>
      <c r="B278" s="49" t="s">
        <v>227</v>
      </c>
      <c r="C278" s="41" t="s">
        <v>789</v>
      </c>
      <c r="D278" s="42" t="s">
        <v>3</v>
      </c>
      <c r="E278" s="43" t="s">
        <v>567</v>
      </c>
      <c r="F278" s="43" t="s">
        <v>568</v>
      </c>
      <c r="G278" s="44"/>
      <c r="H278" s="43" t="s">
        <v>571</v>
      </c>
      <c r="I278" s="45" t="s">
        <v>569</v>
      </c>
      <c r="J278" s="45" t="s">
        <v>573</v>
      </c>
      <c r="K278" s="116">
        <v>0</v>
      </c>
      <c r="L278" s="116">
        <v>0</v>
      </c>
      <c r="M278" s="116"/>
      <c r="N278" s="116">
        <v>0</v>
      </c>
      <c r="O278" s="116">
        <v>0</v>
      </c>
      <c r="P278" s="116"/>
      <c r="Q278" s="116"/>
      <c r="R278" s="116"/>
      <c r="S278" s="46">
        <v>0</v>
      </c>
      <c r="T278" s="117"/>
      <c r="U278" s="56" t="s">
        <v>571</v>
      </c>
      <c r="V278" s="105" t="s">
        <v>571</v>
      </c>
    </row>
    <row r="279" spans="1:22" s="18" customFormat="1" ht="17.25" x14ac:dyDescent="0.3">
      <c r="A279" s="40">
        <v>14119018</v>
      </c>
      <c r="B279" s="40" t="s">
        <v>228</v>
      </c>
      <c r="C279" s="41" t="s">
        <v>789</v>
      </c>
      <c r="D279" s="42" t="s">
        <v>3</v>
      </c>
      <c r="E279" s="43" t="s">
        <v>567</v>
      </c>
      <c r="F279" s="43" t="s">
        <v>568</v>
      </c>
      <c r="G279" s="44">
        <v>93</v>
      </c>
      <c r="H279" s="43" t="s">
        <v>569</v>
      </c>
      <c r="I279" s="45" t="s">
        <v>571</v>
      </c>
      <c r="J279" s="45" t="s">
        <v>546</v>
      </c>
      <c r="K279" s="116">
        <v>134.18</v>
      </c>
      <c r="L279" s="116">
        <v>134.18</v>
      </c>
      <c r="M279" s="116"/>
      <c r="N279" s="116">
        <v>0</v>
      </c>
      <c r="O279" s="116">
        <v>0</v>
      </c>
      <c r="P279" s="116"/>
      <c r="Q279" s="116"/>
      <c r="R279" s="116"/>
      <c r="S279" s="46">
        <v>268.36</v>
      </c>
      <c r="T279" s="117"/>
      <c r="U279" s="56" t="s">
        <v>949</v>
      </c>
      <c r="V279" s="105" t="s">
        <v>571</v>
      </c>
    </row>
    <row r="280" spans="1:22" s="18" customFormat="1" ht="17.25" x14ac:dyDescent="0.3">
      <c r="A280" s="40">
        <v>14119057</v>
      </c>
      <c r="B280" s="48" t="s">
        <v>229</v>
      </c>
      <c r="C280" s="41" t="s">
        <v>790</v>
      </c>
      <c r="D280" s="42" t="s">
        <v>3</v>
      </c>
      <c r="E280" s="43" t="s">
        <v>567</v>
      </c>
      <c r="F280" s="43" t="s">
        <v>568</v>
      </c>
      <c r="G280" s="44">
        <v>62</v>
      </c>
      <c r="H280" s="43" t="s">
        <v>571</v>
      </c>
      <c r="I280" s="45" t="s">
        <v>571</v>
      </c>
      <c r="J280" s="45" t="s">
        <v>546</v>
      </c>
      <c r="K280" s="116">
        <v>134.18</v>
      </c>
      <c r="L280" s="116">
        <v>134.18</v>
      </c>
      <c r="M280" s="116"/>
      <c r="N280" s="116">
        <v>0</v>
      </c>
      <c r="O280" s="116">
        <v>0</v>
      </c>
      <c r="P280" s="116"/>
      <c r="Q280" s="116"/>
      <c r="R280" s="116"/>
      <c r="S280" s="46">
        <v>268.36</v>
      </c>
      <c r="T280" s="117"/>
      <c r="U280" s="56" t="s">
        <v>949</v>
      </c>
      <c r="V280" s="105" t="s">
        <v>571</v>
      </c>
    </row>
    <row r="281" spans="1:22" s="18" customFormat="1" ht="17.25" x14ac:dyDescent="0.3">
      <c r="A281" s="39">
        <v>14119076</v>
      </c>
      <c r="B281" s="40" t="s">
        <v>230</v>
      </c>
      <c r="C281" s="41" t="s">
        <v>791</v>
      </c>
      <c r="D281" s="42" t="s">
        <v>3</v>
      </c>
      <c r="E281" s="43" t="s">
        <v>567</v>
      </c>
      <c r="F281" s="43" t="s">
        <v>568</v>
      </c>
      <c r="G281" s="44">
        <v>95</v>
      </c>
      <c r="H281" s="43" t="s">
        <v>569</v>
      </c>
      <c r="I281" s="45" t="s">
        <v>571</v>
      </c>
      <c r="J281" s="45" t="s">
        <v>546</v>
      </c>
      <c r="K281" s="116">
        <v>134.18</v>
      </c>
      <c r="L281" s="116">
        <v>134.18</v>
      </c>
      <c r="M281" s="116"/>
      <c r="N281" s="116">
        <v>0</v>
      </c>
      <c r="O281" s="116">
        <v>0</v>
      </c>
      <c r="P281" s="116"/>
      <c r="Q281" s="116"/>
      <c r="R281" s="116"/>
      <c r="S281" s="46">
        <v>268.36</v>
      </c>
      <c r="T281" s="117"/>
      <c r="U281" s="56" t="s">
        <v>949</v>
      </c>
      <c r="V281" s="105" t="s">
        <v>571</v>
      </c>
    </row>
    <row r="282" spans="1:22" s="18" customFormat="1" ht="17.25" x14ac:dyDescent="0.3">
      <c r="A282" s="39">
        <v>14119153</v>
      </c>
      <c r="B282" s="40" t="s">
        <v>231</v>
      </c>
      <c r="C282" s="41" t="s">
        <v>792</v>
      </c>
      <c r="D282" s="42" t="s">
        <v>3</v>
      </c>
      <c r="E282" s="43" t="s">
        <v>567</v>
      </c>
      <c r="F282" s="43" t="s">
        <v>568</v>
      </c>
      <c r="G282" s="44">
        <v>88</v>
      </c>
      <c r="H282" s="43" t="s">
        <v>571</v>
      </c>
      <c r="I282" s="45" t="s">
        <v>571</v>
      </c>
      <c r="J282" s="45" t="s">
        <v>546</v>
      </c>
      <c r="K282" s="116">
        <v>134.18</v>
      </c>
      <c r="L282" s="116">
        <v>134.18</v>
      </c>
      <c r="M282" s="116"/>
      <c r="N282" s="116">
        <v>0</v>
      </c>
      <c r="O282" s="116">
        <v>0</v>
      </c>
      <c r="P282" s="116"/>
      <c r="Q282" s="116"/>
      <c r="R282" s="116"/>
      <c r="S282" s="46">
        <v>268.36</v>
      </c>
      <c r="T282" s="117"/>
      <c r="U282" s="56" t="s">
        <v>949</v>
      </c>
      <c r="V282" s="105" t="s">
        <v>571</v>
      </c>
    </row>
    <row r="283" spans="1:22" s="18" customFormat="1" ht="17.25" x14ac:dyDescent="0.3">
      <c r="A283" s="40">
        <v>14119154</v>
      </c>
      <c r="B283" s="40" t="s">
        <v>232</v>
      </c>
      <c r="C283" s="41" t="s">
        <v>792</v>
      </c>
      <c r="D283" s="42" t="s">
        <v>3</v>
      </c>
      <c r="E283" s="43" t="s">
        <v>950</v>
      </c>
      <c r="F283" s="43" t="s">
        <v>568</v>
      </c>
      <c r="G283" s="44">
        <v>91</v>
      </c>
      <c r="H283" s="43" t="s">
        <v>569</v>
      </c>
      <c r="I283" s="45" t="s">
        <v>569</v>
      </c>
      <c r="J283" s="45" t="s">
        <v>573</v>
      </c>
      <c r="K283" s="116">
        <v>0</v>
      </c>
      <c r="L283" s="116">
        <v>0</v>
      </c>
      <c r="M283" s="116"/>
      <c r="N283" s="116">
        <v>0</v>
      </c>
      <c r="O283" s="116">
        <v>0</v>
      </c>
      <c r="P283" s="116"/>
      <c r="Q283" s="116"/>
      <c r="R283" s="116"/>
      <c r="S283" s="46">
        <v>0</v>
      </c>
      <c r="T283" s="117"/>
      <c r="U283" s="56" t="s">
        <v>571</v>
      </c>
      <c r="V283" s="105" t="s">
        <v>571</v>
      </c>
    </row>
    <row r="284" spans="1:22" s="18" customFormat="1" ht="17.25" x14ac:dyDescent="0.3">
      <c r="A284" s="39">
        <v>14119155</v>
      </c>
      <c r="B284" s="40" t="s">
        <v>233</v>
      </c>
      <c r="C284" s="41" t="s">
        <v>792</v>
      </c>
      <c r="D284" s="42" t="s">
        <v>3</v>
      </c>
      <c r="E284" s="43" t="s">
        <v>567</v>
      </c>
      <c r="F284" s="43" t="s">
        <v>568</v>
      </c>
      <c r="G284" s="44">
        <v>93</v>
      </c>
      <c r="H284" s="43" t="s">
        <v>569</v>
      </c>
      <c r="I284" s="45" t="s">
        <v>571</v>
      </c>
      <c r="J284" s="45" t="s">
        <v>546</v>
      </c>
      <c r="K284" s="116">
        <v>134.18</v>
      </c>
      <c r="L284" s="116">
        <v>134.18</v>
      </c>
      <c r="M284" s="116"/>
      <c r="N284" s="116">
        <v>0</v>
      </c>
      <c r="O284" s="116">
        <v>0</v>
      </c>
      <c r="P284" s="116"/>
      <c r="Q284" s="116"/>
      <c r="R284" s="116"/>
      <c r="S284" s="46">
        <v>268.36</v>
      </c>
      <c r="T284" s="117"/>
      <c r="U284" s="56" t="s">
        <v>949</v>
      </c>
      <c r="V284" s="105" t="s">
        <v>571</v>
      </c>
    </row>
    <row r="285" spans="1:22" s="18" customFormat="1" ht="17.25" x14ac:dyDescent="0.3">
      <c r="A285" s="39">
        <v>14119175</v>
      </c>
      <c r="B285" s="40" t="s">
        <v>236</v>
      </c>
      <c r="C285" s="41" t="s">
        <v>793</v>
      </c>
      <c r="D285" s="42" t="s">
        <v>3</v>
      </c>
      <c r="E285" s="43" t="s">
        <v>567</v>
      </c>
      <c r="F285" s="43" t="s">
        <v>568</v>
      </c>
      <c r="G285" s="44">
        <v>91</v>
      </c>
      <c r="H285" s="43" t="s">
        <v>569</v>
      </c>
      <c r="I285" s="45" t="s">
        <v>571</v>
      </c>
      <c r="J285" s="45" t="s">
        <v>546</v>
      </c>
      <c r="K285" s="116">
        <v>134.18</v>
      </c>
      <c r="L285" s="116">
        <v>134.18</v>
      </c>
      <c r="M285" s="116"/>
      <c r="N285" s="116">
        <v>0</v>
      </c>
      <c r="O285" s="116">
        <v>0</v>
      </c>
      <c r="P285" s="116"/>
      <c r="Q285" s="116"/>
      <c r="R285" s="116"/>
      <c r="S285" s="46">
        <v>268.36</v>
      </c>
      <c r="T285" s="117"/>
      <c r="U285" s="56" t="s">
        <v>949</v>
      </c>
      <c r="V285" s="105" t="s">
        <v>571</v>
      </c>
    </row>
    <row r="286" spans="1:22" s="18" customFormat="1" ht="17.25" x14ac:dyDescent="0.3">
      <c r="A286" s="40">
        <v>14119271</v>
      </c>
      <c r="B286" s="40" t="s">
        <v>238</v>
      </c>
      <c r="C286" s="41" t="s">
        <v>794</v>
      </c>
      <c r="D286" s="42" t="s">
        <v>3</v>
      </c>
      <c r="E286" s="43" t="s">
        <v>567</v>
      </c>
      <c r="F286" s="43" t="s">
        <v>568</v>
      </c>
      <c r="G286" s="44">
        <v>91</v>
      </c>
      <c r="H286" s="43" t="s">
        <v>569</v>
      </c>
      <c r="I286" s="45" t="s">
        <v>571</v>
      </c>
      <c r="J286" s="45" t="s">
        <v>546</v>
      </c>
      <c r="K286" s="116">
        <v>134.18</v>
      </c>
      <c r="L286" s="116">
        <v>134.18</v>
      </c>
      <c r="M286" s="116"/>
      <c r="N286" s="116">
        <v>0</v>
      </c>
      <c r="O286" s="116">
        <v>0</v>
      </c>
      <c r="P286" s="116"/>
      <c r="Q286" s="116"/>
      <c r="R286" s="116"/>
      <c r="S286" s="46">
        <v>268.36</v>
      </c>
      <c r="T286" s="117"/>
      <c r="U286" s="56" t="s">
        <v>949</v>
      </c>
      <c r="V286" s="105" t="s">
        <v>571</v>
      </c>
    </row>
    <row r="287" spans="1:22" s="18" customFormat="1" ht="17.25" x14ac:dyDescent="0.3">
      <c r="A287" s="39">
        <v>14119323</v>
      </c>
      <c r="B287" s="40" t="s">
        <v>240</v>
      </c>
      <c r="C287" s="41" t="s">
        <v>795</v>
      </c>
      <c r="D287" s="42" t="s">
        <v>3</v>
      </c>
      <c r="E287" s="43" t="s">
        <v>567</v>
      </c>
      <c r="F287" s="43" t="s">
        <v>568</v>
      </c>
      <c r="G287" s="44">
        <v>93</v>
      </c>
      <c r="H287" s="43" t="s">
        <v>569</v>
      </c>
      <c r="I287" s="45" t="s">
        <v>569</v>
      </c>
      <c r="J287" s="45" t="s">
        <v>573</v>
      </c>
      <c r="K287" s="116">
        <v>0</v>
      </c>
      <c r="L287" s="116">
        <v>0</v>
      </c>
      <c r="M287" s="116"/>
      <c r="N287" s="116">
        <v>0</v>
      </c>
      <c r="O287" s="116">
        <v>0</v>
      </c>
      <c r="P287" s="116"/>
      <c r="Q287" s="116"/>
      <c r="R287" s="116"/>
      <c r="S287" s="46">
        <v>0</v>
      </c>
      <c r="T287" s="117"/>
      <c r="U287" s="56" t="s">
        <v>571</v>
      </c>
      <c r="V287" s="105" t="s">
        <v>571</v>
      </c>
    </row>
    <row r="288" spans="1:22" s="18" customFormat="1" ht="17.25" x14ac:dyDescent="0.3">
      <c r="A288" s="40">
        <v>14119324</v>
      </c>
      <c r="B288" s="40" t="s">
        <v>241</v>
      </c>
      <c r="C288" s="41" t="s">
        <v>795</v>
      </c>
      <c r="D288" s="42" t="s">
        <v>3</v>
      </c>
      <c r="E288" s="43" t="s">
        <v>567</v>
      </c>
      <c r="F288" s="43" t="s">
        <v>568</v>
      </c>
      <c r="G288" s="44">
        <v>81</v>
      </c>
      <c r="H288" s="43" t="s">
        <v>571</v>
      </c>
      <c r="I288" s="45" t="s">
        <v>571</v>
      </c>
      <c r="J288" s="45" t="s">
        <v>546</v>
      </c>
      <c r="K288" s="116">
        <v>134.18</v>
      </c>
      <c r="L288" s="116">
        <v>134.18</v>
      </c>
      <c r="M288" s="116"/>
      <c r="N288" s="116">
        <v>0</v>
      </c>
      <c r="O288" s="116">
        <v>0</v>
      </c>
      <c r="P288" s="116"/>
      <c r="Q288" s="116"/>
      <c r="R288" s="116"/>
      <c r="S288" s="46">
        <v>268.36</v>
      </c>
      <c r="T288" s="117"/>
      <c r="U288" s="56" t="s">
        <v>949</v>
      </c>
      <c r="V288" s="105" t="s">
        <v>571</v>
      </c>
    </row>
    <row r="289" spans="1:22" s="18" customFormat="1" ht="17.25" x14ac:dyDescent="0.3">
      <c r="A289" s="40">
        <v>14119357</v>
      </c>
      <c r="B289" s="40" t="s">
        <v>243</v>
      </c>
      <c r="C289" s="41" t="s">
        <v>796</v>
      </c>
      <c r="D289" s="42" t="s">
        <v>3</v>
      </c>
      <c r="E289" s="43" t="s">
        <v>567</v>
      </c>
      <c r="F289" s="43" t="s">
        <v>568</v>
      </c>
      <c r="G289" s="44">
        <v>95</v>
      </c>
      <c r="H289" s="43" t="s">
        <v>569</v>
      </c>
      <c r="I289" s="45" t="s">
        <v>569</v>
      </c>
      <c r="J289" s="45" t="s">
        <v>546</v>
      </c>
      <c r="K289" s="116">
        <v>134.18</v>
      </c>
      <c r="L289" s="116">
        <v>134.18</v>
      </c>
      <c r="M289" s="116"/>
      <c r="N289" s="116">
        <v>200</v>
      </c>
      <c r="O289" s="116">
        <v>177.44</v>
      </c>
      <c r="P289" s="116"/>
      <c r="Q289" s="116"/>
      <c r="R289" s="116"/>
      <c r="S289" s="46">
        <v>645.79999999999995</v>
      </c>
      <c r="T289" s="117"/>
      <c r="U289" s="56" t="s">
        <v>949</v>
      </c>
      <c r="V289" s="105" t="s">
        <v>571</v>
      </c>
    </row>
    <row r="290" spans="1:22" s="18" customFormat="1" ht="17.25" x14ac:dyDescent="0.3">
      <c r="A290" s="40">
        <v>14119437</v>
      </c>
      <c r="B290" s="48" t="s">
        <v>245</v>
      </c>
      <c r="C290" s="41" t="s">
        <v>750</v>
      </c>
      <c r="D290" s="42" t="s">
        <v>3</v>
      </c>
      <c r="E290" s="43" t="s">
        <v>567</v>
      </c>
      <c r="F290" s="43" t="s">
        <v>568</v>
      </c>
      <c r="G290" s="44">
        <v>94</v>
      </c>
      <c r="H290" s="43" t="s">
        <v>569</v>
      </c>
      <c r="I290" s="45" t="s">
        <v>569</v>
      </c>
      <c r="J290" s="45" t="s">
        <v>546</v>
      </c>
      <c r="K290" s="116">
        <v>134.18</v>
      </c>
      <c r="L290" s="116">
        <v>134.18</v>
      </c>
      <c r="M290" s="116"/>
      <c r="N290" s="116">
        <v>200</v>
      </c>
      <c r="O290" s="116">
        <v>177.44</v>
      </c>
      <c r="P290" s="116"/>
      <c r="Q290" s="116"/>
      <c r="R290" s="116"/>
      <c r="S290" s="46">
        <v>645.79999999999995</v>
      </c>
      <c r="T290" s="117"/>
      <c r="U290" s="56" t="s">
        <v>949</v>
      </c>
      <c r="V290" s="105" t="s">
        <v>571</v>
      </c>
    </row>
    <row r="291" spans="1:22" s="18" customFormat="1" ht="17.25" x14ac:dyDescent="0.3">
      <c r="A291" s="39">
        <v>14119481</v>
      </c>
      <c r="B291" s="40" t="s">
        <v>246</v>
      </c>
      <c r="C291" s="41" t="s">
        <v>797</v>
      </c>
      <c r="D291" s="42" t="s">
        <v>3</v>
      </c>
      <c r="E291" s="43" t="s">
        <v>567</v>
      </c>
      <c r="F291" s="43" t="s">
        <v>730</v>
      </c>
      <c r="G291" s="44">
        <v>89</v>
      </c>
      <c r="H291" s="43" t="s">
        <v>571</v>
      </c>
      <c r="I291" s="45" t="s">
        <v>569</v>
      </c>
      <c r="J291" s="45" t="s">
        <v>546</v>
      </c>
      <c r="K291" s="116">
        <v>134.18</v>
      </c>
      <c r="L291" s="116">
        <v>0</v>
      </c>
      <c r="M291" s="116"/>
      <c r="N291" s="116">
        <v>0</v>
      </c>
      <c r="O291" s="116">
        <v>177.44</v>
      </c>
      <c r="P291" s="116"/>
      <c r="Q291" s="116"/>
      <c r="R291" s="116"/>
      <c r="S291" s="46">
        <v>311.62</v>
      </c>
      <c r="T291" s="117"/>
      <c r="U291" s="56" t="s">
        <v>949</v>
      </c>
      <c r="V291" s="105" t="s">
        <v>571</v>
      </c>
    </row>
    <row r="292" spans="1:22" s="18" customFormat="1" ht="17.25" x14ac:dyDescent="0.3">
      <c r="A292" s="40">
        <v>14119482</v>
      </c>
      <c r="B292" s="40" t="s">
        <v>247</v>
      </c>
      <c r="C292" s="41" t="s">
        <v>797</v>
      </c>
      <c r="D292" s="42" t="s">
        <v>3</v>
      </c>
      <c r="E292" s="43" t="s">
        <v>567</v>
      </c>
      <c r="F292" s="43" t="s">
        <v>568</v>
      </c>
      <c r="G292" s="44">
        <v>92</v>
      </c>
      <c r="H292" s="43" t="s">
        <v>569</v>
      </c>
      <c r="I292" s="45" t="s">
        <v>569</v>
      </c>
      <c r="J292" s="45" t="s">
        <v>546</v>
      </c>
      <c r="K292" s="116">
        <v>134.18</v>
      </c>
      <c r="L292" s="116">
        <v>134.18</v>
      </c>
      <c r="M292" s="116"/>
      <c r="N292" s="116">
        <v>200</v>
      </c>
      <c r="O292" s="116">
        <v>177.44</v>
      </c>
      <c r="P292" s="116"/>
      <c r="Q292" s="116"/>
      <c r="R292" s="116"/>
      <c r="S292" s="46">
        <v>645.79999999999995</v>
      </c>
      <c r="T292" s="117"/>
      <c r="U292" s="56" t="s">
        <v>949</v>
      </c>
      <c r="V292" s="105" t="s">
        <v>571</v>
      </c>
    </row>
    <row r="293" spans="1:22" s="18" customFormat="1" ht="17.25" x14ac:dyDescent="0.3">
      <c r="A293" s="39">
        <v>14119483</v>
      </c>
      <c r="B293" s="48" t="s">
        <v>248</v>
      </c>
      <c r="C293" s="41" t="s">
        <v>797</v>
      </c>
      <c r="D293" s="42" t="s">
        <v>3</v>
      </c>
      <c r="E293" s="43" t="s">
        <v>567</v>
      </c>
      <c r="F293" s="43" t="s">
        <v>568</v>
      </c>
      <c r="G293" s="44">
        <v>69</v>
      </c>
      <c r="H293" s="43" t="s">
        <v>571</v>
      </c>
      <c r="I293" s="45" t="s">
        <v>569</v>
      </c>
      <c r="J293" s="45" t="s">
        <v>573</v>
      </c>
      <c r="K293" s="116">
        <v>0</v>
      </c>
      <c r="L293" s="116">
        <v>0</v>
      </c>
      <c r="M293" s="116"/>
      <c r="N293" s="116">
        <v>0</v>
      </c>
      <c r="O293" s="116">
        <v>0</v>
      </c>
      <c r="P293" s="116"/>
      <c r="Q293" s="116"/>
      <c r="R293" s="116"/>
      <c r="S293" s="46">
        <v>0</v>
      </c>
      <c r="T293" s="117"/>
      <c r="U293" s="56" t="s">
        <v>571</v>
      </c>
      <c r="V293" s="105" t="s">
        <v>571</v>
      </c>
    </row>
    <row r="294" spans="1:22" s="18" customFormat="1" ht="17.25" x14ac:dyDescent="0.3">
      <c r="A294" s="39">
        <v>14119517</v>
      </c>
      <c r="B294" s="40" t="s">
        <v>251</v>
      </c>
      <c r="C294" s="41" t="s">
        <v>581</v>
      </c>
      <c r="D294" s="42" t="s">
        <v>3</v>
      </c>
      <c r="E294" s="43" t="s">
        <v>567</v>
      </c>
      <c r="F294" s="43" t="s">
        <v>568</v>
      </c>
      <c r="G294" s="44">
        <v>80</v>
      </c>
      <c r="H294" s="43" t="s">
        <v>571</v>
      </c>
      <c r="I294" s="45" t="s">
        <v>571</v>
      </c>
      <c r="J294" s="45" t="s">
        <v>546</v>
      </c>
      <c r="K294" s="116">
        <v>134.18</v>
      </c>
      <c r="L294" s="116">
        <v>134.18</v>
      </c>
      <c r="M294" s="116"/>
      <c r="N294" s="116">
        <v>0</v>
      </c>
      <c r="O294" s="116">
        <v>0</v>
      </c>
      <c r="P294" s="116"/>
      <c r="Q294" s="116"/>
      <c r="R294" s="116"/>
      <c r="S294" s="46">
        <v>268.36</v>
      </c>
      <c r="T294" s="117"/>
      <c r="U294" s="56" t="s">
        <v>949</v>
      </c>
      <c r="V294" s="105" t="s">
        <v>571</v>
      </c>
    </row>
    <row r="295" spans="1:22" s="18" customFormat="1" ht="17.25" x14ac:dyDescent="0.3">
      <c r="A295" s="39">
        <v>14119539</v>
      </c>
      <c r="B295" s="48" t="s">
        <v>252</v>
      </c>
      <c r="C295" s="41" t="s">
        <v>687</v>
      </c>
      <c r="D295" s="42" t="s">
        <v>3</v>
      </c>
      <c r="E295" s="43" t="s">
        <v>567</v>
      </c>
      <c r="F295" s="43" t="s">
        <v>568</v>
      </c>
      <c r="G295" s="44">
        <v>94</v>
      </c>
      <c r="H295" s="43" t="s">
        <v>569</v>
      </c>
      <c r="I295" s="45" t="s">
        <v>569</v>
      </c>
      <c r="J295" s="45" t="s">
        <v>546</v>
      </c>
      <c r="K295" s="116">
        <v>134.18</v>
      </c>
      <c r="L295" s="116">
        <v>134.18</v>
      </c>
      <c r="M295" s="116"/>
      <c r="N295" s="116">
        <v>200</v>
      </c>
      <c r="O295" s="116">
        <v>177.44</v>
      </c>
      <c r="P295" s="116"/>
      <c r="Q295" s="116"/>
      <c r="R295" s="116"/>
      <c r="S295" s="46">
        <v>645.79999999999995</v>
      </c>
      <c r="T295" s="117"/>
      <c r="U295" s="56" t="s">
        <v>949</v>
      </c>
      <c r="V295" s="105" t="s">
        <v>571</v>
      </c>
    </row>
    <row r="296" spans="1:22" s="18" customFormat="1" ht="17.25" x14ac:dyDescent="0.3">
      <c r="A296" s="39">
        <v>14119540</v>
      </c>
      <c r="B296" s="40" t="s">
        <v>253</v>
      </c>
      <c r="C296" s="41" t="s">
        <v>687</v>
      </c>
      <c r="D296" s="42" t="s">
        <v>3</v>
      </c>
      <c r="E296" s="43" t="s">
        <v>567</v>
      </c>
      <c r="F296" s="43" t="s">
        <v>568</v>
      </c>
      <c r="G296" s="44">
        <v>94</v>
      </c>
      <c r="H296" s="43" t="s">
        <v>569</v>
      </c>
      <c r="I296" s="45" t="s">
        <v>569</v>
      </c>
      <c r="J296" s="45" t="s">
        <v>546</v>
      </c>
      <c r="K296" s="116">
        <v>134.18</v>
      </c>
      <c r="L296" s="116">
        <v>134.18</v>
      </c>
      <c r="M296" s="116"/>
      <c r="N296" s="116">
        <v>200</v>
      </c>
      <c r="O296" s="116">
        <v>177.44</v>
      </c>
      <c r="P296" s="116"/>
      <c r="Q296" s="116"/>
      <c r="R296" s="116"/>
      <c r="S296" s="46">
        <v>645.79999999999995</v>
      </c>
      <c r="T296" s="117"/>
      <c r="U296" s="56" t="s">
        <v>949</v>
      </c>
      <c r="V296" s="105" t="s">
        <v>571</v>
      </c>
    </row>
    <row r="297" spans="1:22" s="18" customFormat="1" ht="17.25" x14ac:dyDescent="0.3">
      <c r="A297" s="40">
        <v>14119598</v>
      </c>
      <c r="B297" s="40" t="s">
        <v>254</v>
      </c>
      <c r="C297" s="41" t="s">
        <v>798</v>
      </c>
      <c r="D297" s="42" t="s">
        <v>3</v>
      </c>
      <c r="E297" s="43" t="s">
        <v>567</v>
      </c>
      <c r="F297" s="43" t="s">
        <v>568</v>
      </c>
      <c r="G297" s="44">
        <v>93</v>
      </c>
      <c r="H297" s="43" t="s">
        <v>569</v>
      </c>
      <c r="I297" s="45" t="s">
        <v>571</v>
      </c>
      <c r="J297" s="45" t="s">
        <v>546</v>
      </c>
      <c r="K297" s="116">
        <v>134.18</v>
      </c>
      <c r="L297" s="116">
        <v>134.18</v>
      </c>
      <c r="M297" s="116"/>
      <c r="N297" s="116">
        <v>0</v>
      </c>
      <c r="O297" s="116">
        <v>0</v>
      </c>
      <c r="P297" s="116"/>
      <c r="Q297" s="116"/>
      <c r="R297" s="116"/>
      <c r="S297" s="46">
        <v>268.36</v>
      </c>
      <c r="T297" s="117"/>
      <c r="U297" s="56" t="s">
        <v>949</v>
      </c>
      <c r="V297" s="105" t="s">
        <v>571</v>
      </c>
    </row>
    <row r="298" spans="1:22" s="18" customFormat="1" ht="17.25" x14ac:dyDescent="0.3">
      <c r="A298" s="39">
        <v>14119701</v>
      </c>
      <c r="B298" s="40" t="s">
        <v>256</v>
      </c>
      <c r="C298" s="41" t="s">
        <v>745</v>
      </c>
      <c r="D298" s="42" t="s">
        <v>3</v>
      </c>
      <c r="E298" s="43" t="s">
        <v>567</v>
      </c>
      <c r="F298" s="43" t="s">
        <v>568</v>
      </c>
      <c r="G298" s="44">
        <v>86</v>
      </c>
      <c r="H298" s="43" t="s">
        <v>571</v>
      </c>
      <c r="I298" s="45" t="s">
        <v>569</v>
      </c>
      <c r="J298" s="45" t="s">
        <v>546</v>
      </c>
      <c r="K298" s="116">
        <v>134.18</v>
      </c>
      <c r="L298" s="116">
        <v>134.18</v>
      </c>
      <c r="M298" s="116"/>
      <c r="N298" s="116">
        <v>0</v>
      </c>
      <c r="O298" s="116">
        <v>177.44</v>
      </c>
      <c r="P298" s="116"/>
      <c r="Q298" s="116"/>
      <c r="R298" s="116"/>
      <c r="S298" s="46">
        <v>445.8</v>
      </c>
      <c r="T298" s="117"/>
      <c r="U298" s="56" t="s">
        <v>949</v>
      </c>
      <c r="V298" s="47" t="s">
        <v>951</v>
      </c>
    </row>
    <row r="299" spans="1:22" s="18" customFormat="1" ht="17.25" x14ac:dyDescent="0.3">
      <c r="A299" s="39">
        <v>14119751</v>
      </c>
      <c r="B299" s="40" t="s">
        <v>257</v>
      </c>
      <c r="C299" s="41" t="s">
        <v>799</v>
      </c>
      <c r="D299" s="42" t="s">
        <v>3</v>
      </c>
      <c r="E299" s="43" t="s">
        <v>567</v>
      </c>
      <c r="F299" s="43" t="s">
        <v>568</v>
      </c>
      <c r="G299" s="44">
        <v>93</v>
      </c>
      <c r="H299" s="43" t="s">
        <v>569</v>
      </c>
      <c r="I299" s="45" t="s">
        <v>569</v>
      </c>
      <c r="J299" s="45" t="s">
        <v>546</v>
      </c>
      <c r="K299" s="116">
        <v>134.18</v>
      </c>
      <c r="L299" s="116">
        <v>134.18</v>
      </c>
      <c r="M299" s="116"/>
      <c r="N299" s="116">
        <v>200</v>
      </c>
      <c r="O299" s="116">
        <v>177.44</v>
      </c>
      <c r="P299" s="116"/>
      <c r="Q299" s="116"/>
      <c r="R299" s="116"/>
      <c r="S299" s="46">
        <v>645.79999999999995</v>
      </c>
      <c r="T299" s="117"/>
      <c r="U299" s="56" t="s">
        <v>949</v>
      </c>
      <c r="V299" s="105" t="s">
        <v>571</v>
      </c>
    </row>
    <row r="300" spans="1:22" s="18" customFormat="1" ht="17.25" x14ac:dyDescent="0.3">
      <c r="A300" s="40">
        <v>14119785</v>
      </c>
      <c r="B300" s="40" t="s">
        <v>258</v>
      </c>
      <c r="C300" s="41" t="s">
        <v>800</v>
      </c>
      <c r="D300" s="42" t="s">
        <v>3</v>
      </c>
      <c r="E300" s="43" t="s">
        <v>567</v>
      </c>
      <c r="F300" s="43" t="s">
        <v>568</v>
      </c>
      <c r="G300" s="44">
        <v>90</v>
      </c>
      <c r="H300" s="43" t="s">
        <v>569</v>
      </c>
      <c r="I300" s="45" t="s">
        <v>569</v>
      </c>
      <c r="J300" s="45" t="s">
        <v>546</v>
      </c>
      <c r="K300" s="116">
        <v>134.18</v>
      </c>
      <c r="L300" s="116">
        <v>134.18</v>
      </c>
      <c r="M300" s="116"/>
      <c r="N300" s="116">
        <v>200</v>
      </c>
      <c r="O300" s="116">
        <v>177.44</v>
      </c>
      <c r="P300" s="116"/>
      <c r="Q300" s="116"/>
      <c r="R300" s="116"/>
      <c r="S300" s="46">
        <v>645.79999999999995</v>
      </c>
      <c r="T300" s="117"/>
      <c r="U300" s="56" t="s">
        <v>949</v>
      </c>
      <c r="V300" s="105" t="s">
        <v>571</v>
      </c>
    </row>
    <row r="301" spans="1:22" s="18" customFormat="1" ht="17.25" x14ac:dyDescent="0.3">
      <c r="A301" s="39">
        <v>14119786</v>
      </c>
      <c r="B301" s="40" t="s">
        <v>259</v>
      </c>
      <c r="C301" s="41" t="s">
        <v>800</v>
      </c>
      <c r="D301" s="42" t="s">
        <v>3</v>
      </c>
      <c r="E301" s="43" t="s">
        <v>567</v>
      </c>
      <c r="F301" s="43" t="s">
        <v>568</v>
      </c>
      <c r="G301" s="44"/>
      <c r="H301" s="43" t="s">
        <v>571</v>
      </c>
      <c r="I301" s="45" t="s">
        <v>569</v>
      </c>
      <c r="J301" s="45" t="s">
        <v>573</v>
      </c>
      <c r="K301" s="116">
        <v>0</v>
      </c>
      <c r="L301" s="116">
        <v>0</v>
      </c>
      <c r="M301" s="116"/>
      <c r="N301" s="116">
        <v>0</v>
      </c>
      <c r="O301" s="116">
        <v>0</v>
      </c>
      <c r="P301" s="116"/>
      <c r="Q301" s="116"/>
      <c r="R301" s="116"/>
      <c r="S301" s="46">
        <v>0</v>
      </c>
      <c r="T301" s="117"/>
      <c r="U301" s="56" t="s">
        <v>571</v>
      </c>
      <c r="V301" s="105" t="s">
        <v>571</v>
      </c>
    </row>
    <row r="302" spans="1:22" s="18" customFormat="1" ht="17.25" x14ac:dyDescent="0.3">
      <c r="A302" s="39">
        <v>14119787</v>
      </c>
      <c r="B302" s="40" t="s">
        <v>260</v>
      </c>
      <c r="C302" s="41" t="s">
        <v>800</v>
      </c>
      <c r="D302" s="42" t="s">
        <v>3</v>
      </c>
      <c r="E302" s="43" t="s">
        <v>567</v>
      </c>
      <c r="F302" s="43" t="s">
        <v>568</v>
      </c>
      <c r="G302" s="44">
        <v>94</v>
      </c>
      <c r="H302" s="43" t="s">
        <v>569</v>
      </c>
      <c r="I302" s="45" t="s">
        <v>569</v>
      </c>
      <c r="J302" s="45" t="s">
        <v>546</v>
      </c>
      <c r="K302" s="116">
        <v>134.18</v>
      </c>
      <c r="L302" s="116">
        <v>134.18</v>
      </c>
      <c r="M302" s="116"/>
      <c r="N302" s="116">
        <v>200</v>
      </c>
      <c r="O302" s="116">
        <v>177.44</v>
      </c>
      <c r="P302" s="116"/>
      <c r="Q302" s="116"/>
      <c r="R302" s="116"/>
      <c r="S302" s="46">
        <v>645.79999999999995</v>
      </c>
      <c r="T302" s="117"/>
      <c r="U302" s="56" t="s">
        <v>949</v>
      </c>
      <c r="V302" s="105" t="s">
        <v>571</v>
      </c>
    </row>
    <row r="303" spans="1:22" s="18" customFormat="1" ht="17.25" x14ac:dyDescent="0.3">
      <c r="A303" s="39">
        <v>14119825</v>
      </c>
      <c r="B303" s="48" t="s">
        <v>262</v>
      </c>
      <c r="C303" s="41" t="s">
        <v>801</v>
      </c>
      <c r="D303" s="42" t="s">
        <v>3</v>
      </c>
      <c r="E303" s="43" t="s">
        <v>567</v>
      </c>
      <c r="F303" s="43" t="s">
        <v>568</v>
      </c>
      <c r="G303" s="44">
        <v>91</v>
      </c>
      <c r="H303" s="43" t="s">
        <v>569</v>
      </c>
      <c r="I303" s="45" t="s">
        <v>569</v>
      </c>
      <c r="J303" s="45" t="s">
        <v>546</v>
      </c>
      <c r="K303" s="116">
        <v>134.18</v>
      </c>
      <c r="L303" s="116">
        <v>134.18</v>
      </c>
      <c r="M303" s="116"/>
      <c r="N303" s="116">
        <v>200</v>
      </c>
      <c r="O303" s="116">
        <v>177.44</v>
      </c>
      <c r="P303" s="116"/>
      <c r="Q303" s="116"/>
      <c r="R303" s="116"/>
      <c r="S303" s="46">
        <v>645.79999999999995</v>
      </c>
      <c r="T303" s="117"/>
      <c r="U303" s="56" t="s">
        <v>949</v>
      </c>
      <c r="V303" s="105" t="s">
        <v>571</v>
      </c>
    </row>
    <row r="304" spans="1:22" s="18" customFormat="1" ht="17.25" x14ac:dyDescent="0.3">
      <c r="A304" s="39">
        <v>14119835</v>
      </c>
      <c r="B304" s="40" t="s">
        <v>263</v>
      </c>
      <c r="C304" s="41" t="s">
        <v>580</v>
      </c>
      <c r="D304" s="42" t="s">
        <v>3</v>
      </c>
      <c r="E304" s="43" t="s">
        <v>567</v>
      </c>
      <c r="F304" s="43" t="s">
        <v>568</v>
      </c>
      <c r="G304" s="44"/>
      <c r="H304" s="43" t="s">
        <v>571</v>
      </c>
      <c r="I304" s="45" t="s">
        <v>569</v>
      </c>
      <c r="J304" s="45" t="s">
        <v>573</v>
      </c>
      <c r="K304" s="116">
        <v>0</v>
      </c>
      <c r="L304" s="116">
        <v>0</v>
      </c>
      <c r="M304" s="116"/>
      <c r="N304" s="116">
        <v>0</v>
      </c>
      <c r="O304" s="116">
        <v>0</v>
      </c>
      <c r="P304" s="116"/>
      <c r="Q304" s="116"/>
      <c r="R304" s="116"/>
      <c r="S304" s="46">
        <v>0</v>
      </c>
      <c r="T304" s="117"/>
      <c r="U304" s="56" t="s">
        <v>571</v>
      </c>
      <c r="V304" s="105" t="s">
        <v>571</v>
      </c>
    </row>
    <row r="305" spans="1:22" s="18" customFormat="1" ht="17.25" x14ac:dyDescent="0.3">
      <c r="A305" s="39">
        <v>14119837</v>
      </c>
      <c r="B305" s="40" t="s">
        <v>264</v>
      </c>
      <c r="C305" s="41" t="s">
        <v>580</v>
      </c>
      <c r="D305" s="42" t="s">
        <v>3</v>
      </c>
      <c r="E305" s="43" t="s">
        <v>567</v>
      </c>
      <c r="F305" s="43" t="s">
        <v>568</v>
      </c>
      <c r="G305" s="44">
        <v>93</v>
      </c>
      <c r="H305" s="43" t="s">
        <v>569</v>
      </c>
      <c r="I305" s="45" t="s">
        <v>569</v>
      </c>
      <c r="J305" s="45" t="s">
        <v>546</v>
      </c>
      <c r="K305" s="116">
        <v>134.18</v>
      </c>
      <c r="L305" s="116">
        <v>134.18</v>
      </c>
      <c r="M305" s="116"/>
      <c r="N305" s="116">
        <v>200</v>
      </c>
      <c r="O305" s="116">
        <v>177.44</v>
      </c>
      <c r="P305" s="116"/>
      <c r="Q305" s="116"/>
      <c r="R305" s="116"/>
      <c r="S305" s="46">
        <v>645.79999999999995</v>
      </c>
      <c r="T305" s="117"/>
      <c r="U305" s="56" t="s">
        <v>949</v>
      </c>
      <c r="V305" s="105" t="s">
        <v>571</v>
      </c>
    </row>
    <row r="306" spans="1:22" s="18" customFormat="1" ht="17.25" x14ac:dyDescent="0.3">
      <c r="A306" s="40">
        <v>14119838</v>
      </c>
      <c r="B306" s="40" t="s">
        <v>498</v>
      </c>
      <c r="C306" s="41" t="s">
        <v>802</v>
      </c>
      <c r="D306" s="42" t="s">
        <v>3</v>
      </c>
      <c r="E306" s="43" t="s">
        <v>567</v>
      </c>
      <c r="F306" s="43" t="s">
        <v>568</v>
      </c>
      <c r="G306" s="44">
        <v>92</v>
      </c>
      <c r="H306" s="43" t="s">
        <v>569</v>
      </c>
      <c r="I306" s="45" t="s">
        <v>569</v>
      </c>
      <c r="J306" s="45" t="s">
        <v>546</v>
      </c>
      <c r="K306" s="116">
        <v>134.18</v>
      </c>
      <c r="L306" s="116">
        <v>134.18</v>
      </c>
      <c r="M306" s="116"/>
      <c r="N306" s="116">
        <v>200</v>
      </c>
      <c r="O306" s="116">
        <v>177.44</v>
      </c>
      <c r="P306" s="116"/>
      <c r="Q306" s="116"/>
      <c r="R306" s="116"/>
      <c r="S306" s="46">
        <v>645.79999999999995</v>
      </c>
      <c r="T306" s="117"/>
      <c r="U306" s="56" t="s">
        <v>949</v>
      </c>
      <c r="V306" s="105" t="s">
        <v>571</v>
      </c>
    </row>
    <row r="307" spans="1:22" s="18" customFormat="1" ht="17.25" x14ac:dyDescent="0.3">
      <c r="A307" s="39">
        <v>14119839</v>
      </c>
      <c r="B307" s="40" t="s">
        <v>265</v>
      </c>
      <c r="C307" s="41" t="s">
        <v>580</v>
      </c>
      <c r="D307" s="42" t="s">
        <v>3</v>
      </c>
      <c r="E307" s="43" t="s">
        <v>567</v>
      </c>
      <c r="F307" s="43" t="s">
        <v>568</v>
      </c>
      <c r="G307" s="44">
        <v>78</v>
      </c>
      <c r="H307" s="43" t="s">
        <v>571</v>
      </c>
      <c r="I307" s="45" t="s">
        <v>569</v>
      </c>
      <c r="J307" s="45" t="s">
        <v>573</v>
      </c>
      <c r="K307" s="116">
        <v>134.18</v>
      </c>
      <c r="L307" s="116">
        <v>134.18</v>
      </c>
      <c r="M307" s="116"/>
      <c r="N307" s="116">
        <v>0</v>
      </c>
      <c r="O307" s="116">
        <v>0</v>
      </c>
      <c r="P307" s="116"/>
      <c r="Q307" s="116"/>
      <c r="R307" s="116"/>
      <c r="S307" s="46">
        <v>268.36</v>
      </c>
      <c r="T307" s="117"/>
      <c r="U307" s="56" t="s">
        <v>949</v>
      </c>
      <c r="V307" s="105" t="s">
        <v>571</v>
      </c>
    </row>
    <row r="308" spans="1:22" s="18" customFormat="1" ht="17.25" x14ac:dyDescent="0.3">
      <c r="A308" s="39">
        <v>14119890</v>
      </c>
      <c r="B308" s="40" t="s">
        <v>266</v>
      </c>
      <c r="C308" s="41" t="s">
        <v>803</v>
      </c>
      <c r="D308" s="42" t="s">
        <v>3</v>
      </c>
      <c r="E308" s="43" t="s">
        <v>567</v>
      </c>
      <c r="F308" s="43" t="s">
        <v>568</v>
      </c>
      <c r="G308" s="44">
        <v>92</v>
      </c>
      <c r="H308" s="43" t="s">
        <v>569</v>
      </c>
      <c r="I308" s="45" t="s">
        <v>571</v>
      </c>
      <c r="J308" s="45" t="s">
        <v>573</v>
      </c>
      <c r="K308" s="116">
        <v>134.18</v>
      </c>
      <c r="L308" s="116">
        <v>134.18</v>
      </c>
      <c r="M308" s="116"/>
      <c r="N308" s="116">
        <v>0</v>
      </c>
      <c r="O308" s="116">
        <v>0</v>
      </c>
      <c r="P308" s="116"/>
      <c r="Q308" s="116"/>
      <c r="R308" s="116"/>
      <c r="S308" s="46">
        <v>268.36</v>
      </c>
      <c r="T308" s="117"/>
      <c r="U308" s="56" t="s">
        <v>949</v>
      </c>
      <c r="V308" s="105" t="s">
        <v>571</v>
      </c>
    </row>
    <row r="309" spans="1:22" s="18" customFormat="1" ht="17.25" x14ac:dyDescent="0.3">
      <c r="A309" s="39">
        <v>14119955</v>
      </c>
      <c r="B309" s="48" t="s">
        <v>268</v>
      </c>
      <c r="C309" s="41" t="s">
        <v>676</v>
      </c>
      <c r="D309" s="42" t="s">
        <v>3</v>
      </c>
      <c r="E309" s="43" t="s">
        <v>567</v>
      </c>
      <c r="F309" s="43" t="s">
        <v>568</v>
      </c>
      <c r="G309" s="44"/>
      <c r="H309" s="43" t="s">
        <v>571</v>
      </c>
      <c r="I309" s="45" t="s">
        <v>569</v>
      </c>
      <c r="J309" s="45" t="s">
        <v>573</v>
      </c>
      <c r="K309" s="116">
        <v>0</v>
      </c>
      <c r="L309" s="116">
        <v>0</v>
      </c>
      <c r="M309" s="116"/>
      <c r="N309" s="116">
        <v>0</v>
      </c>
      <c r="O309" s="116">
        <v>0</v>
      </c>
      <c r="P309" s="116"/>
      <c r="Q309" s="116"/>
      <c r="R309" s="116"/>
      <c r="S309" s="46">
        <v>0</v>
      </c>
      <c r="T309" s="117"/>
      <c r="U309" s="56" t="s">
        <v>571</v>
      </c>
      <c r="V309" s="105" t="s">
        <v>571</v>
      </c>
    </row>
    <row r="310" spans="1:22" s="18" customFormat="1" ht="17.25" x14ac:dyDescent="0.3">
      <c r="A310" s="39">
        <v>14119956</v>
      </c>
      <c r="B310" s="40" t="s">
        <v>269</v>
      </c>
      <c r="C310" s="41" t="s">
        <v>676</v>
      </c>
      <c r="D310" s="42" t="s">
        <v>3</v>
      </c>
      <c r="E310" s="43" t="s">
        <v>567</v>
      </c>
      <c r="F310" s="43" t="s">
        <v>568</v>
      </c>
      <c r="G310" s="44">
        <v>81</v>
      </c>
      <c r="H310" s="43" t="s">
        <v>571</v>
      </c>
      <c r="I310" s="45" t="s">
        <v>571</v>
      </c>
      <c r="J310" s="45" t="s">
        <v>546</v>
      </c>
      <c r="K310" s="116">
        <v>134.18</v>
      </c>
      <c r="L310" s="116">
        <v>134.18</v>
      </c>
      <c r="M310" s="116"/>
      <c r="N310" s="116">
        <v>0</v>
      </c>
      <c r="O310" s="116">
        <v>0</v>
      </c>
      <c r="P310" s="116"/>
      <c r="Q310" s="116"/>
      <c r="R310" s="116"/>
      <c r="S310" s="46">
        <v>268.36</v>
      </c>
      <c r="T310" s="117"/>
      <c r="U310" s="56" t="s">
        <v>949</v>
      </c>
      <c r="V310" s="105" t="s">
        <v>571</v>
      </c>
    </row>
    <row r="311" spans="1:22" s="18" customFormat="1" ht="17.25" x14ac:dyDescent="0.3">
      <c r="A311" s="39">
        <v>14119958</v>
      </c>
      <c r="B311" s="40" t="s">
        <v>270</v>
      </c>
      <c r="C311" s="41" t="s">
        <v>676</v>
      </c>
      <c r="D311" s="42" t="s">
        <v>3</v>
      </c>
      <c r="E311" s="43" t="s">
        <v>567</v>
      </c>
      <c r="F311" s="43" t="s">
        <v>568</v>
      </c>
      <c r="G311" s="44">
        <v>91</v>
      </c>
      <c r="H311" s="43" t="s">
        <v>569</v>
      </c>
      <c r="I311" s="45" t="s">
        <v>569</v>
      </c>
      <c r="J311" s="45" t="s">
        <v>546</v>
      </c>
      <c r="K311" s="116">
        <v>134.18</v>
      </c>
      <c r="L311" s="116">
        <v>134.18</v>
      </c>
      <c r="M311" s="116"/>
      <c r="N311" s="116">
        <v>200</v>
      </c>
      <c r="O311" s="116">
        <v>177.44</v>
      </c>
      <c r="P311" s="116"/>
      <c r="Q311" s="116"/>
      <c r="R311" s="116"/>
      <c r="S311" s="46">
        <v>645.79999999999995</v>
      </c>
      <c r="T311" s="117"/>
      <c r="U311" s="56" t="s">
        <v>949</v>
      </c>
      <c r="V311" s="105" t="s">
        <v>571</v>
      </c>
    </row>
    <row r="312" spans="1:22" s="18" customFormat="1" ht="17.25" x14ac:dyDescent="0.3">
      <c r="A312" s="39">
        <v>14120041</v>
      </c>
      <c r="B312" s="40" t="s">
        <v>272</v>
      </c>
      <c r="C312" s="41" t="s">
        <v>804</v>
      </c>
      <c r="D312" s="42" t="s">
        <v>3</v>
      </c>
      <c r="E312" s="43" t="s">
        <v>567</v>
      </c>
      <c r="F312" s="43" t="s">
        <v>568</v>
      </c>
      <c r="G312" s="44">
        <v>82</v>
      </c>
      <c r="H312" s="43" t="s">
        <v>571</v>
      </c>
      <c r="I312" s="45" t="s">
        <v>569</v>
      </c>
      <c r="J312" s="45" t="s">
        <v>546</v>
      </c>
      <c r="K312" s="116">
        <v>134.18</v>
      </c>
      <c r="L312" s="116">
        <v>134.18</v>
      </c>
      <c r="M312" s="116"/>
      <c r="N312" s="116">
        <v>0</v>
      </c>
      <c r="O312" s="116">
        <v>177.44</v>
      </c>
      <c r="P312" s="116"/>
      <c r="Q312" s="116"/>
      <c r="R312" s="116"/>
      <c r="S312" s="46">
        <v>445.8</v>
      </c>
      <c r="T312" s="117"/>
      <c r="U312" s="56" t="s">
        <v>949</v>
      </c>
      <c r="V312" s="105" t="s">
        <v>571</v>
      </c>
    </row>
    <row r="313" spans="1:22" s="18" customFormat="1" ht="17.25" x14ac:dyDescent="0.3">
      <c r="A313" s="39">
        <v>14120044</v>
      </c>
      <c r="B313" s="40" t="s">
        <v>273</v>
      </c>
      <c r="C313" s="41" t="s">
        <v>804</v>
      </c>
      <c r="D313" s="42" t="s">
        <v>3</v>
      </c>
      <c r="E313" s="43" t="s">
        <v>567</v>
      </c>
      <c r="F313" s="43" t="s">
        <v>568</v>
      </c>
      <c r="G313" s="44">
        <v>94</v>
      </c>
      <c r="H313" s="43" t="s">
        <v>569</v>
      </c>
      <c r="I313" s="45" t="s">
        <v>569</v>
      </c>
      <c r="J313" s="45" t="s">
        <v>546</v>
      </c>
      <c r="K313" s="116">
        <v>134.18</v>
      </c>
      <c r="L313" s="116">
        <v>134.18</v>
      </c>
      <c r="M313" s="116"/>
      <c r="N313" s="116">
        <v>200</v>
      </c>
      <c r="O313" s="116">
        <v>177.44</v>
      </c>
      <c r="P313" s="116"/>
      <c r="Q313" s="116"/>
      <c r="R313" s="116"/>
      <c r="S313" s="46">
        <v>645.79999999999995</v>
      </c>
      <c r="T313" s="117"/>
      <c r="U313" s="56" t="s">
        <v>949</v>
      </c>
      <c r="V313" s="105" t="s">
        <v>571</v>
      </c>
    </row>
    <row r="314" spans="1:22" s="18" customFormat="1" ht="17.25" x14ac:dyDescent="0.3">
      <c r="A314" s="39">
        <v>14120091</v>
      </c>
      <c r="B314" s="40" t="s">
        <v>275</v>
      </c>
      <c r="C314" s="41" t="s">
        <v>805</v>
      </c>
      <c r="D314" s="42" t="s">
        <v>3</v>
      </c>
      <c r="E314" s="43" t="s">
        <v>567</v>
      </c>
      <c r="F314" s="43" t="s">
        <v>568</v>
      </c>
      <c r="G314" s="44">
        <v>69</v>
      </c>
      <c r="H314" s="43" t="s">
        <v>571</v>
      </c>
      <c r="I314" s="45" t="s">
        <v>571</v>
      </c>
      <c r="J314" s="45" t="s">
        <v>546</v>
      </c>
      <c r="K314" s="116">
        <v>134.18</v>
      </c>
      <c r="L314" s="116">
        <v>134.18</v>
      </c>
      <c r="M314" s="116"/>
      <c r="N314" s="116">
        <v>0</v>
      </c>
      <c r="O314" s="116">
        <v>0</v>
      </c>
      <c r="P314" s="116"/>
      <c r="Q314" s="116"/>
      <c r="R314" s="116"/>
      <c r="S314" s="46">
        <v>268.36</v>
      </c>
      <c r="T314" s="117"/>
      <c r="U314" s="56" t="s">
        <v>949</v>
      </c>
      <c r="V314" s="105" t="s">
        <v>571</v>
      </c>
    </row>
    <row r="315" spans="1:22" s="18" customFormat="1" ht="17.25" x14ac:dyDescent="0.3">
      <c r="A315" s="39">
        <v>14120104</v>
      </c>
      <c r="B315" s="40" t="s">
        <v>276</v>
      </c>
      <c r="C315" s="41" t="s">
        <v>768</v>
      </c>
      <c r="D315" s="42" t="s">
        <v>3</v>
      </c>
      <c r="E315" s="43" t="s">
        <v>567</v>
      </c>
      <c r="F315" s="43" t="s">
        <v>568</v>
      </c>
      <c r="G315" s="44">
        <v>95</v>
      </c>
      <c r="H315" s="43" t="s">
        <v>569</v>
      </c>
      <c r="I315" s="45" t="s">
        <v>569</v>
      </c>
      <c r="J315" s="45" t="s">
        <v>573</v>
      </c>
      <c r="K315" s="116">
        <v>0</v>
      </c>
      <c r="L315" s="116">
        <v>0</v>
      </c>
      <c r="M315" s="116"/>
      <c r="N315" s="116">
        <v>0</v>
      </c>
      <c r="O315" s="116">
        <v>0</v>
      </c>
      <c r="P315" s="116"/>
      <c r="Q315" s="116"/>
      <c r="R315" s="116"/>
      <c r="S315" s="46">
        <v>0</v>
      </c>
      <c r="T315" s="117"/>
      <c r="U315" s="56" t="s">
        <v>571</v>
      </c>
      <c r="V315" s="105" t="s">
        <v>571</v>
      </c>
    </row>
    <row r="316" spans="1:22" s="18" customFormat="1" ht="17.25" x14ac:dyDescent="0.3">
      <c r="A316" s="39">
        <v>14120106</v>
      </c>
      <c r="B316" s="40" t="s">
        <v>277</v>
      </c>
      <c r="C316" s="41" t="s">
        <v>768</v>
      </c>
      <c r="D316" s="42" t="s">
        <v>3</v>
      </c>
      <c r="E316" s="43" t="s">
        <v>950</v>
      </c>
      <c r="F316" s="43" t="s">
        <v>568</v>
      </c>
      <c r="G316" s="44">
        <v>93</v>
      </c>
      <c r="H316" s="43" t="s">
        <v>569</v>
      </c>
      <c r="I316" s="45" t="s">
        <v>569</v>
      </c>
      <c r="J316" s="45" t="s">
        <v>546</v>
      </c>
      <c r="K316" s="116">
        <v>0</v>
      </c>
      <c r="L316" s="116">
        <v>134.18</v>
      </c>
      <c r="M316" s="116"/>
      <c r="N316" s="116">
        <v>200</v>
      </c>
      <c r="O316" s="116">
        <v>177.44</v>
      </c>
      <c r="P316" s="116"/>
      <c r="Q316" s="116"/>
      <c r="R316" s="116"/>
      <c r="S316" s="46">
        <v>511.62</v>
      </c>
      <c r="T316" s="117"/>
      <c r="U316" s="56" t="s">
        <v>949</v>
      </c>
      <c r="V316" s="105" t="s">
        <v>571</v>
      </c>
    </row>
    <row r="317" spans="1:22" s="18" customFormat="1" ht="17.25" x14ac:dyDescent="0.3">
      <c r="A317" s="40">
        <v>14120121</v>
      </c>
      <c r="B317" s="40" t="s">
        <v>278</v>
      </c>
      <c r="C317" s="41" t="s">
        <v>806</v>
      </c>
      <c r="D317" s="42" t="s">
        <v>3</v>
      </c>
      <c r="E317" s="43" t="s">
        <v>567</v>
      </c>
      <c r="F317" s="43" t="s">
        <v>568</v>
      </c>
      <c r="G317" s="44">
        <v>94</v>
      </c>
      <c r="H317" s="43" t="s">
        <v>569</v>
      </c>
      <c r="I317" s="45" t="s">
        <v>569</v>
      </c>
      <c r="J317" s="45" t="s">
        <v>546</v>
      </c>
      <c r="K317" s="116">
        <v>134.18</v>
      </c>
      <c r="L317" s="116">
        <v>134.18</v>
      </c>
      <c r="M317" s="116"/>
      <c r="N317" s="116">
        <v>200</v>
      </c>
      <c r="O317" s="116">
        <v>177.44</v>
      </c>
      <c r="P317" s="116"/>
      <c r="Q317" s="116"/>
      <c r="R317" s="116"/>
      <c r="S317" s="46">
        <v>645.79999999999995</v>
      </c>
      <c r="T317" s="117"/>
      <c r="U317" s="56" t="s">
        <v>949</v>
      </c>
      <c r="V317" s="105" t="s">
        <v>571</v>
      </c>
    </row>
    <row r="318" spans="1:22" s="18" customFormat="1" ht="17.25" x14ac:dyDescent="0.3">
      <c r="A318" s="39">
        <v>14120196</v>
      </c>
      <c r="B318" s="48" t="s">
        <v>279</v>
      </c>
      <c r="C318" s="41" t="s">
        <v>807</v>
      </c>
      <c r="D318" s="42" t="s">
        <v>3</v>
      </c>
      <c r="E318" s="43" t="s">
        <v>567</v>
      </c>
      <c r="F318" s="43" t="s">
        <v>568</v>
      </c>
      <c r="G318" s="44">
        <v>83</v>
      </c>
      <c r="H318" s="43" t="s">
        <v>571</v>
      </c>
      <c r="I318" s="45" t="s">
        <v>571</v>
      </c>
      <c r="J318" s="45" t="s">
        <v>546</v>
      </c>
      <c r="K318" s="116">
        <v>134.18</v>
      </c>
      <c r="L318" s="116">
        <v>134.18</v>
      </c>
      <c r="M318" s="116"/>
      <c r="N318" s="116">
        <v>0</v>
      </c>
      <c r="O318" s="116">
        <v>0</v>
      </c>
      <c r="P318" s="116"/>
      <c r="Q318" s="116"/>
      <c r="R318" s="116"/>
      <c r="S318" s="46">
        <v>268.36</v>
      </c>
      <c r="T318" s="117"/>
      <c r="U318" s="56" t="s">
        <v>949</v>
      </c>
      <c r="V318" s="105" t="s">
        <v>571</v>
      </c>
    </row>
    <row r="319" spans="1:22" s="18" customFormat="1" ht="17.25" x14ac:dyDescent="0.3">
      <c r="A319" s="40">
        <v>14120199</v>
      </c>
      <c r="B319" s="40" t="s">
        <v>400</v>
      </c>
      <c r="C319" s="41" t="s">
        <v>760</v>
      </c>
      <c r="D319" s="42" t="s">
        <v>3</v>
      </c>
      <c r="E319" s="43" t="s">
        <v>567</v>
      </c>
      <c r="F319" s="43" t="s">
        <v>568</v>
      </c>
      <c r="G319" s="44">
        <v>68</v>
      </c>
      <c r="H319" s="43" t="s">
        <v>571</v>
      </c>
      <c r="I319" s="45" t="s">
        <v>569</v>
      </c>
      <c r="J319" s="45" t="s">
        <v>573</v>
      </c>
      <c r="K319" s="116">
        <v>134.18</v>
      </c>
      <c r="L319" s="116">
        <v>134.18</v>
      </c>
      <c r="M319" s="116"/>
      <c r="N319" s="116">
        <v>0</v>
      </c>
      <c r="O319" s="116">
        <v>0</v>
      </c>
      <c r="P319" s="116"/>
      <c r="Q319" s="116"/>
      <c r="R319" s="116"/>
      <c r="S319" s="46">
        <v>268.36</v>
      </c>
      <c r="T319" s="117"/>
      <c r="U319" s="56" t="s">
        <v>949</v>
      </c>
      <c r="V319" s="105" t="s">
        <v>571</v>
      </c>
    </row>
    <row r="320" spans="1:22" s="18" customFormat="1" ht="17.25" x14ac:dyDescent="0.3">
      <c r="A320" s="39">
        <v>14120270</v>
      </c>
      <c r="B320" s="40" t="s">
        <v>281</v>
      </c>
      <c r="C320" s="41" t="s">
        <v>808</v>
      </c>
      <c r="D320" s="42" t="s">
        <v>3</v>
      </c>
      <c r="E320" s="43" t="s">
        <v>567</v>
      </c>
      <c r="F320" s="43" t="s">
        <v>568</v>
      </c>
      <c r="G320" s="44">
        <v>91</v>
      </c>
      <c r="H320" s="43" t="s">
        <v>569</v>
      </c>
      <c r="I320" s="45" t="s">
        <v>569</v>
      </c>
      <c r="J320" s="45" t="s">
        <v>546</v>
      </c>
      <c r="K320" s="116">
        <v>134.18</v>
      </c>
      <c r="L320" s="116">
        <v>134.18</v>
      </c>
      <c r="M320" s="116"/>
      <c r="N320" s="116">
        <v>200</v>
      </c>
      <c r="O320" s="116">
        <v>177.44</v>
      </c>
      <c r="P320" s="116"/>
      <c r="Q320" s="116"/>
      <c r="R320" s="116"/>
      <c r="S320" s="46">
        <v>645.79999999999995</v>
      </c>
      <c r="T320" s="117"/>
      <c r="U320" s="56" t="s">
        <v>949</v>
      </c>
      <c r="V320" s="105" t="s">
        <v>571</v>
      </c>
    </row>
    <row r="321" spans="1:22" s="18" customFormat="1" ht="17.25" x14ac:dyDescent="0.3">
      <c r="A321" s="40">
        <v>14120276</v>
      </c>
      <c r="B321" s="40" t="s">
        <v>282</v>
      </c>
      <c r="C321" s="41" t="s">
        <v>808</v>
      </c>
      <c r="D321" s="42" t="s">
        <v>3</v>
      </c>
      <c r="E321" s="43" t="s">
        <v>567</v>
      </c>
      <c r="F321" s="43" t="s">
        <v>568</v>
      </c>
      <c r="G321" s="44">
        <v>95</v>
      </c>
      <c r="H321" s="43" t="s">
        <v>569</v>
      </c>
      <c r="I321" s="45" t="s">
        <v>569</v>
      </c>
      <c r="J321" s="45" t="s">
        <v>546</v>
      </c>
      <c r="K321" s="116">
        <v>134.18</v>
      </c>
      <c r="L321" s="116">
        <v>134.18</v>
      </c>
      <c r="M321" s="116"/>
      <c r="N321" s="116">
        <v>200</v>
      </c>
      <c r="O321" s="116">
        <v>177.44</v>
      </c>
      <c r="P321" s="116"/>
      <c r="Q321" s="116"/>
      <c r="R321" s="116"/>
      <c r="S321" s="46">
        <v>645.79999999999995</v>
      </c>
      <c r="T321" s="117"/>
      <c r="U321" s="56" t="s">
        <v>949</v>
      </c>
      <c r="V321" s="105" t="s">
        <v>571</v>
      </c>
    </row>
    <row r="322" spans="1:22" s="18" customFormat="1" ht="17.25" x14ac:dyDescent="0.3">
      <c r="A322" s="40">
        <v>14120349</v>
      </c>
      <c r="B322" s="40" t="s">
        <v>284</v>
      </c>
      <c r="C322" s="41" t="s">
        <v>809</v>
      </c>
      <c r="D322" s="42" t="s">
        <v>3</v>
      </c>
      <c r="E322" s="43" t="s">
        <v>567</v>
      </c>
      <c r="F322" s="43" t="s">
        <v>568</v>
      </c>
      <c r="G322" s="44">
        <v>93</v>
      </c>
      <c r="H322" s="43" t="s">
        <v>569</v>
      </c>
      <c r="I322" s="45" t="s">
        <v>571</v>
      </c>
      <c r="J322" s="45" t="s">
        <v>546</v>
      </c>
      <c r="K322" s="116">
        <v>134.18</v>
      </c>
      <c r="L322" s="116">
        <v>134.18</v>
      </c>
      <c r="M322" s="116"/>
      <c r="N322" s="116">
        <v>0</v>
      </c>
      <c r="O322" s="116">
        <v>0</v>
      </c>
      <c r="P322" s="116"/>
      <c r="Q322" s="116"/>
      <c r="R322" s="116"/>
      <c r="S322" s="46">
        <v>268.36</v>
      </c>
      <c r="T322" s="117"/>
      <c r="U322" s="56" t="s">
        <v>949</v>
      </c>
      <c r="V322" s="105" t="s">
        <v>571</v>
      </c>
    </row>
    <row r="323" spans="1:22" s="18" customFormat="1" ht="17.25" x14ac:dyDescent="0.3">
      <c r="A323" s="39">
        <v>14120351</v>
      </c>
      <c r="B323" s="40" t="s">
        <v>285</v>
      </c>
      <c r="C323" s="41" t="s">
        <v>809</v>
      </c>
      <c r="D323" s="42" t="s">
        <v>3</v>
      </c>
      <c r="E323" s="43" t="s">
        <v>567</v>
      </c>
      <c r="F323" s="43" t="s">
        <v>568</v>
      </c>
      <c r="G323" s="44">
        <v>64</v>
      </c>
      <c r="H323" s="43" t="s">
        <v>571</v>
      </c>
      <c r="I323" s="45" t="s">
        <v>569</v>
      </c>
      <c r="J323" s="45" t="s">
        <v>546</v>
      </c>
      <c r="K323" s="116">
        <v>134.18</v>
      </c>
      <c r="L323" s="116">
        <v>134.18</v>
      </c>
      <c r="M323" s="116"/>
      <c r="N323" s="116">
        <v>0</v>
      </c>
      <c r="O323" s="116">
        <v>177.44</v>
      </c>
      <c r="P323" s="116"/>
      <c r="Q323" s="116"/>
      <c r="R323" s="116"/>
      <c r="S323" s="46">
        <v>445.8</v>
      </c>
      <c r="T323" s="117"/>
      <c r="U323" s="56" t="s">
        <v>949</v>
      </c>
      <c r="V323" s="105" t="s">
        <v>571</v>
      </c>
    </row>
    <row r="324" spans="1:22" s="18" customFormat="1" ht="17.25" x14ac:dyDescent="0.3">
      <c r="A324" s="39">
        <v>14120413</v>
      </c>
      <c r="B324" s="40" t="s">
        <v>933</v>
      </c>
      <c r="C324" s="41" t="s">
        <v>932</v>
      </c>
      <c r="D324" s="42" t="s">
        <v>3</v>
      </c>
      <c r="E324" s="43" t="s">
        <v>567</v>
      </c>
      <c r="F324" s="43" t="s">
        <v>568</v>
      </c>
      <c r="G324" s="44">
        <v>89</v>
      </c>
      <c r="H324" s="43" t="s">
        <v>571</v>
      </c>
      <c r="I324" s="45" t="s">
        <v>569</v>
      </c>
      <c r="J324" s="45" t="s">
        <v>546</v>
      </c>
      <c r="K324" s="116">
        <v>134.18</v>
      </c>
      <c r="L324" s="116">
        <v>134.18</v>
      </c>
      <c r="M324" s="116"/>
      <c r="N324" s="116">
        <v>0</v>
      </c>
      <c r="O324" s="116">
        <v>177.44</v>
      </c>
      <c r="P324" s="116"/>
      <c r="Q324" s="116"/>
      <c r="R324" s="116"/>
      <c r="S324" s="46">
        <v>445.8</v>
      </c>
      <c r="T324" s="117"/>
      <c r="U324" s="56" t="s">
        <v>949</v>
      </c>
      <c r="V324" s="105" t="s">
        <v>571</v>
      </c>
    </row>
    <row r="325" spans="1:22" s="18" customFormat="1" ht="17.25" x14ac:dyDescent="0.3">
      <c r="A325" s="39">
        <v>14120415</v>
      </c>
      <c r="B325" s="40" t="s">
        <v>286</v>
      </c>
      <c r="C325" s="41" t="s">
        <v>810</v>
      </c>
      <c r="D325" s="42" t="s">
        <v>3</v>
      </c>
      <c r="E325" s="43" t="s">
        <v>567</v>
      </c>
      <c r="F325" s="43" t="s">
        <v>568</v>
      </c>
      <c r="G325" s="44">
        <v>94</v>
      </c>
      <c r="H325" s="43" t="s">
        <v>569</v>
      </c>
      <c r="I325" s="45" t="s">
        <v>569</v>
      </c>
      <c r="J325" s="45" t="s">
        <v>546</v>
      </c>
      <c r="K325" s="116">
        <v>134.18</v>
      </c>
      <c r="L325" s="116">
        <v>134.18</v>
      </c>
      <c r="M325" s="116"/>
      <c r="N325" s="116">
        <v>200</v>
      </c>
      <c r="O325" s="116">
        <v>177.44</v>
      </c>
      <c r="P325" s="116"/>
      <c r="Q325" s="116"/>
      <c r="R325" s="116"/>
      <c r="S325" s="46">
        <v>645.79999999999995</v>
      </c>
      <c r="T325" s="117"/>
      <c r="U325" s="56" t="s">
        <v>949</v>
      </c>
      <c r="V325" s="105" t="s">
        <v>571</v>
      </c>
    </row>
    <row r="326" spans="1:22" s="18" customFormat="1" ht="17.25" x14ac:dyDescent="0.3">
      <c r="A326" s="40">
        <v>14120455</v>
      </c>
      <c r="B326" s="40" t="s">
        <v>287</v>
      </c>
      <c r="C326" s="41" t="s">
        <v>811</v>
      </c>
      <c r="D326" s="42" t="s">
        <v>3</v>
      </c>
      <c r="E326" s="43" t="s">
        <v>567</v>
      </c>
      <c r="F326" s="43" t="s">
        <v>568</v>
      </c>
      <c r="G326" s="44">
        <v>79</v>
      </c>
      <c r="H326" s="43" t="s">
        <v>571</v>
      </c>
      <c r="I326" s="45" t="s">
        <v>571</v>
      </c>
      <c r="J326" s="45" t="s">
        <v>546</v>
      </c>
      <c r="K326" s="116">
        <v>134.18</v>
      </c>
      <c r="L326" s="116">
        <v>134.18</v>
      </c>
      <c r="M326" s="116"/>
      <c r="N326" s="116">
        <v>0</v>
      </c>
      <c r="O326" s="116">
        <v>0</v>
      </c>
      <c r="P326" s="116"/>
      <c r="Q326" s="116"/>
      <c r="R326" s="116"/>
      <c r="S326" s="46">
        <v>268.36</v>
      </c>
      <c r="T326" s="117"/>
      <c r="U326" s="56" t="s">
        <v>949</v>
      </c>
      <c r="V326" s="105" t="s">
        <v>571</v>
      </c>
    </row>
    <row r="327" spans="1:22" s="18" customFormat="1" ht="17.25" x14ac:dyDescent="0.3">
      <c r="A327" s="39">
        <v>14120489</v>
      </c>
      <c r="B327" s="40" t="s">
        <v>288</v>
      </c>
      <c r="C327" s="41" t="s">
        <v>812</v>
      </c>
      <c r="D327" s="42" t="s">
        <v>3</v>
      </c>
      <c r="E327" s="43" t="s">
        <v>567</v>
      </c>
      <c r="F327" s="43" t="s">
        <v>730</v>
      </c>
      <c r="G327" s="44">
        <v>93</v>
      </c>
      <c r="H327" s="43" t="s">
        <v>569</v>
      </c>
      <c r="I327" s="45" t="s">
        <v>571</v>
      </c>
      <c r="J327" s="45" t="s">
        <v>546</v>
      </c>
      <c r="K327" s="116">
        <v>134.18</v>
      </c>
      <c r="L327" s="116">
        <v>0</v>
      </c>
      <c r="M327" s="116"/>
      <c r="N327" s="116">
        <v>0</v>
      </c>
      <c r="O327" s="116">
        <v>0</v>
      </c>
      <c r="P327" s="116"/>
      <c r="Q327" s="116"/>
      <c r="R327" s="116"/>
      <c r="S327" s="46">
        <v>134.18</v>
      </c>
      <c r="T327" s="117"/>
      <c r="U327" s="56" t="s">
        <v>949</v>
      </c>
      <c r="V327" s="105" t="s">
        <v>571</v>
      </c>
    </row>
    <row r="328" spans="1:22" s="18" customFormat="1" ht="17.25" x14ac:dyDescent="0.3">
      <c r="A328" s="39">
        <v>14120611</v>
      </c>
      <c r="B328" s="40" t="s">
        <v>289</v>
      </c>
      <c r="C328" s="41" t="s">
        <v>813</v>
      </c>
      <c r="D328" s="42" t="s">
        <v>3</v>
      </c>
      <c r="E328" s="43" t="s">
        <v>567</v>
      </c>
      <c r="F328" s="43" t="s">
        <v>568</v>
      </c>
      <c r="G328" s="44">
        <v>79</v>
      </c>
      <c r="H328" s="43" t="s">
        <v>571</v>
      </c>
      <c r="I328" s="45" t="s">
        <v>569</v>
      </c>
      <c r="J328" s="45" t="s">
        <v>546</v>
      </c>
      <c r="K328" s="116">
        <v>134.18</v>
      </c>
      <c r="L328" s="116">
        <v>134.18</v>
      </c>
      <c r="M328" s="116"/>
      <c r="N328" s="116">
        <v>0</v>
      </c>
      <c r="O328" s="116">
        <v>177.44</v>
      </c>
      <c r="P328" s="116"/>
      <c r="Q328" s="116"/>
      <c r="R328" s="116"/>
      <c r="S328" s="46">
        <v>445.8</v>
      </c>
      <c r="T328" s="117"/>
      <c r="U328" s="56" t="s">
        <v>949</v>
      </c>
      <c r="V328" s="105" t="s">
        <v>571</v>
      </c>
    </row>
    <row r="329" spans="1:22" s="18" customFormat="1" ht="17.25" x14ac:dyDescent="0.3">
      <c r="A329" s="39">
        <v>14120613</v>
      </c>
      <c r="B329" s="50" t="s">
        <v>290</v>
      </c>
      <c r="C329" s="41" t="s">
        <v>813</v>
      </c>
      <c r="D329" s="42" t="s">
        <v>3</v>
      </c>
      <c r="E329" s="43" t="s">
        <v>567</v>
      </c>
      <c r="F329" s="43" t="s">
        <v>568</v>
      </c>
      <c r="G329" s="44">
        <v>88</v>
      </c>
      <c r="H329" s="43" t="s">
        <v>571</v>
      </c>
      <c r="I329" s="45" t="s">
        <v>569</v>
      </c>
      <c r="J329" s="45" t="s">
        <v>546</v>
      </c>
      <c r="K329" s="116">
        <v>134.18</v>
      </c>
      <c r="L329" s="116">
        <v>134.18</v>
      </c>
      <c r="M329" s="116"/>
      <c r="N329" s="116">
        <v>0</v>
      </c>
      <c r="O329" s="116">
        <v>177.44</v>
      </c>
      <c r="P329" s="116"/>
      <c r="Q329" s="116"/>
      <c r="R329" s="116"/>
      <c r="S329" s="46">
        <v>445.8</v>
      </c>
      <c r="T329" s="117"/>
      <c r="U329" s="56" t="s">
        <v>949</v>
      </c>
      <c r="V329" s="105" t="s">
        <v>571</v>
      </c>
    </row>
    <row r="330" spans="1:22" s="18" customFormat="1" ht="17.25" x14ac:dyDescent="0.3">
      <c r="A330" s="39">
        <v>14120655</v>
      </c>
      <c r="B330" s="48" t="s">
        <v>293</v>
      </c>
      <c r="C330" s="41" t="s">
        <v>814</v>
      </c>
      <c r="D330" s="42" t="s">
        <v>3</v>
      </c>
      <c r="E330" s="43" t="s">
        <v>567</v>
      </c>
      <c r="F330" s="43" t="s">
        <v>568</v>
      </c>
      <c r="G330" s="44">
        <v>88</v>
      </c>
      <c r="H330" s="43" t="s">
        <v>571</v>
      </c>
      <c r="I330" s="45" t="s">
        <v>569</v>
      </c>
      <c r="J330" s="45" t="s">
        <v>546</v>
      </c>
      <c r="K330" s="116">
        <v>134.18</v>
      </c>
      <c r="L330" s="116">
        <v>134.18</v>
      </c>
      <c r="M330" s="116"/>
      <c r="N330" s="116">
        <v>0</v>
      </c>
      <c r="O330" s="116">
        <v>177.44</v>
      </c>
      <c r="P330" s="116"/>
      <c r="Q330" s="116"/>
      <c r="R330" s="116"/>
      <c r="S330" s="46">
        <v>445.8</v>
      </c>
      <c r="T330" s="117"/>
      <c r="U330" s="56" t="s">
        <v>949</v>
      </c>
      <c r="V330" s="105" t="s">
        <v>571</v>
      </c>
    </row>
    <row r="331" spans="1:22" s="18" customFormat="1" ht="17.25" x14ac:dyDescent="0.3">
      <c r="A331" s="39">
        <v>14120668</v>
      </c>
      <c r="B331" s="40" t="s">
        <v>294</v>
      </c>
      <c r="C331" s="41" t="s">
        <v>743</v>
      </c>
      <c r="D331" s="42" t="s">
        <v>3</v>
      </c>
      <c r="E331" s="43" t="s">
        <v>567</v>
      </c>
      <c r="F331" s="43" t="s">
        <v>568</v>
      </c>
      <c r="G331" s="44">
        <v>94</v>
      </c>
      <c r="H331" s="43" t="s">
        <v>569</v>
      </c>
      <c r="I331" s="45" t="s">
        <v>569</v>
      </c>
      <c r="J331" s="45" t="s">
        <v>546</v>
      </c>
      <c r="K331" s="116">
        <v>134.18</v>
      </c>
      <c r="L331" s="116">
        <v>134.18</v>
      </c>
      <c r="M331" s="116"/>
      <c r="N331" s="116">
        <v>200</v>
      </c>
      <c r="O331" s="116">
        <v>177.44</v>
      </c>
      <c r="P331" s="116"/>
      <c r="Q331" s="116"/>
      <c r="R331" s="116"/>
      <c r="S331" s="46">
        <v>645.79999999999995</v>
      </c>
      <c r="T331" s="117"/>
      <c r="U331" s="56" t="s">
        <v>949</v>
      </c>
      <c r="V331" s="105" t="s">
        <v>571</v>
      </c>
    </row>
    <row r="332" spans="1:22" s="18" customFormat="1" ht="17.25" x14ac:dyDescent="0.3">
      <c r="A332" s="39">
        <v>14120715</v>
      </c>
      <c r="B332" s="40" t="s">
        <v>295</v>
      </c>
      <c r="C332" s="41" t="s">
        <v>599</v>
      </c>
      <c r="D332" s="42" t="s">
        <v>3</v>
      </c>
      <c r="E332" s="43" t="s">
        <v>567</v>
      </c>
      <c r="F332" s="43" t="s">
        <v>568</v>
      </c>
      <c r="G332" s="44">
        <v>90</v>
      </c>
      <c r="H332" s="43" t="s">
        <v>569</v>
      </c>
      <c r="I332" s="45" t="s">
        <v>569</v>
      </c>
      <c r="J332" s="45" t="s">
        <v>546</v>
      </c>
      <c r="K332" s="116">
        <v>134.18</v>
      </c>
      <c r="L332" s="116">
        <v>134.18</v>
      </c>
      <c r="M332" s="116"/>
      <c r="N332" s="116">
        <v>200</v>
      </c>
      <c r="O332" s="116">
        <v>177.44</v>
      </c>
      <c r="P332" s="116"/>
      <c r="Q332" s="116"/>
      <c r="R332" s="116"/>
      <c r="S332" s="46">
        <v>645.79999999999995</v>
      </c>
      <c r="T332" s="117"/>
      <c r="U332" s="56" t="s">
        <v>949</v>
      </c>
      <c r="V332" s="105" t="s">
        <v>571</v>
      </c>
    </row>
    <row r="333" spans="1:22" s="18" customFormat="1" ht="17.25" x14ac:dyDescent="0.3">
      <c r="A333" s="39">
        <v>14120788</v>
      </c>
      <c r="B333" s="40" t="s">
        <v>297</v>
      </c>
      <c r="C333" s="41" t="s">
        <v>709</v>
      </c>
      <c r="D333" s="42" t="s">
        <v>3</v>
      </c>
      <c r="E333" s="43" t="s">
        <v>567</v>
      </c>
      <c r="F333" s="43" t="s">
        <v>568</v>
      </c>
      <c r="G333" s="44">
        <v>92</v>
      </c>
      <c r="H333" s="43" t="s">
        <v>569</v>
      </c>
      <c r="I333" s="45" t="s">
        <v>571</v>
      </c>
      <c r="J333" s="45" t="s">
        <v>546</v>
      </c>
      <c r="K333" s="116">
        <v>134.18</v>
      </c>
      <c r="L333" s="116">
        <v>134.18</v>
      </c>
      <c r="M333" s="116"/>
      <c r="N333" s="116">
        <v>0</v>
      </c>
      <c r="O333" s="116">
        <v>0</v>
      </c>
      <c r="P333" s="116"/>
      <c r="Q333" s="116"/>
      <c r="R333" s="116"/>
      <c r="S333" s="46">
        <v>268.36</v>
      </c>
      <c r="T333" s="117"/>
      <c r="U333" s="56" t="s">
        <v>949</v>
      </c>
      <c r="V333" s="105" t="s">
        <v>571</v>
      </c>
    </row>
    <row r="334" spans="1:22" s="18" customFormat="1" ht="17.25" x14ac:dyDescent="0.3">
      <c r="A334" s="39">
        <v>14120789</v>
      </c>
      <c r="B334" s="40" t="s">
        <v>298</v>
      </c>
      <c r="C334" s="41" t="s">
        <v>709</v>
      </c>
      <c r="D334" s="42" t="s">
        <v>3</v>
      </c>
      <c r="E334" s="43" t="s">
        <v>567</v>
      </c>
      <c r="F334" s="43" t="s">
        <v>568</v>
      </c>
      <c r="G334" s="44">
        <v>95</v>
      </c>
      <c r="H334" s="43" t="s">
        <v>569</v>
      </c>
      <c r="I334" s="45" t="s">
        <v>569</v>
      </c>
      <c r="J334" s="45" t="s">
        <v>546</v>
      </c>
      <c r="K334" s="116">
        <v>134.18</v>
      </c>
      <c r="L334" s="116">
        <v>134.18</v>
      </c>
      <c r="M334" s="116"/>
      <c r="N334" s="116">
        <v>200</v>
      </c>
      <c r="O334" s="116">
        <v>177.44</v>
      </c>
      <c r="P334" s="116"/>
      <c r="Q334" s="116"/>
      <c r="R334" s="116"/>
      <c r="S334" s="46">
        <v>645.79999999999995</v>
      </c>
      <c r="T334" s="117"/>
      <c r="U334" s="56" t="s">
        <v>949</v>
      </c>
      <c r="V334" s="105" t="s">
        <v>571</v>
      </c>
    </row>
    <row r="335" spans="1:22" s="18" customFormat="1" ht="17.25" x14ac:dyDescent="0.3">
      <c r="A335" s="39">
        <v>14120806</v>
      </c>
      <c r="B335" s="40" t="s">
        <v>299</v>
      </c>
      <c r="C335" s="41" t="s">
        <v>815</v>
      </c>
      <c r="D335" s="42" t="s">
        <v>3</v>
      </c>
      <c r="E335" s="43" t="s">
        <v>567</v>
      </c>
      <c r="F335" s="43" t="s">
        <v>568</v>
      </c>
      <c r="G335" s="44">
        <v>94</v>
      </c>
      <c r="H335" s="43" t="s">
        <v>569</v>
      </c>
      <c r="I335" s="45" t="s">
        <v>571</v>
      </c>
      <c r="J335" s="45" t="s">
        <v>546</v>
      </c>
      <c r="K335" s="116">
        <v>134.18</v>
      </c>
      <c r="L335" s="116">
        <v>134.18</v>
      </c>
      <c r="M335" s="116"/>
      <c r="N335" s="116">
        <v>0</v>
      </c>
      <c r="O335" s="116">
        <v>0</v>
      </c>
      <c r="P335" s="116"/>
      <c r="Q335" s="116"/>
      <c r="R335" s="116"/>
      <c r="S335" s="46">
        <v>268.36</v>
      </c>
      <c r="T335" s="117"/>
      <c r="U335" s="56" t="s">
        <v>949</v>
      </c>
      <c r="V335" s="105" t="s">
        <v>571</v>
      </c>
    </row>
    <row r="336" spans="1:22" s="18" customFormat="1" ht="17.25" x14ac:dyDescent="0.3">
      <c r="A336" s="39">
        <v>14120807</v>
      </c>
      <c r="B336" s="40" t="s">
        <v>300</v>
      </c>
      <c r="C336" s="41" t="s">
        <v>815</v>
      </c>
      <c r="D336" s="42" t="s">
        <v>3</v>
      </c>
      <c r="E336" s="43" t="s">
        <v>567</v>
      </c>
      <c r="F336" s="43" t="s">
        <v>568</v>
      </c>
      <c r="G336" s="44">
        <v>94</v>
      </c>
      <c r="H336" s="43" t="s">
        <v>569</v>
      </c>
      <c r="I336" s="45" t="s">
        <v>571</v>
      </c>
      <c r="J336" s="45" t="s">
        <v>546</v>
      </c>
      <c r="K336" s="116">
        <v>134.18</v>
      </c>
      <c r="L336" s="116">
        <v>134.18</v>
      </c>
      <c r="M336" s="116"/>
      <c r="N336" s="116">
        <v>0</v>
      </c>
      <c r="O336" s="116">
        <v>0</v>
      </c>
      <c r="P336" s="116"/>
      <c r="Q336" s="116"/>
      <c r="R336" s="116"/>
      <c r="S336" s="46">
        <v>268.36</v>
      </c>
      <c r="T336" s="117"/>
      <c r="U336" s="56" t="s">
        <v>949</v>
      </c>
      <c r="V336" s="105" t="s">
        <v>571</v>
      </c>
    </row>
    <row r="337" spans="1:22" s="18" customFormat="1" ht="17.25" x14ac:dyDescent="0.3">
      <c r="A337" s="39">
        <v>14120850</v>
      </c>
      <c r="B337" s="40" t="s">
        <v>301</v>
      </c>
      <c r="C337" s="41" t="s">
        <v>816</v>
      </c>
      <c r="D337" s="42" t="s">
        <v>3</v>
      </c>
      <c r="E337" s="43" t="s">
        <v>567</v>
      </c>
      <c r="F337" s="43" t="s">
        <v>568</v>
      </c>
      <c r="G337" s="44">
        <v>93</v>
      </c>
      <c r="H337" s="43" t="s">
        <v>569</v>
      </c>
      <c r="I337" s="45" t="s">
        <v>569</v>
      </c>
      <c r="J337" s="45" t="s">
        <v>546</v>
      </c>
      <c r="K337" s="116">
        <v>134.18</v>
      </c>
      <c r="L337" s="116">
        <v>134.18</v>
      </c>
      <c r="M337" s="116"/>
      <c r="N337" s="116">
        <v>200</v>
      </c>
      <c r="O337" s="116">
        <v>177.44</v>
      </c>
      <c r="P337" s="116"/>
      <c r="Q337" s="116"/>
      <c r="R337" s="116"/>
      <c r="S337" s="46">
        <v>645.79999999999995</v>
      </c>
      <c r="T337" s="117"/>
      <c r="U337" s="56" t="s">
        <v>949</v>
      </c>
      <c r="V337" s="105" t="s">
        <v>571</v>
      </c>
    </row>
    <row r="338" spans="1:22" s="18" customFormat="1" ht="17.25" x14ac:dyDescent="0.3">
      <c r="A338" s="39">
        <v>14120885</v>
      </c>
      <c r="B338" s="40" t="s">
        <v>302</v>
      </c>
      <c r="C338" s="41" t="s">
        <v>817</v>
      </c>
      <c r="D338" s="42" t="s">
        <v>3</v>
      </c>
      <c r="E338" s="43" t="s">
        <v>567</v>
      </c>
      <c r="F338" s="43" t="s">
        <v>568</v>
      </c>
      <c r="G338" s="44">
        <v>92</v>
      </c>
      <c r="H338" s="43" t="s">
        <v>569</v>
      </c>
      <c r="I338" s="45" t="s">
        <v>571</v>
      </c>
      <c r="J338" s="45" t="s">
        <v>546</v>
      </c>
      <c r="K338" s="116">
        <v>134.18</v>
      </c>
      <c r="L338" s="116">
        <v>134.18</v>
      </c>
      <c r="M338" s="116"/>
      <c r="N338" s="116">
        <v>0</v>
      </c>
      <c r="O338" s="116">
        <v>0</v>
      </c>
      <c r="P338" s="116"/>
      <c r="Q338" s="116"/>
      <c r="R338" s="116"/>
      <c r="S338" s="46">
        <v>268.36</v>
      </c>
      <c r="T338" s="117"/>
      <c r="U338" s="56" t="s">
        <v>949</v>
      </c>
      <c r="V338" s="105" t="s">
        <v>571</v>
      </c>
    </row>
    <row r="339" spans="1:22" s="18" customFormat="1" ht="17.25" x14ac:dyDescent="0.3">
      <c r="A339" s="39">
        <v>14120925</v>
      </c>
      <c r="B339" s="40" t="s">
        <v>304</v>
      </c>
      <c r="C339" s="41" t="s">
        <v>608</v>
      </c>
      <c r="D339" s="42" t="s">
        <v>3</v>
      </c>
      <c r="E339" s="43" t="s">
        <v>567</v>
      </c>
      <c r="F339" s="43" t="s">
        <v>568</v>
      </c>
      <c r="G339" s="44">
        <v>89</v>
      </c>
      <c r="H339" s="43" t="s">
        <v>571</v>
      </c>
      <c r="I339" s="45" t="s">
        <v>571</v>
      </c>
      <c r="J339" s="45" t="s">
        <v>546</v>
      </c>
      <c r="K339" s="116">
        <v>134.18</v>
      </c>
      <c r="L339" s="116">
        <v>134.18</v>
      </c>
      <c r="M339" s="116"/>
      <c r="N339" s="116">
        <v>0</v>
      </c>
      <c r="O339" s="116">
        <v>0</v>
      </c>
      <c r="P339" s="116"/>
      <c r="Q339" s="116"/>
      <c r="R339" s="116"/>
      <c r="S339" s="46">
        <v>268.36</v>
      </c>
      <c r="T339" s="117"/>
      <c r="U339" s="56" t="s">
        <v>949</v>
      </c>
      <c r="V339" s="105" t="s">
        <v>571</v>
      </c>
    </row>
    <row r="340" spans="1:22" s="18" customFormat="1" ht="17.25" x14ac:dyDescent="0.3">
      <c r="A340" s="39">
        <v>14121013</v>
      </c>
      <c r="B340" s="40" t="s">
        <v>305</v>
      </c>
      <c r="C340" s="41" t="s">
        <v>818</v>
      </c>
      <c r="D340" s="42" t="s">
        <v>3</v>
      </c>
      <c r="E340" s="43" t="s">
        <v>567</v>
      </c>
      <c r="F340" s="43" t="s">
        <v>568</v>
      </c>
      <c r="G340" s="44">
        <v>94</v>
      </c>
      <c r="H340" s="43" t="s">
        <v>569</v>
      </c>
      <c r="I340" s="45" t="s">
        <v>569</v>
      </c>
      <c r="J340" s="45" t="s">
        <v>546</v>
      </c>
      <c r="K340" s="116">
        <v>134.18</v>
      </c>
      <c r="L340" s="116">
        <v>134.18</v>
      </c>
      <c r="M340" s="116"/>
      <c r="N340" s="116">
        <v>200</v>
      </c>
      <c r="O340" s="116">
        <v>177.44</v>
      </c>
      <c r="P340" s="116"/>
      <c r="Q340" s="116"/>
      <c r="R340" s="116"/>
      <c r="S340" s="46">
        <v>645.79999999999995</v>
      </c>
      <c r="T340" s="117"/>
      <c r="U340" s="56" t="s">
        <v>949</v>
      </c>
      <c r="V340" s="105" t="s">
        <v>571</v>
      </c>
    </row>
    <row r="341" spans="1:22" s="18" customFormat="1" ht="17.25" x14ac:dyDescent="0.3">
      <c r="A341" s="39">
        <v>14121015</v>
      </c>
      <c r="B341" s="40" t="s">
        <v>306</v>
      </c>
      <c r="C341" s="41" t="s">
        <v>818</v>
      </c>
      <c r="D341" s="42" t="s">
        <v>3</v>
      </c>
      <c r="E341" s="43" t="s">
        <v>567</v>
      </c>
      <c r="F341" s="43" t="s">
        <v>568</v>
      </c>
      <c r="G341" s="44">
        <v>90</v>
      </c>
      <c r="H341" s="43" t="s">
        <v>569</v>
      </c>
      <c r="I341" s="45" t="s">
        <v>571</v>
      </c>
      <c r="J341" s="45" t="s">
        <v>546</v>
      </c>
      <c r="K341" s="116">
        <v>134.18</v>
      </c>
      <c r="L341" s="116">
        <v>134.18</v>
      </c>
      <c r="M341" s="116"/>
      <c r="N341" s="116">
        <v>0</v>
      </c>
      <c r="O341" s="116">
        <v>0</v>
      </c>
      <c r="P341" s="116"/>
      <c r="Q341" s="116"/>
      <c r="R341" s="116"/>
      <c r="S341" s="46">
        <v>268.36</v>
      </c>
      <c r="T341" s="117"/>
      <c r="U341" s="56" t="s">
        <v>949</v>
      </c>
      <c r="V341" s="105" t="s">
        <v>571</v>
      </c>
    </row>
    <row r="342" spans="1:22" s="18" customFormat="1" ht="17.25" x14ac:dyDescent="0.3">
      <c r="A342" s="39">
        <v>14121103</v>
      </c>
      <c r="B342" s="40" t="s">
        <v>307</v>
      </c>
      <c r="C342" s="41" t="s">
        <v>819</v>
      </c>
      <c r="D342" s="42" t="s">
        <v>3</v>
      </c>
      <c r="E342" s="43" t="s">
        <v>567</v>
      </c>
      <c r="F342" s="43" t="s">
        <v>568</v>
      </c>
      <c r="G342" s="44">
        <v>92</v>
      </c>
      <c r="H342" s="43" t="s">
        <v>569</v>
      </c>
      <c r="I342" s="45" t="s">
        <v>569</v>
      </c>
      <c r="J342" s="45" t="s">
        <v>546</v>
      </c>
      <c r="K342" s="116">
        <v>134.18</v>
      </c>
      <c r="L342" s="116">
        <v>134.18</v>
      </c>
      <c r="M342" s="116"/>
      <c r="N342" s="116">
        <v>200</v>
      </c>
      <c r="O342" s="116">
        <v>177.44</v>
      </c>
      <c r="P342" s="116"/>
      <c r="Q342" s="116"/>
      <c r="R342" s="116"/>
      <c r="S342" s="46">
        <v>645.79999999999995</v>
      </c>
      <c r="T342" s="117"/>
      <c r="U342" s="56" t="s">
        <v>949</v>
      </c>
      <c r="V342" s="105" t="s">
        <v>571</v>
      </c>
    </row>
    <row r="343" spans="1:22" s="18" customFormat="1" ht="17.25" x14ac:dyDescent="0.3">
      <c r="A343" s="39">
        <v>14121104</v>
      </c>
      <c r="B343" s="40" t="s">
        <v>308</v>
      </c>
      <c r="C343" s="41" t="s">
        <v>819</v>
      </c>
      <c r="D343" s="42" t="s">
        <v>3</v>
      </c>
      <c r="E343" s="43" t="s">
        <v>567</v>
      </c>
      <c r="F343" s="43" t="s">
        <v>568</v>
      </c>
      <c r="G343" s="44">
        <v>93</v>
      </c>
      <c r="H343" s="43" t="s">
        <v>569</v>
      </c>
      <c r="I343" s="45" t="s">
        <v>571</v>
      </c>
      <c r="J343" s="45" t="s">
        <v>546</v>
      </c>
      <c r="K343" s="116">
        <v>134.18</v>
      </c>
      <c r="L343" s="116">
        <v>134.18</v>
      </c>
      <c r="M343" s="116"/>
      <c r="N343" s="116">
        <v>0</v>
      </c>
      <c r="O343" s="116">
        <v>0</v>
      </c>
      <c r="P343" s="116"/>
      <c r="Q343" s="116"/>
      <c r="R343" s="116"/>
      <c r="S343" s="46">
        <v>268.36</v>
      </c>
      <c r="T343" s="117"/>
      <c r="U343" s="56" t="s">
        <v>949</v>
      </c>
      <c r="V343" s="105" t="s">
        <v>571</v>
      </c>
    </row>
    <row r="344" spans="1:22" s="18" customFormat="1" ht="17.25" x14ac:dyDescent="0.3">
      <c r="A344" s="39">
        <v>14121116</v>
      </c>
      <c r="B344" s="40" t="s">
        <v>314</v>
      </c>
      <c r="C344" s="41" t="s">
        <v>677</v>
      </c>
      <c r="D344" s="42" t="s">
        <v>3</v>
      </c>
      <c r="E344" s="43" t="s">
        <v>567</v>
      </c>
      <c r="F344" s="43" t="s">
        <v>568</v>
      </c>
      <c r="G344" s="44">
        <v>91</v>
      </c>
      <c r="H344" s="43" t="s">
        <v>569</v>
      </c>
      <c r="I344" s="45" t="s">
        <v>569</v>
      </c>
      <c r="J344" s="45" t="s">
        <v>546</v>
      </c>
      <c r="K344" s="116">
        <v>134.18</v>
      </c>
      <c r="L344" s="116">
        <v>134.18</v>
      </c>
      <c r="M344" s="116"/>
      <c r="N344" s="116">
        <v>200</v>
      </c>
      <c r="O344" s="116">
        <v>177.44</v>
      </c>
      <c r="P344" s="116"/>
      <c r="Q344" s="116"/>
      <c r="R344" s="116"/>
      <c r="S344" s="46">
        <v>645.79999999999995</v>
      </c>
      <c r="T344" s="117"/>
      <c r="U344" s="56" t="s">
        <v>949</v>
      </c>
      <c r="V344" s="105" t="s">
        <v>571</v>
      </c>
    </row>
    <row r="345" spans="1:22" s="18" customFormat="1" ht="17.25" x14ac:dyDescent="0.3">
      <c r="A345" s="39">
        <v>14121152</v>
      </c>
      <c r="B345" s="40" t="s">
        <v>315</v>
      </c>
      <c r="C345" s="41" t="s">
        <v>820</v>
      </c>
      <c r="D345" s="42" t="s">
        <v>3</v>
      </c>
      <c r="E345" s="43" t="s">
        <v>567</v>
      </c>
      <c r="F345" s="43" t="s">
        <v>568</v>
      </c>
      <c r="G345" s="44">
        <v>94</v>
      </c>
      <c r="H345" s="43" t="s">
        <v>569</v>
      </c>
      <c r="I345" s="45" t="s">
        <v>571</v>
      </c>
      <c r="J345" s="45" t="s">
        <v>546</v>
      </c>
      <c r="K345" s="116">
        <v>134.18</v>
      </c>
      <c r="L345" s="116">
        <v>134.18</v>
      </c>
      <c r="M345" s="116"/>
      <c r="N345" s="116">
        <v>0</v>
      </c>
      <c r="O345" s="116">
        <v>0</v>
      </c>
      <c r="P345" s="116"/>
      <c r="Q345" s="116"/>
      <c r="R345" s="116"/>
      <c r="S345" s="46">
        <v>268.36</v>
      </c>
      <c r="T345" s="117"/>
      <c r="U345" s="56" t="s">
        <v>949</v>
      </c>
      <c r="V345" s="47" t="s">
        <v>951</v>
      </c>
    </row>
    <row r="346" spans="1:22" s="18" customFormat="1" ht="17.25" x14ac:dyDescent="0.3">
      <c r="A346" s="39">
        <v>14121153</v>
      </c>
      <c r="B346" s="40" t="s">
        <v>316</v>
      </c>
      <c r="C346" s="41" t="s">
        <v>820</v>
      </c>
      <c r="D346" s="42" t="s">
        <v>3</v>
      </c>
      <c r="E346" s="43" t="s">
        <v>567</v>
      </c>
      <c r="F346" s="43" t="s">
        <v>568</v>
      </c>
      <c r="G346" s="44">
        <v>92</v>
      </c>
      <c r="H346" s="43" t="s">
        <v>569</v>
      </c>
      <c r="I346" s="45" t="s">
        <v>571</v>
      </c>
      <c r="J346" s="45" t="s">
        <v>546</v>
      </c>
      <c r="K346" s="116">
        <v>0</v>
      </c>
      <c r="L346" s="116">
        <v>0</v>
      </c>
      <c r="M346" s="116"/>
      <c r="N346" s="116">
        <v>0</v>
      </c>
      <c r="O346" s="116">
        <v>0</v>
      </c>
      <c r="P346" s="116"/>
      <c r="Q346" s="116"/>
      <c r="R346" s="116"/>
      <c r="S346" s="46">
        <v>0</v>
      </c>
      <c r="T346" s="117"/>
      <c r="U346" s="56" t="s">
        <v>571</v>
      </c>
      <c r="V346" s="105" t="s">
        <v>571</v>
      </c>
    </row>
    <row r="347" spans="1:22" s="18" customFormat="1" ht="17.25" x14ac:dyDescent="0.3">
      <c r="A347" s="39">
        <v>14121158</v>
      </c>
      <c r="B347" s="40" t="s">
        <v>317</v>
      </c>
      <c r="C347" s="41" t="s">
        <v>820</v>
      </c>
      <c r="D347" s="42" t="s">
        <v>3</v>
      </c>
      <c r="E347" s="43" t="s">
        <v>567</v>
      </c>
      <c r="F347" s="43" t="s">
        <v>568</v>
      </c>
      <c r="G347" s="44">
        <v>92</v>
      </c>
      <c r="H347" s="43" t="s">
        <v>569</v>
      </c>
      <c r="I347" s="45" t="s">
        <v>571</v>
      </c>
      <c r="J347" s="45" t="s">
        <v>546</v>
      </c>
      <c r="K347" s="116">
        <v>134.18</v>
      </c>
      <c r="L347" s="116">
        <v>134.18</v>
      </c>
      <c r="M347" s="116"/>
      <c r="N347" s="116">
        <v>0</v>
      </c>
      <c r="O347" s="116">
        <v>0</v>
      </c>
      <c r="P347" s="116"/>
      <c r="Q347" s="116"/>
      <c r="R347" s="116"/>
      <c r="S347" s="46">
        <v>268.36</v>
      </c>
      <c r="T347" s="117"/>
      <c r="U347" s="56" t="s">
        <v>949</v>
      </c>
      <c r="V347" s="105" t="s">
        <v>571</v>
      </c>
    </row>
    <row r="348" spans="1:22" s="18" customFormat="1" ht="17.25" x14ac:dyDescent="0.3">
      <c r="A348" s="39">
        <v>14121159</v>
      </c>
      <c r="B348" s="40" t="s">
        <v>318</v>
      </c>
      <c r="C348" s="41" t="s">
        <v>820</v>
      </c>
      <c r="D348" s="42" t="s">
        <v>3</v>
      </c>
      <c r="E348" s="43" t="s">
        <v>567</v>
      </c>
      <c r="F348" s="43" t="s">
        <v>730</v>
      </c>
      <c r="G348" s="44">
        <v>89</v>
      </c>
      <c r="H348" s="43" t="s">
        <v>571</v>
      </c>
      <c r="I348" s="45" t="s">
        <v>569</v>
      </c>
      <c r="J348" s="45" t="s">
        <v>546</v>
      </c>
      <c r="K348" s="116">
        <v>134.18</v>
      </c>
      <c r="L348" s="116">
        <v>0</v>
      </c>
      <c r="M348" s="116"/>
      <c r="N348" s="116">
        <v>0</v>
      </c>
      <c r="O348" s="116">
        <v>177.44</v>
      </c>
      <c r="P348" s="116"/>
      <c r="Q348" s="116"/>
      <c r="R348" s="116"/>
      <c r="S348" s="46">
        <v>311.62</v>
      </c>
      <c r="T348" s="117"/>
      <c r="U348" s="56" t="s">
        <v>949</v>
      </c>
      <c r="V348" s="105" t="s">
        <v>571</v>
      </c>
    </row>
    <row r="349" spans="1:22" s="18" customFormat="1" ht="17.25" x14ac:dyDescent="0.3">
      <c r="A349" s="39">
        <v>14121193</v>
      </c>
      <c r="B349" s="40" t="s">
        <v>319</v>
      </c>
      <c r="C349" s="41" t="s">
        <v>755</v>
      </c>
      <c r="D349" s="42" t="s">
        <v>3</v>
      </c>
      <c r="E349" s="43" t="s">
        <v>567</v>
      </c>
      <c r="F349" s="43" t="s">
        <v>730</v>
      </c>
      <c r="G349" s="44">
        <v>91</v>
      </c>
      <c r="H349" s="43" t="s">
        <v>569</v>
      </c>
      <c r="I349" s="45" t="s">
        <v>569</v>
      </c>
      <c r="J349" s="45" t="s">
        <v>546</v>
      </c>
      <c r="K349" s="116">
        <v>134.18</v>
      </c>
      <c r="L349" s="116">
        <v>0</v>
      </c>
      <c r="M349" s="116"/>
      <c r="N349" s="116">
        <v>200</v>
      </c>
      <c r="O349" s="116">
        <v>177.44</v>
      </c>
      <c r="P349" s="116"/>
      <c r="Q349" s="116"/>
      <c r="R349" s="116"/>
      <c r="S349" s="46">
        <v>511.62</v>
      </c>
      <c r="T349" s="117"/>
      <c r="U349" s="56" t="s">
        <v>949</v>
      </c>
      <c r="V349" s="105" t="s">
        <v>571</v>
      </c>
    </row>
    <row r="350" spans="1:22" s="18" customFormat="1" ht="17.25" x14ac:dyDescent="0.3">
      <c r="A350" s="39">
        <v>14121235</v>
      </c>
      <c r="B350" s="40" t="s">
        <v>321</v>
      </c>
      <c r="C350" s="41" t="s">
        <v>576</v>
      </c>
      <c r="D350" s="42" t="s">
        <v>3</v>
      </c>
      <c r="E350" s="43" t="s">
        <v>567</v>
      </c>
      <c r="F350" s="43" t="s">
        <v>568</v>
      </c>
      <c r="G350" s="44">
        <v>93</v>
      </c>
      <c r="H350" s="43" t="s">
        <v>569</v>
      </c>
      <c r="I350" s="45" t="s">
        <v>569</v>
      </c>
      <c r="J350" s="45" t="s">
        <v>546</v>
      </c>
      <c r="K350" s="116">
        <v>134.18</v>
      </c>
      <c r="L350" s="116">
        <v>134.18</v>
      </c>
      <c r="M350" s="116"/>
      <c r="N350" s="116">
        <v>200</v>
      </c>
      <c r="O350" s="116">
        <v>177.44</v>
      </c>
      <c r="P350" s="116"/>
      <c r="Q350" s="116"/>
      <c r="R350" s="116"/>
      <c r="S350" s="46">
        <v>645.79999999999995</v>
      </c>
      <c r="T350" s="117"/>
      <c r="U350" s="56" t="s">
        <v>949</v>
      </c>
      <c r="V350" s="105" t="s">
        <v>571</v>
      </c>
    </row>
    <row r="351" spans="1:22" s="18" customFormat="1" ht="17.25" x14ac:dyDescent="0.3">
      <c r="A351" s="39">
        <v>14121238</v>
      </c>
      <c r="B351" s="40" t="s">
        <v>322</v>
      </c>
      <c r="C351" s="41" t="s">
        <v>576</v>
      </c>
      <c r="D351" s="42" t="s">
        <v>3</v>
      </c>
      <c r="E351" s="43" t="s">
        <v>567</v>
      </c>
      <c r="F351" s="43" t="s">
        <v>568</v>
      </c>
      <c r="G351" s="44">
        <v>89</v>
      </c>
      <c r="H351" s="43" t="s">
        <v>571</v>
      </c>
      <c r="I351" s="45" t="s">
        <v>571</v>
      </c>
      <c r="J351" s="45" t="s">
        <v>546</v>
      </c>
      <c r="K351" s="116">
        <v>134.18</v>
      </c>
      <c r="L351" s="116">
        <v>134.18</v>
      </c>
      <c r="M351" s="116"/>
      <c r="N351" s="116">
        <v>0</v>
      </c>
      <c r="O351" s="116">
        <v>0</v>
      </c>
      <c r="P351" s="116"/>
      <c r="Q351" s="116"/>
      <c r="R351" s="116"/>
      <c r="S351" s="46">
        <v>268.36</v>
      </c>
      <c r="T351" s="117"/>
      <c r="U351" s="56" t="s">
        <v>949</v>
      </c>
      <c r="V351" s="105" t="s">
        <v>571</v>
      </c>
    </row>
    <row r="352" spans="1:22" s="18" customFormat="1" ht="17.25" x14ac:dyDescent="0.3">
      <c r="A352" s="40">
        <v>14121239</v>
      </c>
      <c r="B352" s="40" t="s">
        <v>323</v>
      </c>
      <c r="C352" s="41" t="s">
        <v>576</v>
      </c>
      <c r="D352" s="42" t="s">
        <v>3</v>
      </c>
      <c r="E352" s="43" t="s">
        <v>567</v>
      </c>
      <c r="F352" s="43" t="s">
        <v>568</v>
      </c>
      <c r="G352" s="44">
        <v>83</v>
      </c>
      <c r="H352" s="43" t="s">
        <v>571</v>
      </c>
      <c r="I352" s="45" t="s">
        <v>569</v>
      </c>
      <c r="J352" s="45" t="s">
        <v>546</v>
      </c>
      <c r="K352" s="116">
        <v>134.18</v>
      </c>
      <c r="L352" s="116">
        <v>134.18</v>
      </c>
      <c r="M352" s="116"/>
      <c r="N352" s="116">
        <v>0</v>
      </c>
      <c r="O352" s="116">
        <v>177.44</v>
      </c>
      <c r="P352" s="116"/>
      <c r="Q352" s="116"/>
      <c r="R352" s="116"/>
      <c r="S352" s="46">
        <v>445.8</v>
      </c>
      <c r="T352" s="117"/>
      <c r="U352" s="56" t="s">
        <v>949</v>
      </c>
      <c r="V352" s="105" t="s">
        <v>571</v>
      </c>
    </row>
    <row r="353" spans="1:22" s="18" customFormat="1" ht="17.25" x14ac:dyDescent="0.3">
      <c r="A353" s="39">
        <v>14121266</v>
      </c>
      <c r="B353" s="40" t="s">
        <v>324</v>
      </c>
      <c r="C353" s="41" t="s">
        <v>821</v>
      </c>
      <c r="D353" s="42" t="s">
        <v>3</v>
      </c>
      <c r="E353" s="43" t="s">
        <v>567</v>
      </c>
      <c r="F353" s="43" t="s">
        <v>568</v>
      </c>
      <c r="G353" s="44">
        <v>94</v>
      </c>
      <c r="H353" s="43" t="s">
        <v>569</v>
      </c>
      <c r="I353" s="45" t="s">
        <v>569</v>
      </c>
      <c r="J353" s="45" t="s">
        <v>546</v>
      </c>
      <c r="K353" s="116">
        <v>134.18</v>
      </c>
      <c r="L353" s="116">
        <v>134.18</v>
      </c>
      <c r="M353" s="116"/>
      <c r="N353" s="116">
        <v>200</v>
      </c>
      <c r="O353" s="116">
        <v>177.44</v>
      </c>
      <c r="P353" s="116"/>
      <c r="Q353" s="116"/>
      <c r="R353" s="116"/>
      <c r="S353" s="46">
        <v>645.79999999999995</v>
      </c>
      <c r="T353" s="117"/>
      <c r="U353" s="56" t="s">
        <v>949</v>
      </c>
      <c r="V353" s="105" t="s">
        <v>571</v>
      </c>
    </row>
    <row r="354" spans="1:22" s="18" customFormat="1" ht="17.25" x14ac:dyDescent="0.3">
      <c r="A354" s="39">
        <v>14121271</v>
      </c>
      <c r="B354" s="40" t="s">
        <v>325</v>
      </c>
      <c r="C354" s="41" t="s">
        <v>821</v>
      </c>
      <c r="D354" s="42" t="s">
        <v>3</v>
      </c>
      <c r="E354" s="43" t="s">
        <v>567</v>
      </c>
      <c r="F354" s="43" t="s">
        <v>568</v>
      </c>
      <c r="G354" s="44">
        <v>83</v>
      </c>
      <c r="H354" s="43" t="s">
        <v>571</v>
      </c>
      <c r="I354" s="45" t="s">
        <v>569</v>
      </c>
      <c r="J354" s="45" t="s">
        <v>546</v>
      </c>
      <c r="K354" s="116">
        <v>134.18</v>
      </c>
      <c r="L354" s="116">
        <v>134.18</v>
      </c>
      <c r="M354" s="116"/>
      <c r="N354" s="116">
        <v>0</v>
      </c>
      <c r="O354" s="116">
        <v>177.44</v>
      </c>
      <c r="P354" s="116"/>
      <c r="Q354" s="116"/>
      <c r="R354" s="116"/>
      <c r="S354" s="46">
        <v>445.8</v>
      </c>
      <c r="T354" s="117"/>
      <c r="U354" s="56" t="s">
        <v>949</v>
      </c>
      <c r="V354" s="105" t="s">
        <v>571</v>
      </c>
    </row>
    <row r="355" spans="1:22" s="18" customFormat="1" ht="17.25" x14ac:dyDescent="0.3">
      <c r="A355" s="39">
        <v>14121328</v>
      </c>
      <c r="B355" s="40" t="s">
        <v>326</v>
      </c>
      <c r="C355" s="41" t="s">
        <v>822</v>
      </c>
      <c r="D355" s="42" t="s">
        <v>3</v>
      </c>
      <c r="E355" s="43" t="s">
        <v>567</v>
      </c>
      <c r="F355" s="43" t="s">
        <v>568</v>
      </c>
      <c r="G355" s="44">
        <v>90</v>
      </c>
      <c r="H355" s="43" t="s">
        <v>569</v>
      </c>
      <c r="I355" s="45" t="s">
        <v>569</v>
      </c>
      <c r="J355" s="45" t="s">
        <v>546</v>
      </c>
      <c r="K355" s="116">
        <v>134.18</v>
      </c>
      <c r="L355" s="116">
        <v>134.18</v>
      </c>
      <c r="M355" s="116"/>
      <c r="N355" s="116">
        <v>200</v>
      </c>
      <c r="O355" s="116">
        <v>177.44</v>
      </c>
      <c r="P355" s="116"/>
      <c r="Q355" s="116"/>
      <c r="R355" s="116"/>
      <c r="S355" s="46">
        <v>645.79999999999995</v>
      </c>
      <c r="T355" s="117"/>
      <c r="U355" s="56" t="s">
        <v>949</v>
      </c>
      <c r="V355" s="105" t="s">
        <v>571</v>
      </c>
    </row>
    <row r="356" spans="1:22" s="18" customFormat="1" ht="17.25" x14ac:dyDescent="0.3">
      <c r="A356" s="40">
        <v>14121398</v>
      </c>
      <c r="B356" s="40" t="s">
        <v>327</v>
      </c>
      <c r="C356" s="41" t="s">
        <v>823</v>
      </c>
      <c r="D356" s="42" t="s">
        <v>3</v>
      </c>
      <c r="E356" s="43" t="s">
        <v>567</v>
      </c>
      <c r="F356" s="43" t="s">
        <v>568</v>
      </c>
      <c r="G356" s="44">
        <v>94</v>
      </c>
      <c r="H356" s="43" t="s">
        <v>569</v>
      </c>
      <c r="I356" s="45" t="s">
        <v>569</v>
      </c>
      <c r="J356" s="45" t="s">
        <v>546</v>
      </c>
      <c r="K356" s="116">
        <v>134.18</v>
      </c>
      <c r="L356" s="116">
        <v>134.18</v>
      </c>
      <c r="M356" s="116"/>
      <c r="N356" s="116">
        <v>200</v>
      </c>
      <c r="O356" s="116">
        <v>177.44</v>
      </c>
      <c r="P356" s="116"/>
      <c r="Q356" s="116"/>
      <c r="R356" s="116"/>
      <c r="S356" s="46">
        <v>645.79999999999995</v>
      </c>
      <c r="T356" s="117"/>
      <c r="U356" s="56" t="s">
        <v>949</v>
      </c>
      <c r="V356" s="105" t="s">
        <v>571</v>
      </c>
    </row>
    <row r="357" spans="1:22" s="18" customFormat="1" ht="17.25" x14ac:dyDescent="0.3">
      <c r="A357" s="39">
        <v>14121522</v>
      </c>
      <c r="B357" s="40" t="s">
        <v>331</v>
      </c>
      <c r="C357" s="41" t="s">
        <v>824</v>
      </c>
      <c r="D357" s="42" t="s">
        <v>3</v>
      </c>
      <c r="E357" s="43" t="s">
        <v>567</v>
      </c>
      <c r="F357" s="43" t="s">
        <v>568</v>
      </c>
      <c r="G357" s="44">
        <v>94</v>
      </c>
      <c r="H357" s="43" t="s">
        <v>569</v>
      </c>
      <c r="I357" s="45" t="s">
        <v>569</v>
      </c>
      <c r="J357" s="45" t="s">
        <v>546</v>
      </c>
      <c r="K357" s="116">
        <v>134.18</v>
      </c>
      <c r="L357" s="116">
        <v>134.18</v>
      </c>
      <c r="M357" s="116"/>
      <c r="N357" s="116">
        <v>200</v>
      </c>
      <c r="O357" s="116">
        <v>177.44</v>
      </c>
      <c r="P357" s="116"/>
      <c r="Q357" s="116"/>
      <c r="R357" s="116"/>
      <c r="S357" s="46">
        <v>645.79999999999995</v>
      </c>
      <c r="T357" s="117"/>
      <c r="U357" s="56" t="s">
        <v>949</v>
      </c>
      <c r="V357" s="105" t="s">
        <v>571</v>
      </c>
    </row>
    <row r="358" spans="1:22" s="18" customFormat="1" ht="17.25" x14ac:dyDescent="0.3">
      <c r="A358" s="39">
        <v>14121523</v>
      </c>
      <c r="B358" s="40" t="s">
        <v>332</v>
      </c>
      <c r="C358" s="41" t="s">
        <v>824</v>
      </c>
      <c r="D358" s="42" t="s">
        <v>3</v>
      </c>
      <c r="E358" s="43" t="s">
        <v>567</v>
      </c>
      <c r="F358" s="43" t="s">
        <v>730</v>
      </c>
      <c r="G358" s="44">
        <v>92</v>
      </c>
      <c r="H358" s="43" t="s">
        <v>569</v>
      </c>
      <c r="I358" s="45" t="s">
        <v>571</v>
      </c>
      <c r="J358" s="45" t="s">
        <v>546</v>
      </c>
      <c r="K358" s="116">
        <v>134.18</v>
      </c>
      <c r="L358" s="116">
        <v>0</v>
      </c>
      <c r="M358" s="116"/>
      <c r="N358" s="116">
        <v>0</v>
      </c>
      <c r="O358" s="116">
        <v>0</v>
      </c>
      <c r="P358" s="116"/>
      <c r="Q358" s="116"/>
      <c r="R358" s="116"/>
      <c r="S358" s="46">
        <v>134.18</v>
      </c>
      <c r="T358" s="117"/>
      <c r="U358" s="56" t="s">
        <v>949</v>
      </c>
      <c r="V358" s="105" t="s">
        <v>571</v>
      </c>
    </row>
    <row r="359" spans="1:22" s="18" customFormat="1" ht="17.25" x14ac:dyDescent="0.3">
      <c r="A359" s="39">
        <v>14121543</v>
      </c>
      <c r="B359" s="40" t="s">
        <v>333</v>
      </c>
      <c r="C359" s="41" t="s">
        <v>825</v>
      </c>
      <c r="D359" s="42" t="s">
        <v>3</v>
      </c>
      <c r="E359" s="43" t="s">
        <v>567</v>
      </c>
      <c r="F359" s="43" t="s">
        <v>568</v>
      </c>
      <c r="G359" s="44">
        <v>94</v>
      </c>
      <c r="H359" s="43" t="s">
        <v>569</v>
      </c>
      <c r="I359" s="45" t="s">
        <v>569</v>
      </c>
      <c r="J359" s="45" t="s">
        <v>546</v>
      </c>
      <c r="K359" s="116">
        <v>134.18</v>
      </c>
      <c r="L359" s="116">
        <v>134.18</v>
      </c>
      <c r="M359" s="116"/>
      <c r="N359" s="116">
        <v>200</v>
      </c>
      <c r="O359" s="116">
        <v>177.44</v>
      </c>
      <c r="P359" s="116"/>
      <c r="Q359" s="116"/>
      <c r="R359" s="116"/>
      <c r="S359" s="46">
        <v>645.79999999999995</v>
      </c>
      <c r="T359" s="117"/>
      <c r="U359" s="56" t="s">
        <v>949</v>
      </c>
      <c r="V359" s="105" t="s">
        <v>571</v>
      </c>
    </row>
    <row r="360" spans="1:22" s="18" customFormat="1" ht="17.25" x14ac:dyDescent="0.3">
      <c r="A360" s="40">
        <v>14121545</v>
      </c>
      <c r="B360" s="40" t="s">
        <v>334</v>
      </c>
      <c r="C360" s="41" t="s">
        <v>825</v>
      </c>
      <c r="D360" s="42" t="s">
        <v>3</v>
      </c>
      <c r="E360" s="43" t="s">
        <v>567</v>
      </c>
      <c r="F360" s="43" t="s">
        <v>568</v>
      </c>
      <c r="G360" s="44">
        <v>92</v>
      </c>
      <c r="H360" s="43" t="s">
        <v>569</v>
      </c>
      <c r="I360" s="45" t="s">
        <v>571</v>
      </c>
      <c r="J360" s="45" t="s">
        <v>546</v>
      </c>
      <c r="K360" s="116">
        <v>134.18</v>
      </c>
      <c r="L360" s="116">
        <v>134.18</v>
      </c>
      <c r="M360" s="116"/>
      <c r="N360" s="116">
        <v>0</v>
      </c>
      <c r="O360" s="116">
        <v>0</v>
      </c>
      <c r="P360" s="116"/>
      <c r="Q360" s="116"/>
      <c r="R360" s="116"/>
      <c r="S360" s="46">
        <v>268.36</v>
      </c>
      <c r="T360" s="117"/>
      <c r="U360" s="56" t="s">
        <v>949</v>
      </c>
      <c r="V360" s="105" t="s">
        <v>571</v>
      </c>
    </row>
    <row r="361" spans="1:22" s="18" customFormat="1" ht="17.25" x14ac:dyDescent="0.3">
      <c r="A361" s="40">
        <v>14121571</v>
      </c>
      <c r="B361" s="40" t="s">
        <v>336</v>
      </c>
      <c r="C361" s="41" t="s">
        <v>826</v>
      </c>
      <c r="D361" s="42" t="s">
        <v>3</v>
      </c>
      <c r="E361" s="43" t="s">
        <v>567</v>
      </c>
      <c r="F361" s="43" t="s">
        <v>568</v>
      </c>
      <c r="G361" s="44">
        <v>93</v>
      </c>
      <c r="H361" s="43" t="s">
        <v>569</v>
      </c>
      <c r="I361" s="45" t="s">
        <v>569</v>
      </c>
      <c r="J361" s="45" t="s">
        <v>546</v>
      </c>
      <c r="K361" s="116">
        <v>134.18</v>
      </c>
      <c r="L361" s="116">
        <v>134.18</v>
      </c>
      <c r="M361" s="116"/>
      <c r="N361" s="116">
        <v>200</v>
      </c>
      <c r="O361" s="116">
        <v>177.44</v>
      </c>
      <c r="P361" s="116"/>
      <c r="Q361" s="116"/>
      <c r="R361" s="116"/>
      <c r="S361" s="46">
        <v>645.79999999999995</v>
      </c>
      <c r="T361" s="117"/>
      <c r="U361" s="56" t="s">
        <v>949</v>
      </c>
      <c r="V361" s="105" t="s">
        <v>571</v>
      </c>
    </row>
    <row r="362" spans="1:22" s="18" customFormat="1" ht="17.25" x14ac:dyDescent="0.3">
      <c r="A362" s="39">
        <v>14121582</v>
      </c>
      <c r="B362" s="40" t="s">
        <v>337</v>
      </c>
      <c r="C362" s="41" t="s">
        <v>827</v>
      </c>
      <c r="D362" s="42" t="s">
        <v>3</v>
      </c>
      <c r="E362" s="43" t="s">
        <v>567</v>
      </c>
      <c r="F362" s="43" t="s">
        <v>568</v>
      </c>
      <c r="G362" s="44">
        <v>93</v>
      </c>
      <c r="H362" s="43" t="s">
        <v>569</v>
      </c>
      <c r="I362" s="45" t="s">
        <v>569</v>
      </c>
      <c r="J362" s="45" t="s">
        <v>546</v>
      </c>
      <c r="K362" s="116">
        <v>134.18</v>
      </c>
      <c r="L362" s="116">
        <v>134.18</v>
      </c>
      <c r="M362" s="116"/>
      <c r="N362" s="116">
        <v>200</v>
      </c>
      <c r="O362" s="116">
        <v>177.44</v>
      </c>
      <c r="P362" s="116"/>
      <c r="Q362" s="116"/>
      <c r="R362" s="116"/>
      <c r="S362" s="46">
        <v>645.79999999999995</v>
      </c>
      <c r="T362" s="117"/>
      <c r="U362" s="56" t="s">
        <v>949</v>
      </c>
      <c r="V362" s="105" t="s">
        <v>571</v>
      </c>
    </row>
    <row r="363" spans="1:22" s="18" customFormat="1" ht="17.25" x14ac:dyDescent="0.3">
      <c r="A363" s="39">
        <v>14121598</v>
      </c>
      <c r="B363" s="40" t="s">
        <v>338</v>
      </c>
      <c r="C363" s="41" t="s">
        <v>828</v>
      </c>
      <c r="D363" s="42" t="s">
        <v>3</v>
      </c>
      <c r="E363" s="43" t="s">
        <v>567</v>
      </c>
      <c r="F363" s="43" t="s">
        <v>568</v>
      </c>
      <c r="G363" s="44">
        <v>93</v>
      </c>
      <c r="H363" s="43" t="s">
        <v>569</v>
      </c>
      <c r="I363" s="45" t="s">
        <v>569</v>
      </c>
      <c r="J363" s="45" t="s">
        <v>546</v>
      </c>
      <c r="K363" s="116">
        <v>134.18</v>
      </c>
      <c r="L363" s="116">
        <v>134.18</v>
      </c>
      <c r="M363" s="116"/>
      <c r="N363" s="116">
        <v>200</v>
      </c>
      <c r="O363" s="116">
        <v>177.44</v>
      </c>
      <c r="P363" s="116"/>
      <c r="Q363" s="116"/>
      <c r="R363" s="116"/>
      <c r="S363" s="46">
        <v>645.79999999999995</v>
      </c>
      <c r="T363" s="117"/>
      <c r="U363" s="56" t="s">
        <v>949</v>
      </c>
      <c r="V363" s="105" t="s">
        <v>571</v>
      </c>
    </row>
    <row r="364" spans="1:22" s="18" customFormat="1" ht="17.25" x14ac:dyDescent="0.3">
      <c r="A364" s="39">
        <v>14121600</v>
      </c>
      <c r="B364" s="40" t="s">
        <v>339</v>
      </c>
      <c r="C364" s="41" t="s">
        <v>828</v>
      </c>
      <c r="D364" s="42" t="s">
        <v>3</v>
      </c>
      <c r="E364" s="43" t="s">
        <v>567</v>
      </c>
      <c r="F364" s="43" t="s">
        <v>568</v>
      </c>
      <c r="G364" s="44">
        <v>94</v>
      </c>
      <c r="H364" s="43" t="s">
        <v>569</v>
      </c>
      <c r="I364" s="45" t="s">
        <v>571</v>
      </c>
      <c r="J364" s="45" t="s">
        <v>546</v>
      </c>
      <c r="K364" s="116">
        <v>134.18</v>
      </c>
      <c r="L364" s="116">
        <v>134.18</v>
      </c>
      <c r="M364" s="116"/>
      <c r="N364" s="116">
        <v>0</v>
      </c>
      <c r="O364" s="116">
        <v>0</v>
      </c>
      <c r="P364" s="116"/>
      <c r="Q364" s="116"/>
      <c r="R364" s="116"/>
      <c r="S364" s="46">
        <v>268.36</v>
      </c>
      <c r="T364" s="117"/>
      <c r="U364" s="56" t="s">
        <v>949</v>
      </c>
      <c r="V364" s="105" t="s">
        <v>571</v>
      </c>
    </row>
    <row r="365" spans="1:22" s="18" customFormat="1" ht="17.25" x14ac:dyDescent="0.3">
      <c r="A365" s="39">
        <v>14121672</v>
      </c>
      <c r="B365" s="40" t="s">
        <v>342</v>
      </c>
      <c r="C365" s="41" t="s">
        <v>829</v>
      </c>
      <c r="D365" s="42" t="s">
        <v>3</v>
      </c>
      <c r="E365" s="43" t="s">
        <v>567</v>
      </c>
      <c r="F365" s="43" t="s">
        <v>568</v>
      </c>
      <c r="G365" s="44">
        <v>94</v>
      </c>
      <c r="H365" s="43" t="s">
        <v>569</v>
      </c>
      <c r="I365" s="45" t="s">
        <v>569</v>
      </c>
      <c r="J365" s="45" t="s">
        <v>546</v>
      </c>
      <c r="K365" s="116">
        <v>134.18</v>
      </c>
      <c r="L365" s="116">
        <v>134.18</v>
      </c>
      <c r="M365" s="116"/>
      <c r="N365" s="116">
        <v>200</v>
      </c>
      <c r="O365" s="116">
        <v>177.44</v>
      </c>
      <c r="P365" s="116"/>
      <c r="Q365" s="116"/>
      <c r="R365" s="116"/>
      <c r="S365" s="46">
        <v>645.79999999999995</v>
      </c>
      <c r="T365" s="117"/>
      <c r="U365" s="56" t="s">
        <v>949</v>
      </c>
      <c r="V365" s="105" t="s">
        <v>571</v>
      </c>
    </row>
    <row r="366" spans="1:22" s="18" customFormat="1" ht="17.25" x14ac:dyDescent="0.3">
      <c r="A366" s="39">
        <v>14121677</v>
      </c>
      <c r="B366" s="40" t="s">
        <v>343</v>
      </c>
      <c r="C366" s="41" t="s">
        <v>829</v>
      </c>
      <c r="D366" s="42" t="s">
        <v>3</v>
      </c>
      <c r="E366" s="43" t="s">
        <v>567</v>
      </c>
      <c r="F366" s="43" t="s">
        <v>568</v>
      </c>
      <c r="G366" s="44">
        <v>84</v>
      </c>
      <c r="H366" s="43" t="s">
        <v>571</v>
      </c>
      <c r="I366" s="45" t="s">
        <v>569</v>
      </c>
      <c r="J366" s="45" t="s">
        <v>546</v>
      </c>
      <c r="K366" s="116">
        <v>134.18</v>
      </c>
      <c r="L366" s="116">
        <v>134.18</v>
      </c>
      <c r="M366" s="116"/>
      <c r="N366" s="116">
        <v>0</v>
      </c>
      <c r="O366" s="116">
        <v>177.44</v>
      </c>
      <c r="P366" s="116"/>
      <c r="Q366" s="116"/>
      <c r="R366" s="116"/>
      <c r="S366" s="46">
        <v>445.8</v>
      </c>
      <c r="T366" s="117"/>
      <c r="U366" s="56" t="s">
        <v>949</v>
      </c>
      <c r="V366" s="105" t="s">
        <v>571</v>
      </c>
    </row>
    <row r="367" spans="1:22" s="18" customFormat="1" ht="17.25" x14ac:dyDescent="0.3">
      <c r="A367" s="39">
        <v>14121728</v>
      </c>
      <c r="B367" s="40" t="s">
        <v>345</v>
      </c>
      <c r="C367" s="41" t="s">
        <v>830</v>
      </c>
      <c r="D367" s="42" t="s">
        <v>3</v>
      </c>
      <c r="E367" s="43" t="s">
        <v>567</v>
      </c>
      <c r="F367" s="43" t="s">
        <v>568</v>
      </c>
      <c r="G367" s="44">
        <v>79</v>
      </c>
      <c r="H367" s="43" t="s">
        <v>571</v>
      </c>
      <c r="I367" s="45" t="s">
        <v>569</v>
      </c>
      <c r="J367" s="45" t="s">
        <v>546</v>
      </c>
      <c r="K367" s="116">
        <v>134.18</v>
      </c>
      <c r="L367" s="116">
        <v>134.18</v>
      </c>
      <c r="M367" s="116"/>
      <c r="N367" s="116">
        <v>0</v>
      </c>
      <c r="O367" s="116">
        <v>177.44</v>
      </c>
      <c r="P367" s="116"/>
      <c r="Q367" s="116"/>
      <c r="R367" s="116"/>
      <c r="S367" s="46">
        <v>445.8</v>
      </c>
      <c r="T367" s="117"/>
      <c r="U367" s="56" t="s">
        <v>949</v>
      </c>
      <c r="V367" s="105" t="s">
        <v>571</v>
      </c>
    </row>
    <row r="368" spans="1:22" s="18" customFormat="1" ht="17.25" x14ac:dyDescent="0.3">
      <c r="A368" s="39">
        <v>14121733</v>
      </c>
      <c r="B368" s="40" t="s">
        <v>346</v>
      </c>
      <c r="C368" s="41" t="s">
        <v>713</v>
      </c>
      <c r="D368" s="42" t="s">
        <v>3</v>
      </c>
      <c r="E368" s="43" t="s">
        <v>567</v>
      </c>
      <c r="F368" s="43" t="s">
        <v>568</v>
      </c>
      <c r="G368" s="44">
        <v>93</v>
      </c>
      <c r="H368" s="43" t="s">
        <v>569</v>
      </c>
      <c r="I368" s="45" t="s">
        <v>569</v>
      </c>
      <c r="J368" s="45" t="s">
        <v>546</v>
      </c>
      <c r="K368" s="116">
        <v>134.18</v>
      </c>
      <c r="L368" s="116">
        <v>134.18</v>
      </c>
      <c r="M368" s="116"/>
      <c r="N368" s="116">
        <v>200</v>
      </c>
      <c r="O368" s="116">
        <v>177.44</v>
      </c>
      <c r="P368" s="116"/>
      <c r="Q368" s="116"/>
      <c r="R368" s="116"/>
      <c r="S368" s="46">
        <v>645.79999999999995</v>
      </c>
      <c r="T368" s="117"/>
      <c r="U368" s="56" t="s">
        <v>949</v>
      </c>
      <c r="V368" s="105" t="s">
        <v>571</v>
      </c>
    </row>
    <row r="369" spans="1:22" s="18" customFormat="1" ht="17.25" x14ac:dyDescent="0.3">
      <c r="A369" s="39">
        <v>14121756</v>
      </c>
      <c r="B369" s="40" t="s">
        <v>350</v>
      </c>
      <c r="C369" s="41" t="s">
        <v>831</v>
      </c>
      <c r="D369" s="42" t="s">
        <v>3</v>
      </c>
      <c r="E369" s="43" t="s">
        <v>567</v>
      </c>
      <c r="F369" s="43" t="s">
        <v>568</v>
      </c>
      <c r="G369" s="44">
        <v>89</v>
      </c>
      <c r="H369" s="43" t="s">
        <v>571</v>
      </c>
      <c r="I369" s="45" t="s">
        <v>569</v>
      </c>
      <c r="J369" s="45" t="s">
        <v>546</v>
      </c>
      <c r="K369" s="116">
        <v>134.18</v>
      </c>
      <c r="L369" s="116">
        <v>134.18</v>
      </c>
      <c r="M369" s="116"/>
      <c r="N369" s="116">
        <v>0</v>
      </c>
      <c r="O369" s="116">
        <v>177.44</v>
      </c>
      <c r="P369" s="116"/>
      <c r="Q369" s="116"/>
      <c r="R369" s="116"/>
      <c r="S369" s="46">
        <v>445.8</v>
      </c>
      <c r="T369" s="117"/>
      <c r="U369" s="56" t="s">
        <v>949</v>
      </c>
      <c r="V369" s="105" t="s">
        <v>571</v>
      </c>
    </row>
    <row r="370" spans="1:22" s="18" customFormat="1" ht="17.25" x14ac:dyDescent="0.3">
      <c r="A370" s="39">
        <v>14121766</v>
      </c>
      <c r="B370" s="40" t="s">
        <v>351</v>
      </c>
      <c r="C370" s="41" t="s">
        <v>831</v>
      </c>
      <c r="D370" s="42" t="s">
        <v>3</v>
      </c>
      <c r="E370" s="43" t="s">
        <v>567</v>
      </c>
      <c r="F370" s="43" t="s">
        <v>568</v>
      </c>
      <c r="G370" s="44">
        <v>95</v>
      </c>
      <c r="H370" s="43" t="s">
        <v>569</v>
      </c>
      <c r="I370" s="45" t="s">
        <v>569</v>
      </c>
      <c r="J370" s="45" t="s">
        <v>546</v>
      </c>
      <c r="K370" s="116">
        <v>134.18</v>
      </c>
      <c r="L370" s="116">
        <v>134.18</v>
      </c>
      <c r="M370" s="116"/>
      <c r="N370" s="116">
        <v>200</v>
      </c>
      <c r="O370" s="116">
        <v>177.44</v>
      </c>
      <c r="P370" s="116"/>
      <c r="Q370" s="116"/>
      <c r="R370" s="116"/>
      <c r="S370" s="46">
        <v>645.79999999999995</v>
      </c>
      <c r="T370" s="117"/>
      <c r="U370" s="56" t="s">
        <v>949</v>
      </c>
      <c r="V370" s="105" t="s">
        <v>571</v>
      </c>
    </row>
    <row r="371" spans="1:22" s="18" customFormat="1" ht="17.25" x14ac:dyDescent="0.3">
      <c r="A371" s="39">
        <v>14121784</v>
      </c>
      <c r="B371" s="40" t="s">
        <v>352</v>
      </c>
      <c r="C371" s="41" t="s">
        <v>832</v>
      </c>
      <c r="D371" s="42" t="s">
        <v>3</v>
      </c>
      <c r="E371" s="43" t="s">
        <v>567</v>
      </c>
      <c r="F371" s="43" t="s">
        <v>568</v>
      </c>
      <c r="G371" s="44">
        <v>89</v>
      </c>
      <c r="H371" s="43" t="s">
        <v>571</v>
      </c>
      <c r="I371" s="45" t="s">
        <v>569</v>
      </c>
      <c r="J371" s="45" t="s">
        <v>546</v>
      </c>
      <c r="K371" s="116">
        <v>134.18</v>
      </c>
      <c r="L371" s="116">
        <v>134.18</v>
      </c>
      <c r="M371" s="116"/>
      <c r="N371" s="116">
        <v>0</v>
      </c>
      <c r="O371" s="116">
        <v>177.44</v>
      </c>
      <c r="P371" s="116"/>
      <c r="Q371" s="116"/>
      <c r="R371" s="116"/>
      <c r="S371" s="46">
        <v>445.8</v>
      </c>
      <c r="T371" s="117"/>
      <c r="U371" s="56" t="s">
        <v>949</v>
      </c>
      <c r="V371" s="105" t="s">
        <v>571</v>
      </c>
    </row>
    <row r="372" spans="1:22" s="18" customFormat="1" ht="17.25" x14ac:dyDescent="0.3">
      <c r="A372" s="39">
        <v>14121785</v>
      </c>
      <c r="B372" s="40" t="s">
        <v>353</v>
      </c>
      <c r="C372" s="41" t="s">
        <v>832</v>
      </c>
      <c r="D372" s="42" t="s">
        <v>3</v>
      </c>
      <c r="E372" s="43" t="s">
        <v>567</v>
      </c>
      <c r="F372" s="43" t="s">
        <v>568</v>
      </c>
      <c r="G372" s="44">
        <v>80</v>
      </c>
      <c r="H372" s="43" t="s">
        <v>571</v>
      </c>
      <c r="I372" s="45" t="s">
        <v>569</v>
      </c>
      <c r="J372" s="45" t="s">
        <v>546</v>
      </c>
      <c r="K372" s="116">
        <v>134.18</v>
      </c>
      <c r="L372" s="116">
        <v>134.18</v>
      </c>
      <c r="M372" s="116"/>
      <c r="N372" s="116">
        <v>0</v>
      </c>
      <c r="O372" s="116">
        <v>177.44</v>
      </c>
      <c r="P372" s="116"/>
      <c r="Q372" s="116"/>
      <c r="R372" s="116"/>
      <c r="S372" s="46">
        <v>445.8</v>
      </c>
      <c r="T372" s="117"/>
      <c r="U372" s="56" t="s">
        <v>949</v>
      </c>
      <c r="V372" s="105" t="s">
        <v>571</v>
      </c>
    </row>
    <row r="373" spans="1:22" s="18" customFormat="1" ht="17.25" x14ac:dyDescent="0.3">
      <c r="A373" s="39">
        <v>14121791</v>
      </c>
      <c r="B373" s="40" t="s">
        <v>354</v>
      </c>
      <c r="C373" s="41" t="s">
        <v>832</v>
      </c>
      <c r="D373" s="42" t="s">
        <v>3</v>
      </c>
      <c r="E373" s="43" t="s">
        <v>567</v>
      </c>
      <c r="F373" s="43" t="s">
        <v>568</v>
      </c>
      <c r="G373" s="44">
        <v>88</v>
      </c>
      <c r="H373" s="43" t="s">
        <v>571</v>
      </c>
      <c r="I373" s="45" t="s">
        <v>571</v>
      </c>
      <c r="J373" s="45" t="s">
        <v>546</v>
      </c>
      <c r="K373" s="116">
        <v>134.18</v>
      </c>
      <c r="L373" s="116">
        <v>134.18</v>
      </c>
      <c r="M373" s="116"/>
      <c r="N373" s="116">
        <v>0</v>
      </c>
      <c r="O373" s="116">
        <v>0</v>
      </c>
      <c r="P373" s="116"/>
      <c r="Q373" s="116"/>
      <c r="R373" s="116"/>
      <c r="S373" s="46">
        <v>268.36</v>
      </c>
      <c r="T373" s="117"/>
      <c r="U373" s="56" t="s">
        <v>949</v>
      </c>
      <c r="V373" s="105" t="s">
        <v>571</v>
      </c>
    </row>
    <row r="374" spans="1:22" s="18" customFormat="1" ht="17.25" x14ac:dyDescent="0.3">
      <c r="A374" s="39">
        <v>14121809</v>
      </c>
      <c r="B374" s="40" t="s">
        <v>355</v>
      </c>
      <c r="C374" s="41" t="s">
        <v>833</v>
      </c>
      <c r="D374" s="42" t="s">
        <v>3</v>
      </c>
      <c r="E374" s="43" t="s">
        <v>567</v>
      </c>
      <c r="F374" s="43" t="s">
        <v>568</v>
      </c>
      <c r="G374" s="44">
        <v>87</v>
      </c>
      <c r="H374" s="43" t="s">
        <v>571</v>
      </c>
      <c r="I374" s="45" t="s">
        <v>571</v>
      </c>
      <c r="J374" s="45" t="s">
        <v>546</v>
      </c>
      <c r="K374" s="116">
        <v>134.18</v>
      </c>
      <c r="L374" s="116">
        <v>134.18</v>
      </c>
      <c r="M374" s="116"/>
      <c r="N374" s="116">
        <v>0</v>
      </c>
      <c r="O374" s="116">
        <v>0</v>
      </c>
      <c r="P374" s="116"/>
      <c r="Q374" s="116"/>
      <c r="R374" s="116"/>
      <c r="S374" s="46">
        <v>268.36</v>
      </c>
      <c r="T374" s="117"/>
      <c r="U374" s="56" t="s">
        <v>949</v>
      </c>
      <c r="V374" s="105" t="s">
        <v>571</v>
      </c>
    </row>
    <row r="375" spans="1:22" s="18" customFormat="1" ht="17.25" x14ac:dyDescent="0.3">
      <c r="A375" s="39">
        <v>14121811</v>
      </c>
      <c r="B375" s="48" t="s">
        <v>356</v>
      </c>
      <c r="C375" s="41" t="s">
        <v>833</v>
      </c>
      <c r="D375" s="42" t="s">
        <v>3</v>
      </c>
      <c r="E375" s="43" t="s">
        <v>567</v>
      </c>
      <c r="F375" s="43" t="s">
        <v>568</v>
      </c>
      <c r="G375" s="44">
        <v>93</v>
      </c>
      <c r="H375" s="43" t="s">
        <v>569</v>
      </c>
      <c r="I375" s="45" t="s">
        <v>569</v>
      </c>
      <c r="J375" s="45" t="s">
        <v>546</v>
      </c>
      <c r="K375" s="116">
        <v>134.18</v>
      </c>
      <c r="L375" s="116">
        <v>134.18</v>
      </c>
      <c r="M375" s="116"/>
      <c r="N375" s="116">
        <v>200</v>
      </c>
      <c r="O375" s="116">
        <v>177.44</v>
      </c>
      <c r="P375" s="116"/>
      <c r="Q375" s="116"/>
      <c r="R375" s="116"/>
      <c r="S375" s="46">
        <v>645.79999999999995</v>
      </c>
      <c r="T375" s="117"/>
      <c r="U375" s="56" t="s">
        <v>949</v>
      </c>
      <c r="V375" s="105" t="s">
        <v>571</v>
      </c>
    </row>
    <row r="376" spans="1:22" s="18" customFormat="1" ht="17.25" x14ac:dyDescent="0.3">
      <c r="A376" s="39">
        <v>14121821</v>
      </c>
      <c r="B376" s="40" t="s">
        <v>357</v>
      </c>
      <c r="C376" s="41" t="s">
        <v>775</v>
      </c>
      <c r="D376" s="42" t="s">
        <v>3</v>
      </c>
      <c r="E376" s="43" t="s">
        <v>567</v>
      </c>
      <c r="F376" s="43" t="s">
        <v>568</v>
      </c>
      <c r="G376" s="44">
        <v>88</v>
      </c>
      <c r="H376" s="43" t="s">
        <v>571</v>
      </c>
      <c r="I376" s="45" t="s">
        <v>569</v>
      </c>
      <c r="J376" s="45" t="s">
        <v>546</v>
      </c>
      <c r="K376" s="116">
        <v>134.18</v>
      </c>
      <c r="L376" s="116">
        <v>134.18</v>
      </c>
      <c r="M376" s="116"/>
      <c r="N376" s="116">
        <v>0</v>
      </c>
      <c r="O376" s="116">
        <v>177.44</v>
      </c>
      <c r="P376" s="116"/>
      <c r="Q376" s="116"/>
      <c r="R376" s="116"/>
      <c r="S376" s="46">
        <v>445.8</v>
      </c>
      <c r="T376" s="117"/>
      <c r="U376" s="56" t="s">
        <v>949</v>
      </c>
      <c r="V376" s="105" t="s">
        <v>571</v>
      </c>
    </row>
    <row r="377" spans="1:22" s="18" customFormat="1" ht="17.25" x14ac:dyDescent="0.3">
      <c r="A377" s="39">
        <v>14121856</v>
      </c>
      <c r="B377" s="48" t="s">
        <v>358</v>
      </c>
      <c r="C377" s="41" t="s">
        <v>695</v>
      </c>
      <c r="D377" s="42" t="s">
        <v>3</v>
      </c>
      <c r="E377" s="43" t="s">
        <v>567</v>
      </c>
      <c r="F377" s="43" t="s">
        <v>568</v>
      </c>
      <c r="G377" s="44">
        <v>89</v>
      </c>
      <c r="H377" s="43" t="s">
        <v>571</v>
      </c>
      <c r="I377" s="45" t="s">
        <v>569</v>
      </c>
      <c r="J377" s="45" t="s">
        <v>546</v>
      </c>
      <c r="K377" s="116">
        <v>134.18</v>
      </c>
      <c r="L377" s="116">
        <v>134.18</v>
      </c>
      <c r="M377" s="116"/>
      <c r="N377" s="116">
        <v>0</v>
      </c>
      <c r="O377" s="116">
        <v>177.44</v>
      </c>
      <c r="P377" s="116"/>
      <c r="Q377" s="116"/>
      <c r="R377" s="116"/>
      <c r="S377" s="46">
        <v>445.8</v>
      </c>
      <c r="T377" s="117"/>
      <c r="U377" s="56" t="s">
        <v>949</v>
      </c>
      <c r="V377" s="105" t="s">
        <v>571</v>
      </c>
    </row>
    <row r="378" spans="1:22" s="18" customFormat="1" ht="17.25" x14ac:dyDescent="0.3">
      <c r="A378" s="39">
        <v>14121859</v>
      </c>
      <c r="B378" s="40" t="s">
        <v>359</v>
      </c>
      <c r="C378" s="41" t="s">
        <v>695</v>
      </c>
      <c r="D378" s="42" t="s">
        <v>3</v>
      </c>
      <c r="E378" s="43" t="s">
        <v>567</v>
      </c>
      <c r="F378" s="43" t="s">
        <v>568</v>
      </c>
      <c r="G378" s="44">
        <v>94</v>
      </c>
      <c r="H378" s="43" t="s">
        <v>569</v>
      </c>
      <c r="I378" s="45" t="s">
        <v>569</v>
      </c>
      <c r="J378" s="45" t="s">
        <v>546</v>
      </c>
      <c r="K378" s="116">
        <v>134.18</v>
      </c>
      <c r="L378" s="116">
        <v>134.18</v>
      </c>
      <c r="M378" s="116"/>
      <c r="N378" s="116">
        <v>200</v>
      </c>
      <c r="O378" s="116">
        <v>177.44</v>
      </c>
      <c r="P378" s="116"/>
      <c r="Q378" s="116"/>
      <c r="R378" s="116"/>
      <c r="S378" s="46">
        <v>645.79999999999995</v>
      </c>
      <c r="T378" s="117"/>
      <c r="U378" s="56" t="s">
        <v>949</v>
      </c>
      <c r="V378" s="105" t="s">
        <v>571</v>
      </c>
    </row>
    <row r="379" spans="1:22" s="18" customFormat="1" ht="17.25" x14ac:dyDescent="0.3">
      <c r="A379" s="39">
        <v>14121860</v>
      </c>
      <c r="B379" s="40" t="s">
        <v>360</v>
      </c>
      <c r="C379" s="41" t="s">
        <v>695</v>
      </c>
      <c r="D379" s="42" t="s">
        <v>3</v>
      </c>
      <c r="E379" s="43" t="s">
        <v>567</v>
      </c>
      <c r="F379" s="43" t="s">
        <v>568</v>
      </c>
      <c r="G379" s="44">
        <v>65</v>
      </c>
      <c r="H379" s="43" t="s">
        <v>571</v>
      </c>
      <c r="I379" s="45" t="s">
        <v>569</v>
      </c>
      <c r="J379" s="45" t="s">
        <v>573</v>
      </c>
      <c r="K379" s="116">
        <v>0</v>
      </c>
      <c r="L379" s="116">
        <v>0</v>
      </c>
      <c r="M379" s="116"/>
      <c r="N379" s="116">
        <v>0</v>
      </c>
      <c r="O379" s="116">
        <v>0</v>
      </c>
      <c r="P379" s="116"/>
      <c r="Q379" s="116"/>
      <c r="R379" s="116"/>
      <c r="S379" s="46">
        <v>0</v>
      </c>
      <c r="T379" s="117"/>
      <c r="U379" s="56" t="s">
        <v>571</v>
      </c>
      <c r="V379" s="105" t="s">
        <v>571</v>
      </c>
    </row>
    <row r="380" spans="1:22" s="18" customFormat="1" ht="17.25" x14ac:dyDescent="0.3">
      <c r="A380" s="39">
        <v>14121869</v>
      </c>
      <c r="B380" s="40" t="s">
        <v>361</v>
      </c>
      <c r="C380" s="41" t="s">
        <v>834</v>
      </c>
      <c r="D380" s="42" t="s">
        <v>3</v>
      </c>
      <c r="E380" s="43" t="s">
        <v>567</v>
      </c>
      <c r="F380" s="43" t="s">
        <v>568</v>
      </c>
      <c r="G380" s="44">
        <v>92</v>
      </c>
      <c r="H380" s="43" t="s">
        <v>569</v>
      </c>
      <c r="I380" s="45" t="s">
        <v>569</v>
      </c>
      <c r="J380" s="45" t="s">
        <v>546</v>
      </c>
      <c r="K380" s="116">
        <v>134.18</v>
      </c>
      <c r="L380" s="116">
        <v>134.18</v>
      </c>
      <c r="M380" s="116"/>
      <c r="N380" s="116">
        <v>200</v>
      </c>
      <c r="O380" s="116">
        <v>177.44</v>
      </c>
      <c r="P380" s="116"/>
      <c r="Q380" s="116"/>
      <c r="R380" s="116"/>
      <c r="S380" s="46">
        <v>645.79999999999995</v>
      </c>
      <c r="T380" s="117"/>
      <c r="U380" s="56" t="s">
        <v>949</v>
      </c>
      <c r="V380" s="105" t="s">
        <v>571</v>
      </c>
    </row>
    <row r="381" spans="1:22" s="18" customFormat="1" ht="17.25" x14ac:dyDescent="0.3">
      <c r="A381" s="39">
        <v>14121896</v>
      </c>
      <c r="B381" s="40" t="s">
        <v>362</v>
      </c>
      <c r="C381" s="41" t="s">
        <v>835</v>
      </c>
      <c r="D381" s="42" t="s">
        <v>3</v>
      </c>
      <c r="E381" s="43" t="s">
        <v>567</v>
      </c>
      <c r="F381" s="43" t="s">
        <v>568</v>
      </c>
      <c r="G381" s="44">
        <v>95</v>
      </c>
      <c r="H381" s="43" t="s">
        <v>569</v>
      </c>
      <c r="I381" s="45" t="s">
        <v>571</v>
      </c>
      <c r="J381" s="45" t="s">
        <v>546</v>
      </c>
      <c r="K381" s="116">
        <v>134.18</v>
      </c>
      <c r="L381" s="116">
        <v>134.18</v>
      </c>
      <c r="M381" s="116"/>
      <c r="N381" s="116">
        <v>0</v>
      </c>
      <c r="O381" s="116">
        <v>0</v>
      </c>
      <c r="P381" s="116"/>
      <c r="Q381" s="116"/>
      <c r="R381" s="116"/>
      <c r="S381" s="46">
        <v>268.36</v>
      </c>
      <c r="T381" s="117"/>
      <c r="U381" s="56" t="s">
        <v>949</v>
      </c>
      <c r="V381" s="105" t="s">
        <v>571</v>
      </c>
    </row>
    <row r="382" spans="1:22" s="18" customFormat="1" ht="17.25" x14ac:dyDescent="0.3">
      <c r="A382" s="39">
        <v>14121917</v>
      </c>
      <c r="B382" s="40" t="s">
        <v>363</v>
      </c>
      <c r="C382" s="41" t="s">
        <v>836</v>
      </c>
      <c r="D382" s="42" t="s">
        <v>3</v>
      </c>
      <c r="E382" s="43" t="s">
        <v>567</v>
      </c>
      <c r="F382" s="43" t="s">
        <v>568</v>
      </c>
      <c r="G382" s="44">
        <v>94</v>
      </c>
      <c r="H382" s="43" t="s">
        <v>569</v>
      </c>
      <c r="I382" s="45" t="s">
        <v>569</v>
      </c>
      <c r="J382" s="45" t="s">
        <v>546</v>
      </c>
      <c r="K382" s="116">
        <v>134.18</v>
      </c>
      <c r="L382" s="116">
        <v>134.18</v>
      </c>
      <c r="M382" s="116"/>
      <c r="N382" s="116">
        <v>200</v>
      </c>
      <c r="O382" s="116">
        <v>177.44</v>
      </c>
      <c r="P382" s="116"/>
      <c r="Q382" s="116"/>
      <c r="R382" s="116"/>
      <c r="S382" s="46">
        <v>645.79999999999995</v>
      </c>
      <c r="T382" s="117"/>
      <c r="U382" s="56" t="s">
        <v>949</v>
      </c>
      <c r="V382" s="105" t="s">
        <v>571</v>
      </c>
    </row>
    <row r="383" spans="1:22" s="18" customFormat="1" ht="17.25" x14ac:dyDescent="0.3">
      <c r="A383" s="39">
        <v>14121964</v>
      </c>
      <c r="B383" s="40" t="s">
        <v>368</v>
      </c>
      <c r="C383" s="41" t="s">
        <v>837</v>
      </c>
      <c r="D383" s="42" t="s">
        <v>3</v>
      </c>
      <c r="E383" s="43" t="s">
        <v>567</v>
      </c>
      <c r="F383" s="43" t="s">
        <v>568</v>
      </c>
      <c r="G383" s="44">
        <v>94</v>
      </c>
      <c r="H383" s="43" t="s">
        <v>569</v>
      </c>
      <c r="I383" s="45" t="s">
        <v>569</v>
      </c>
      <c r="J383" s="45" t="s">
        <v>546</v>
      </c>
      <c r="K383" s="116">
        <v>134.18</v>
      </c>
      <c r="L383" s="116">
        <v>134.18</v>
      </c>
      <c r="M383" s="116"/>
      <c r="N383" s="116">
        <v>200</v>
      </c>
      <c r="O383" s="116">
        <v>177.44</v>
      </c>
      <c r="P383" s="116"/>
      <c r="Q383" s="116"/>
      <c r="R383" s="116"/>
      <c r="S383" s="46">
        <v>645.79999999999995</v>
      </c>
      <c r="T383" s="117"/>
      <c r="U383" s="56" t="s">
        <v>949</v>
      </c>
      <c r="V383" s="105" t="s">
        <v>571</v>
      </c>
    </row>
    <row r="384" spans="1:22" s="18" customFormat="1" ht="17.25" x14ac:dyDescent="0.3">
      <c r="A384" s="40">
        <v>14121985</v>
      </c>
      <c r="B384" s="40" t="s">
        <v>369</v>
      </c>
      <c r="C384" s="41" t="s">
        <v>838</v>
      </c>
      <c r="D384" s="42" t="s">
        <v>3</v>
      </c>
      <c r="E384" s="43" t="s">
        <v>567</v>
      </c>
      <c r="F384" s="43" t="s">
        <v>568</v>
      </c>
      <c r="G384" s="44">
        <v>90</v>
      </c>
      <c r="H384" s="43" t="s">
        <v>569</v>
      </c>
      <c r="I384" s="45" t="s">
        <v>569</v>
      </c>
      <c r="J384" s="45" t="s">
        <v>546</v>
      </c>
      <c r="K384" s="116">
        <v>134.18</v>
      </c>
      <c r="L384" s="116">
        <v>134.18</v>
      </c>
      <c r="M384" s="116"/>
      <c r="N384" s="116">
        <v>200</v>
      </c>
      <c r="O384" s="116">
        <v>177.44</v>
      </c>
      <c r="P384" s="116"/>
      <c r="Q384" s="116"/>
      <c r="R384" s="116"/>
      <c r="S384" s="46">
        <v>645.79999999999995</v>
      </c>
      <c r="T384" s="117"/>
      <c r="U384" s="56" t="s">
        <v>949</v>
      </c>
      <c r="V384" s="105" t="s">
        <v>571</v>
      </c>
    </row>
    <row r="385" spans="1:22" s="18" customFormat="1" ht="17.25" x14ac:dyDescent="0.3">
      <c r="A385" s="39">
        <v>14122033</v>
      </c>
      <c r="B385" s="40" t="s">
        <v>371</v>
      </c>
      <c r="C385" s="41" t="s">
        <v>839</v>
      </c>
      <c r="D385" s="42" t="s">
        <v>3</v>
      </c>
      <c r="E385" s="43" t="s">
        <v>567</v>
      </c>
      <c r="F385" s="43" t="s">
        <v>568</v>
      </c>
      <c r="G385" s="44">
        <v>80</v>
      </c>
      <c r="H385" s="43" t="s">
        <v>571</v>
      </c>
      <c r="I385" s="45" t="s">
        <v>571</v>
      </c>
      <c r="J385" s="45" t="s">
        <v>546</v>
      </c>
      <c r="K385" s="116">
        <v>134.18</v>
      </c>
      <c r="L385" s="116">
        <v>134.18</v>
      </c>
      <c r="M385" s="116"/>
      <c r="N385" s="116">
        <v>0</v>
      </c>
      <c r="O385" s="116">
        <v>0</v>
      </c>
      <c r="P385" s="116"/>
      <c r="Q385" s="116"/>
      <c r="R385" s="116"/>
      <c r="S385" s="46">
        <v>268.36</v>
      </c>
      <c r="T385" s="117"/>
      <c r="U385" s="56" t="s">
        <v>949</v>
      </c>
      <c r="V385" s="105" t="s">
        <v>571</v>
      </c>
    </row>
    <row r="386" spans="1:22" s="18" customFormat="1" ht="17.25" x14ac:dyDescent="0.3">
      <c r="A386" s="39">
        <v>14122034</v>
      </c>
      <c r="B386" s="40" t="s">
        <v>372</v>
      </c>
      <c r="C386" s="41" t="s">
        <v>839</v>
      </c>
      <c r="D386" s="42" t="s">
        <v>3</v>
      </c>
      <c r="E386" s="43" t="s">
        <v>567</v>
      </c>
      <c r="F386" s="43" t="s">
        <v>568</v>
      </c>
      <c r="G386" s="44">
        <v>95</v>
      </c>
      <c r="H386" s="43" t="s">
        <v>569</v>
      </c>
      <c r="I386" s="45" t="s">
        <v>569</v>
      </c>
      <c r="J386" s="45" t="s">
        <v>546</v>
      </c>
      <c r="K386" s="116">
        <v>134.18</v>
      </c>
      <c r="L386" s="116">
        <v>134.18</v>
      </c>
      <c r="M386" s="116"/>
      <c r="N386" s="116">
        <v>200</v>
      </c>
      <c r="O386" s="116">
        <v>177.44</v>
      </c>
      <c r="P386" s="116"/>
      <c r="Q386" s="116"/>
      <c r="R386" s="116"/>
      <c r="S386" s="46">
        <v>645.79999999999995</v>
      </c>
      <c r="T386" s="117"/>
      <c r="U386" s="56" t="s">
        <v>949</v>
      </c>
      <c r="V386" s="105" t="s">
        <v>571</v>
      </c>
    </row>
    <row r="387" spans="1:22" s="18" customFormat="1" ht="17.25" x14ac:dyDescent="0.3">
      <c r="A387" s="39">
        <v>14122035</v>
      </c>
      <c r="B387" s="40" t="s">
        <v>373</v>
      </c>
      <c r="C387" s="41" t="s">
        <v>839</v>
      </c>
      <c r="D387" s="42" t="s">
        <v>3</v>
      </c>
      <c r="E387" s="43" t="s">
        <v>567</v>
      </c>
      <c r="F387" s="43" t="s">
        <v>568</v>
      </c>
      <c r="G387" s="44">
        <v>85</v>
      </c>
      <c r="H387" s="43" t="s">
        <v>571</v>
      </c>
      <c r="I387" s="45" t="s">
        <v>571</v>
      </c>
      <c r="J387" s="45" t="s">
        <v>546</v>
      </c>
      <c r="K387" s="116">
        <v>134.18</v>
      </c>
      <c r="L387" s="116">
        <v>134.18</v>
      </c>
      <c r="M387" s="116"/>
      <c r="N387" s="116">
        <v>0</v>
      </c>
      <c r="O387" s="116">
        <v>0</v>
      </c>
      <c r="P387" s="116"/>
      <c r="Q387" s="116"/>
      <c r="R387" s="116"/>
      <c r="S387" s="46">
        <v>268.36</v>
      </c>
      <c r="T387" s="117"/>
      <c r="U387" s="56" t="s">
        <v>949</v>
      </c>
      <c r="V387" s="105" t="s">
        <v>571</v>
      </c>
    </row>
    <row r="388" spans="1:22" s="18" customFormat="1" ht="17.25" x14ac:dyDescent="0.3">
      <c r="A388" s="39">
        <v>14122067</v>
      </c>
      <c r="B388" s="40" t="s">
        <v>374</v>
      </c>
      <c r="C388" s="41" t="s">
        <v>840</v>
      </c>
      <c r="D388" s="42" t="s">
        <v>3</v>
      </c>
      <c r="E388" s="43" t="s">
        <v>567</v>
      </c>
      <c r="F388" s="43" t="s">
        <v>568</v>
      </c>
      <c r="G388" s="44">
        <v>95</v>
      </c>
      <c r="H388" s="43" t="s">
        <v>569</v>
      </c>
      <c r="I388" s="45" t="s">
        <v>569</v>
      </c>
      <c r="J388" s="45" t="s">
        <v>546</v>
      </c>
      <c r="K388" s="116">
        <v>134.18</v>
      </c>
      <c r="L388" s="116">
        <v>134.18</v>
      </c>
      <c r="M388" s="116"/>
      <c r="N388" s="116">
        <v>200</v>
      </c>
      <c r="O388" s="116">
        <v>177.44</v>
      </c>
      <c r="P388" s="116"/>
      <c r="Q388" s="116"/>
      <c r="R388" s="116"/>
      <c r="S388" s="46">
        <v>645.79999999999995</v>
      </c>
      <c r="T388" s="117"/>
      <c r="U388" s="56" t="s">
        <v>949</v>
      </c>
      <c r="V388" s="105" t="s">
        <v>571</v>
      </c>
    </row>
    <row r="389" spans="1:22" s="18" customFormat="1" ht="17.25" x14ac:dyDescent="0.3">
      <c r="A389" s="39">
        <v>14122072</v>
      </c>
      <c r="B389" s="40" t="s">
        <v>375</v>
      </c>
      <c r="C389" s="41" t="s">
        <v>841</v>
      </c>
      <c r="D389" s="42" t="s">
        <v>3</v>
      </c>
      <c r="E389" s="43" t="s">
        <v>567</v>
      </c>
      <c r="F389" s="43" t="s">
        <v>568</v>
      </c>
      <c r="G389" s="44">
        <v>94</v>
      </c>
      <c r="H389" s="43" t="s">
        <v>569</v>
      </c>
      <c r="I389" s="45" t="s">
        <v>569</v>
      </c>
      <c r="J389" s="45" t="s">
        <v>573</v>
      </c>
      <c r="K389" s="116">
        <v>134.18</v>
      </c>
      <c r="L389" s="116">
        <v>134.18</v>
      </c>
      <c r="M389" s="116"/>
      <c r="N389" s="116">
        <v>200</v>
      </c>
      <c r="O389" s="116">
        <v>0</v>
      </c>
      <c r="P389" s="116"/>
      <c r="Q389" s="116"/>
      <c r="R389" s="116"/>
      <c r="S389" s="46">
        <v>468.36</v>
      </c>
      <c r="T389" s="117"/>
      <c r="U389" s="56" t="s">
        <v>949</v>
      </c>
      <c r="V389" s="105" t="s">
        <v>571</v>
      </c>
    </row>
    <row r="390" spans="1:22" s="18" customFormat="1" ht="17.25" x14ac:dyDescent="0.3">
      <c r="A390" s="39">
        <v>14122073</v>
      </c>
      <c r="B390" s="40" t="s">
        <v>376</v>
      </c>
      <c r="C390" s="41" t="s">
        <v>841</v>
      </c>
      <c r="D390" s="42" t="s">
        <v>3</v>
      </c>
      <c r="E390" s="43" t="s">
        <v>567</v>
      </c>
      <c r="F390" s="43" t="s">
        <v>568</v>
      </c>
      <c r="G390" s="44">
        <v>90</v>
      </c>
      <c r="H390" s="43" t="s">
        <v>569</v>
      </c>
      <c r="I390" s="45" t="s">
        <v>569</v>
      </c>
      <c r="J390" s="45" t="s">
        <v>546</v>
      </c>
      <c r="K390" s="116">
        <v>134.18</v>
      </c>
      <c r="L390" s="116">
        <v>134.18</v>
      </c>
      <c r="M390" s="116"/>
      <c r="N390" s="116">
        <v>200</v>
      </c>
      <c r="O390" s="116">
        <v>177.44</v>
      </c>
      <c r="P390" s="116"/>
      <c r="Q390" s="116"/>
      <c r="R390" s="116"/>
      <c r="S390" s="46">
        <v>645.79999999999995</v>
      </c>
      <c r="T390" s="117"/>
      <c r="U390" s="56" t="s">
        <v>949</v>
      </c>
      <c r="V390" s="105" t="s">
        <v>571</v>
      </c>
    </row>
    <row r="391" spans="1:22" s="18" customFormat="1" ht="17.25" x14ac:dyDescent="0.3">
      <c r="A391" s="39">
        <v>14122080</v>
      </c>
      <c r="B391" s="40" t="s">
        <v>377</v>
      </c>
      <c r="C391" s="41" t="s">
        <v>842</v>
      </c>
      <c r="D391" s="42" t="s">
        <v>3</v>
      </c>
      <c r="E391" s="43" t="s">
        <v>567</v>
      </c>
      <c r="F391" s="43" t="s">
        <v>568</v>
      </c>
      <c r="G391" s="44">
        <v>93</v>
      </c>
      <c r="H391" s="43" t="s">
        <v>569</v>
      </c>
      <c r="I391" s="45" t="s">
        <v>569</v>
      </c>
      <c r="J391" s="45" t="s">
        <v>546</v>
      </c>
      <c r="K391" s="116">
        <v>134.18</v>
      </c>
      <c r="L391" s="116">
        <v>134.18</v>
      </c>
      <c r="M391" s="116"/>
      <c r="N391" s="116">
        <v>200</v>
      </c>
      <c r="O391" s="116">
        <v>177.44</v>
      </c>
      <c r="P391" s="116"/>
      <c r="Q391" s="116"/>
      <c r="R391" s="116"/>
      <c r="S391" s="46">
        <v>645.79999999999995</v>
      </c>
      <c r="T391" s="117"/>
      <c r="U391" s="56" t="s">
        <v>949</v>
      </c>
      <c r="V391" s="105" t="s">
        <v>571</v>
      </c>
    </row>
    <row r="392" spans="1:22" s="18" customFormat="1" ht="17.25" x14ac:dyDescent="0.3">
      <c r="A392" s="39">
        <v>14122083</v>
      </c>
      <c r="B392" s="40" t="s">
        <v>378</v>
      </c>
      <c r="C392" s="41" t="s">
        <v>842</v>
      </c>
      <c r="D392" s="42" t="s">
        <v>3</v>
      </c>
      <c r="E392" s="43" t="s">
        <v>567</v>
      </c>
      <c r="F392" s="43" t="s">
        <v>568</v>
      </c>
      <c r="G392" s="44">
        <v>58</v>
      </c>
      <c r="H392" s="43" t="s">
        <v>571</v>
      </c>
      <c r="I392" s="45" t="s">
        <v>571</v>
      </c>
      <c r="J392" s="45" t="s">
        <v>546</v>
      </c>
      <c r="K392" s="116">
        <v>134.18</v>
      </c>
      <c r="L392" s="116">
        <v>134.18</v>
      </c>
      <c r="M392" s="116"/>
      <c r="N392" s="116">
        <v>0</v>
      </c>
      <c r="O392" s="116">
        <v>0</v>
      </c>
      <c r="P392" s="116"/>
      <c r="Q392" s="116"/>
      <c r="R392" s="116"/>
      <c r="S392" s="46">
        <v>268.36</v>
      </c>
      <c r="T392" s="117"/>
      <c r="U392" s="56" t="s">
        <v>949</v>
      </c>
      <c r="V392" s="105" t="s">
        <v>571</v>
      </c>
    </row>
    <row r="393" spans="1:22" s="18" customFormat="1" ht="17.25" x14ac:dyDescent="0.3">
      <c r="A393" s="40">
        <v>14122094</v>
      </c>
      <c r="B393" s="40" t="s">
        <v>379</v>
      </c>
      <c r="C393" s="41" t="s">
        <v>842</v>
      </c>
      <c r="D393" s="42" t="s">
        <v>3</v>
      </c>
      <c r="E393" s="43" t="s">
        <v>567</v>
      </c>
      <c r="F393" s="43" t="s">
        <v>568</v>
      </c>
      <c r="G393" s="44">
        <v>89</v>
      </c>
      <c r="H393" s="43" t="s">
        <v>571</v>
      </c>
      <c r="I393" s="45" t="s">
        <v>571</v>
      </c>
      <c r="J393" s="45" t="s">
        <v>546</v>
      </c>
      <c r="K393" s="116">
        <v>134.18</v>
      </c>
      <c r="L393" s="116">
        <v>134.18</v>
      </c>
      <c r="M393" s="116"/>
      <c r="N393" s="116">
        <v>0</v>
      </c>
      <c r="O393" s="116">
        <v>0</v>
      </c>
      <c r="P393" s="116"/>
      <c r="Q393" s="116"/>
      <c r="R393" s="116"/>
      <c r="S393" s="46">
        <v>268.36</v>
      </c>
      <c r="T393" s="117"/>
      <c r="U393" s="56" t="s">
        <v>949</v>
      </c>
      <c r="V393" s="105" t="s">
        <v>571</v>
      </c>
    </row>
    <row r="394" spans="1:22" s="18" customFormat="1" ht="17.25" x14ac:dyDescent="0.3">
      <c r="A394" s="39">
        <v>14122095</v>
      </c>
      <c r="B394" s="40" t="s">
        <v>380</v>
      </c>
      <c r="C394" s="41" t="s">
        <v>842</v>
      </c>
      <c r="D394" s="42" t="s">
        <v>3</v>
      </c>
      <c r="E394" s="43" t="s">
        <v>567</v>
      </c>
      <c r="F394" s="43" t="s">
        <v>568</v>
      </c>
      <c r="G394" s="44">
        <v>94</v>
      </c>
      <c r="H394" s="43" t="s">
        <v>569</v>
      </c>
      <c r="I394" s="45" t="s">
        <v>569</v>
      </c>
      <c r="J394" s="45" t="s">
        <v>546</v>
      </c>
      <c r="K394" s="116">
        <v>134.18</v>
      </c>
      <c r="L394" s="116">
        <v>134.18</v>
      </c>
      <c r="M394" s="116"/>
      <c r="N394" s="116">
        <v>200</v>
      </c>
      <c r="O394" s="116">
        <v>177.44</v>
      </c>
      <c r="P394" s="116"/>
      <c r="Q394" s="116"/>
      <c r="R394" s="116"/>
      <c r="S394" s="46">
        <v>645.79999999999995</v>
      </c>
      <c r="T394" s="117"/>
      <c r="U394" s="56" t="s">
        <v>949</v>
      </c>
      <c r="V394" s="105" t="s">
        <v>571</v>
      </c>
    </row>
    <row r="395" spans="1:22" s="18" customFormat="1" ht="17.25" x14ac:dyDescent="0.3">
      <c r="A395" s="39">
        <v>14122096</v>
      </c>
      <c r="B395" s="40" t="s">
        <v>381</v>
      </c>
      <c r="C395" s="41" t="s">
        <v>842</v>
      </c>
      <c r="D395" s="42" t="s">
        <v>3</v>
      </c>
      <c r="E395" s="43" t="s">
        <v>567</v>
      </c>
      <c r="F395" s="43" t="s">
        <v>568</v>
      </c>
      <c r="G395" s="44">
        <v>94</v>
      </c>
      <c r="H395" s="43" t="s">
        <v>569</v>
      </c>
      <c r="I395" s="45" t="s">
        <v>569</v>
      </c>
      <c r="J395" s="45" t="s">
        <v>546</v>
      </c>
      <c r="K395" s="116">
        <v>134.18</v>
      </c>
      <c r="L395" s="116">
        <v>134.18</v>
      </c>
      <c r="M395" s="116"/>
      <c r="N395" s="116">
        <v>200</v>
      </c>
      <c r="O395" s="116">
        <v>177.44</v>
      </c>
      <c r="P395" s="116"/>
      <c r="Q395" s="116"/>
      <c r="R395" s="116"/>
      <c r="S395" s="46">
        <v>645.79999999999995</v>
      </c>
      <c r="T395" s="117"/>
      <c r="U395" s="56" t="s">
        <v>949</v>
      </c>
      <c r="V395" s="105" t="s">
        <v>571</v>
      </c>
    </row>
    <row r="396" spans="1:22" s="18" customFormat="1" ht="17.25" x14ac:dyDescent="0.3">
      <c r="A396" s="40">
        <v>14122103</v>
      </c>
      <c r="B396" s="40" t="s">
        <v>382</v>
      </c>
      <c r="C396" s="41" t="s">
        <v>842</v>
      </c>
      <c r="D396" s="42" t="s">
        <v>3</v>
      </c>
      <c r="E396" s="43" t="s">
        <v>567</v>
      </c>
      <c r="F396" s="43" t="s">
        <v>568</v>
      </c>
      <c r="G396" s="44">
        <v>92</v>
      </c>
      <c r="H396" s="43" t="s">
        <v>569</v>
      </c>
      <c r="I396" s="45" t="s">
        <v>571</v>
      </c>
      <c r="J396" s="45" t="s">
        <v>573</v>
      </c>
      <c r="K396" s="116">
        <v>0</v>
      </c>
      <c r="L396" s="116">
        <v>0</v>
      </c>
      <c r="M396" s="116"/>
      <c r="N396" s="116">
        <v>0</v>
      </c>
      <c r="O396" s="116">
        <v>0</v>
      </c>
      <c r="P396" s="116"/>
      <c r="Q396" s="116"/>
      <c r="R396" s="116"/>
      <c r="S396" s="46">
        <v>0</v>
      </c>
      <c r="T396" s="117"/>
      <c r="U396" s="56" t="s">
        <v>571</v>
      </c>
      <c r="V396" s="105" t="s">
        <v>571</v>
      </c>
    </row>
    <row r="397" spans="1:22" s="18" customFormat="1" ht="17.25" x14ac:dyDescent="0.3">
      <c r="A397" s="39">
        <v>14122113</v>
      </c>
      <c r="B397" s="40" t="s">
        <v>383</v>
      </c>
      <c r="C397" s="41" t="s">
        <v>843</v>
      </c>
      <c r="D397" s="42" t="s">
        <v>3</v>
      </c>
      <c r="E397" s="43" t="s">
        <v>567</v>
      </c>
      <c r="F397" s="43" t="s">
        <v>568</v>
      </c>
      <c r="G397" s="44">
        <v>93</v>
      </c>
      <c r="H397" s="43" t="s">
        <v>569</v>
      </c>
      <c r="I397" s="45" t="s">
        <v>571</v>
      </c>
      <c r="J397" s="45" t="s">
        <v>546</v>
      </c>
      <c r="K397" s="116">
        <v>134.18</v>
      </c>
      <c r="L397" s="116">
        <v>134.18</v>
      </c>
      <c r="M397" s="116"/>
      <c r="N397" s="116">
        <v>0</v>
      </c>
      <c r="O397" s="116">
        <v>0</v>
      </c>
      <c r="P397" s="116"/>
      <c r="Q397" s="116"/>
      <c r="R397" s="116"/>
      <c r="S397" s="46">
        <v>268.36</v>
      </c>
      <c r="T397" s="117"/>
      <c r="U397" s="56" t="s">
        <v>949</v>
      </c>
      <c r="V397" s="105" t="s">
        <v>571</v>
      </c>
    </row>
    <row r="398" spans="1:22" s="18" customFormat="1" ht="17.25" x14ac:dyDescent="0.3">
      <c r="A398" s="39">
        <v>14122133</v>
      </c>
      <c r="B398" s="40" t="s">
        <v>384</v>
      </c>
      <c r="C398" s="41" t="s">
        <v>844</v>
      </c>
      <c r="D398" s="42" t="s">
        <v>3</v>
      </c>
      <c r="E398" s="43" t="s">
        <v>567</v>
      </c>
      <c r="F398" s="43" t="s">
        <v>568</v>
      </c>
      <c r="G398" s="44"/>
      <c r="H398" s="43" t="s">
        <v>571</v>
      </c>
      <c r="I398" s="45" t="s">
        <v>569</v>
      </c>
      <c r="J398" s="45" t="s">
        <v>573</v>
      </c>
      <c r="K398" s="116">
        <v>0</v>
      </c>
      <c r="L398" s="116">
        <v>0</v>
      </c>
      <c r="M398" s="116"/>
      <c r="N398" s="116">
        <v>0</v>
      </c>
      <c r="O398" s="116">
        <v>0</v>
      </c>
      <c r="P398" s="116"/>
      <c r="Q398" s="116"/>
      <c r="R398" s="116"/>
      <c r="S398" s="46">
        <v>0</v>
      </c>
      <c r="T398" s="117"/>
      <c r="U398" s="56" t="s">
        <v>571</v>
      </c>
      <c r="V398" s="105" t="s">
        <v>571</v>
      </c>
    </row>
    <row r="399" spans="1:22" s="18" customFormat="1" ht="17.25" x14ac:dyDescent="0.3">
      <c r="A399" s="39">
        <v>14122135</v>
      </c>
      <c r="B399" s="40" t="s">
        <v>385</v>
      </c>
      <c r="C399" s="41" t="s">
        <v>844</v>
      </c>
      <c r="D399" s="42" t="s">
        <v>3</v>
      </c>
      <c r="E399" s="43" t="s">
        <v>567</v>
      </c>
      <c r="F399" s="43" t="s">
        <v>568</v>
      </c>
      <c r="G399" s="44">
        <v>88</v>
      </c>
      <c r="H399" s="43" t="s">
        <v>571</v>
      </c>
      <c r="I399" s="45" t="s">
        <v>569</v>
      </c>
      <c r="J399" s="45" t="s">
        <v>546</v>
      </c>
      <c r="K399" s="116">
        <v>134.18</v>
      </c>
      <c r="L399" s="116">
        <v>134.18</v>
      </c>
      <c r="M399" s="116"/>
      <c r="N399" s="116">
        <v>0</v>
      </c>
      <c r="O399" s="116">
        <v>177.44</v>
      </c>
      <c r="P399" s="116"/>
      <c r="Q399" s="116"/>
      <c r="R399" s="116"/>
      <c r="S399" s="46">
        <v>445.8</v>
      </c>
      <c r="T399" s="117"/>
      <c r="U399" s="56" t="s">
        <v>949</v>
      </c>
      <c r="V399" s="105" t="s">
        <v>571</v>
      </c>
    </row>
    <row r="400" spans="1:22" s="18" customFormat="1" ht="17.25" x14ac:dyDescent="0.3">
      <c r="A400" s="39">
        <v>14122136</v>
      </c>
      <c r="B400" s="40" t="s">
        <v>386</v>
      </c>
      <c r="C400" s="41" t="s">
        <v>844</v>
      </c>
      <c r="D400" s="42" t="s">
        <v>3</v>
      </c>
      <c r="E400" s="43" t="s">
        <v>567</v>
      </c>
      <c r="F400" s="43" t="s">
        <v>568</v>
      </c>
      <c r="G400" s="44">
        <v>92</v>
      </c>
      <c r="H400" s="43" t="s">
        <v>569</v>
      </c>
      <c r="I400" s="45" t="s">
        <v>571</v>
      </c>
      <c r="J400" s="45" t="s">
        <v>546</v>
      </c>
      <c r="K400" s="116">
        <v>134.18</v>
      </c>
      <c r="L400" s="116">
        <v>134.18</v>
      </c>
      <c r="M400" s="116"/>
      <c r="N400" s="116">
        <v>0</v>
      </c>
      <c r="O400" s="116">
        <v>0</v>
      </c>
      <c r="P400" s="116"/>
      <c r="Q400" s="116"/>
      <c r="R400" s="116"/>
      <c r="S400" s="46">
        <v>268.36</v>
      </c>
      <c r="T400" s="117"/>
      <c r="U400" s="56" t="s">
        <v>949</v>
      </c>
      <c r="V400" s="105" t="s">
        <v>571</v>
      </c>
    </row>
    <row r="401" spans="1:22" s="18" customFormat="1" ht="17.25" x14ac:dyDescent="0.3">
      <c r="A401" s="39">
        <v>14122137</v>
      </c>
      <c r="B401" s="40" t="s">
        <v>387</v>
      </c>
      <c r="C401" s="41" t="s">
        <v>844</v>
      </c>
      <c r="D401" s="42" t="s">
        <v>3</v>
      </c>
      <c r="E401" s="43" t="s">
        <v>567</v>
      </c>
      <c r="F401" s="43" t="s">
        <v>568</v>
      </c>
      <c r="G401" s="44">
        <v>93</v>
      </c>
      <c r="H401" s="43" t="s">
        <v>569</v>
      </c>
      <c r="I401" s="45" t="s">
        <v>569</v>
      </c>
      <c r="J401" s="45" t="s">
        <v>546</v>
      </c>
      <c r="K401" s="116">
        <v>134.18</v>
      </c>
      <c r="L401" s="116">
        <v>134.18</v>
      </c>
      <c r="M401" s="116"/>
      <c r="N401" s="116">
        <v>200</v>
      </c>
      <c r="O401" s="116">
        <v>177.44</v>
      </c>
      <c r="P401" s="116"/>
      <c r="Q401" s="116"/>
      <c r="R401" s="116"/>
      <c r="S401" s="46">
        <v>645.79999999999995</v>
      </c>
      <c r="T401" s="117"/>
      <c r="U401" s="56" t="s">
        <v>949</v>
      </c>
      <c r="V401" s="105" t="s">
        <v>571</v>
      </c>
    </row>
    <row r="402" spans="1:22" s="18" customFormat="1" ht="17.25" x14ac:dyDescent="0.3">
      <c r="A402" s="39">
        <v>14122148</v>
      </c>
      <c r="B402" s="40" t="s">
        <v>388</v>
      </c>
      <c r="C402" s="41" t="s">
        <v>845</v>
      </c>
      <c r="D402" s="42" t="s">
        <v>3</v>
      </c>
      <c r="E402" s="43" t="s">
        <v>567</v>
      </c>
      <c r="F402" s="43" t="s">
        <v>568</v>
      </c>
      <c r="G402" s="44">
        <v>94</v>
      </c>
      <c r="H402" s="43" t="s">
        <v>569</v>
      </c>
      <c r="I402" s="45" t="s">
        <v>569</v>
      </c>
      <c r="J402" s="45" t="s">
        <v>546</v>
      </c>
      <c r="K402" s="116">
        <v>134.18</v>
      </c>
      <c r="L402" s="116">
        <v>134.18</v>
      </c>
      <c r="M402" s="116"/>
      <c r="N402" s="116">
        <v>200</v>
      </c>
      <c r="O402" s="116">
        <v>177.44</v>
      </c>
      <c r="P402" s="116"/>
      <c r="Q402" s="116"/>
      <c r="R402" s="116"/>
      <c r="S402" s="46">
        <v>645.79999999999995</v>
      </c>
      <c r="T402" s="117"/>
      <c r="U402" s="56" t="s">
        <v>949</v>
      </c>
      <c r="V402" s="105" t="s">
        <v>571</v>
      </c>
    </row>
    <row r="403" spans="1:22" s="18" customFormat="1" ht="17.25" x14ac:dyDescent="0.3">
      <c r="A403" s="39">
        <v>14122149</v>
      </c>
      <c r="B403" s="40" t="s">
        <v>389</v>
      </c>
      <c r="C403" s="41" t="s">
        <v>845</v>
      </c>
      <c r="D403" s="42" t="s">
        <v>3</v>
      </c>
      <c r="E403" s="43" t="s">
        <v>567</v>
      </c>
      <c r="F403" s="43" t="s">
        <v>568</v>
      </c>
      <c r="G403" s="44"/>
      <c r="H403" s="43" t="s">
        <v>571</v>
      </c>
      <c r="I403" s="45" t="s">
        <v>569</v>
      </c>
      <c r="J403" s="45" t="s">
        <v>573</v>
      </c>
      <c r="K403" s="116">
        <v>0</v>
      </c>
      <c r="L403" s="116">
        <v>0</v>
      </c>
      <c r="M403" s="116"/>
      <c r="N403" s="116">
        <v>0</v>
      </c>
      <c r="O403" s="116">
        <v>0</v>
      </c>
      <c r="P403" s="116"/>
      <c r="Q403" s="116"/>
      <c r="R403" s="116"/>
      <c r="S403" s="46">
        <v>0</v>
      </c>
      <c r="T403" s="117"/>
      <c r="U403" s="56" t="s">
        <v>571</v>
      </c>
      <c r="V403" s="105" t="s">
        <v>571</v>
      </c>
    </row>
    <row r="404" spans="1:22" s="18" customFormat="1" ht="17.25" x14ac:dyDescent="0.3">
      <c r="A404" s="39">
        <v>14122158</v>
      </c>
      <c r="B404" s="40" t="s">
        <v>390</v>
      </c>
      <c r="C404" s="41" t="s">
        <v>846</v>
      </c>
      <c r="D404" s="42" t="s">
        <v>3</v>
      </c>
      <c r="E404" s="43" t="s">
        <v>567</v>
      </c>
      <c r="F404" s="43" t="s">
        <v>730</v>
      </c>
      <c r="G404" s="44">
        <v>94</v>
      </c>
      <c r="H404" s="43" t="s">
        <v>569</v>
      </c>
      <c r="I404" s="45" t="s">
        <v>569</v>
      </c>
      <c r="J404" s="45" t="s">
        <v>546</v>
      </c>
      <c r="K404" s="116">
        <v>134.18</v>
      </c>
      <c r="L404" s="116">
        <v>0</v>
      </c>
      <c r="M404" s="116"/>
      <c r="N404" s="116">
        <v>200</v>
      </c>
      <c r="O404" s="116">
        <v>177.44</v>
      </c>
      <c r="P404" s="116"/>
      <c r="Q404" s="116"/>
      <c r="R404" s="116"/>
      <c r="S404" s="46">
        <v>511.62</v>
      </c>
      <c r="T404" s="117"/>
      <c r="U404" s="56" t="s">
        <v>949</v>
      </c>
      <c r="V404" s="105" t="s">
        <v>571</v>
      </c>
    </row>
    <row r="405" spans="1:22" s="18" customFormat="1" ht="17.25" x14ac:dyDescent="0.3">
      <c r="A405" s="39">
        <v>14122160</v>
      </c>
      <c r="B405" s="40" t="s">
        <v>391</v>
      </c>
      <c r="C405" s="41" t="s">
        <v>846</v>
      </c>
      <c r="D405" s="42" t="s">
        <v>3</v>
      </c>
      <c r="E405" s="43" t="s">
        <v>567</v>
      </c>
      <c r="F405" s="43" t="s">
        <v>568</v>
      </c>
      <c r="G405" s="44">
        <v>92</v>
      </c>
      <c r="H405" s="43" t="s">
        <v>569</v>
      </c>
      <c r="I405" s="45" t="s">
        <v>569</v>
      </c>
      <c r="J405" s="45" t="s">
        <v>546</v>
      </c>
      <c r="K405" s="116">
        <v>134.18</v>
      </c>
      <c r="L405" s="116">
        <v>134.18</v>
      </c>
      <c r="M405" s="116"/>
      <c r="N405" s="116">
        <v>200</v>
      </c>
      <c r="O405" s="116">
        <v>177.44</v>
      </c>
      <c r="P405" s="116"/>
      <c r="Q405" s="116"/>
      <c r="R405" s="116"/>
      <c r="S405" s="46">
        <v>645.79999999999995</v>
      </c>
      <c r="T405" s="117"/>
      <c r="U405" s="56" t="s">
        <v>949</v>
      </c>
      <c r="V405" s="105" t="s">
        <v>571</v>
      </c>
    </row>
    <row r="406" spans="1:22" s="18" customFormat="1" ht="17.25" x14ac:dyDescent="0.3">
      <c r="A406" s="39">
        <v>14122191</v>
      </c>
      <c r="B406" s="48" t="s">
        <v>394</v>
      </c>
      <c r="C406" s="41" t="s">
        <v>847</v>
      </c>
      <c r="D406" s="42" t="s">
        <v>3</v>
      </c>
      <c r="E406" s="43" t="s">
        <v>567</v>
      </c>
      <c r="F406" s="43" t="s">
        <v>568</v>
      </c>
      <c r="G406" s="44">
        <v>78</v>
      </c>
      <c r="H406" s="43" t="s">
        <v>571</v>
      </c>
      <c r="I406" s="45" t="s">
        <v>569</v>
      </c>
      <c r="J406" s="45" t="s">
        <v>546</v>
      </c>
      <c r="K406" s="116">
        <v>134.18</v>
      </c>
      <c r="L406" s="116">
        <v>134.18</v>
      </c>
      <c r="M406" s="116"/>
      <c r="N406" s="116">
        <v>0</v>
      </c>
      <c r="O406" s="116">
        <v>177.44</v>
      </c>
      <c r="P406" s="116"/>
      <c r="Q406" s="116"/>
      <c r="R406" s="116"/>
      <c r="S406" s="46">
        <v>445.8</v>
      </c>
      <c r="T406" s="117"/>
      <c r="U406" s="56" t="s">
        <v>949</v>
      </c>
      <c r="V406" s="105" t="s">
        <v>571</v>
      </c>
    </row>
    <row r="407" spans="1:22" s="18" customFormat="1" ht="17.25" x14ac:dyDescent="0.3">
      <c r="A407" s="39">
        <v>14122194</v>
      </c>
      <c r="B407" s="40" t="s">
        <v>395</v>
      </c>
      <c r="C407" s="41" t="s">
        <v>847</v>
      </c>
      <c r="D407" s="42" t="s">
        <v>3</v>
      </c>
      <c r="E407" s="43" t="s">
        <v>567</v>
      </c>
      <c r="F407" s="43" t="s">
        <v>568</v>
      </c>
      <c r="G407" s="44">
        <v>95</v>
      </c>
      <c r="H407" s="43" t="s">
        <v>569</v>
      </c>
      <c r="I407" s="45" t="s">
        <v>569</v>
      </c>
      <c r="J407" s="45" t="s">
        <v>546</v>
      </c>
      <c r="K407" s="116">
        <v>134.18</v>
      </c>
      <c r="L407" s="116">
        <v>134.18</v>
      </c>
      <c r="M407" s="116"/>
      <c r="N407" s="116">
        <v>200</v>
      </c>
      <c r="O407" s="116">
        <v>177.44</v>
      </c>
      <c r="P407" s="116"/>
      <c r="Q407" s="116"/>
      <c r="R407" s="116"/>
      <c r="S407" s="46">
        <v>645.79999999999995</v>
      </c>
      <c r="T407" s="117"/>
      <c r="U407" s="56" t="s">
        <v>949</v>
      </c>
      <c r="V407" s="105" t="s">
        <v>571</v>
      </c>
    </row>
    <row r="408" spans="1:22" s="18" customFormat="1" ht="17.25" x14ac:dyDescent="0.3">
      <c r="A408" s="39">
        <v>14122221</v>
      </c>
      <c r="B408" s="40" t="s">
        <v>396</v>
      </c>
      <c r="C408" s="41" t="s">
        <v>848</v>
      </c>
      <c r="D408" s="42" t="s">
        <v>3</v>
      </c>
      <c r="E408" s="43" t="s">
        <v>567</v>
      </c>
      <c r="F408" s="43" t="s">
        <v>568</v>
      </c>
      <c r="G408" s="44">
        <v>93</v>
      </c>
      <c r="H408" s="43" t="s">
        <v>569</v>
      </c>
      <c r="I408" s="45" t="s">
        <v>569</v>
      </c>
      <c r="J408" s="45" t="s">
        <v>546</v>
      </c>
      <c r="K408" s="116">
        <v>134.18</v>
      </c>
      <c r="L408" s="116">
        <v>134.18</v>
      </c>
      <c r="M408" s="116"/>
      <c r="N408" s="116">
        <v>200</v>
      </c>
      <c r="O408" s="116">
        <v>177.44</v>
      </c>
      <c r="P408" s="116"/>
      <c r="Q408" s="116"/>
      <c r="R408" s="116"/>
      <c r="S408" s="46">
        <v>645.79999999999995</v>
      </c>
      <c r="T408" s="117"/>
      <c r="U408" s="56" t="s">
        <v>949</v>
      </c>
      <c r="V408" s="105" t="s">
        <v>571</v>
      </c>
    </row>
    <row r="409" spans="1:22" s="18" customFormat="1" ht="17.25" x14ac:dyDescent="0.3">
      <c r="A409" s="39">
        <v>14122230</v>
      </c>
      <c r="B409" s="40" t="s">
        <v>397</v>
      </c>
      <c r="C409" s="41" t="s">
        <v>706</v>
      </c>
      <c r="D409" s="42" t="s">
        <v>3</v>
      </c>
      <c r="E409" s="43" t="s">
        <v>567</v>
      </c>
      <c r="F409" s="43" t="s">
        <v>568</v>
      </c>
      <c r="G409" s="44">
        <v>92</v>
      </c>
      <c r="H409" s="43" t="s">
        <v>569</v>
      </c>
      <c r="I409" s="45" t="s">
        <v>569</v>
      </c>
      <c r="J409" s="45" t="s">
        <v>546</v>
      </c>
      <c r="K409" s="116">
        <v>134.18</v>
      </c>
      <c r="L409" s="116">
        <v>134.18</v>
      </c>
      <c r="M409" s="116"/>
      <c r="N409" s="116">
        <v>200</v>
      </c>
      <c r="O409" s="116">
        <v>177.44</v>
      </c>
      <c r="P409" s="116"/>
      <c r="Q409" s="116"/>
      <c r="R409" s="116"/>
      <c r="S409" s="46">
        <v>645.79999999999995</v>
      </c>
      <c r="T409" s="117"/>
      <c r="U409" s="56" t="s">
        <v>949</v>
      </c>
      <c r="V409" s="105" t="s">
        <v>571</v>
      </c>
    </row>
    <row r="410" spans="1:22" s="18" customFormat="1" ht="17.25" x14ac:dyDescent="0.3">
      <c r="A410" s="39">
        <v>14122263</v>
      </c>
      <c r="B410" s="40" t="s">
        <v>401</v>
      </c>
      <c r="C410" s="41" t="s">
        <v>849</v>
      </c>
      <c r="D410" s="42" t="s">
        <v>3</v>
      </c>
      <c r="E410" s="43" t="s">
        <v>567</v>
      </c>
      <c r="F410" s="43" t="s">
        <v>568</v>
      </c>
      <c r="G410" s="44">
        <v>94</v>
      </c>
      <c r="H410" s="43" t="s">
        <v>569</v>
      </c>
      <c r="I410" s="45" t="s">
        <v>571</v>
      </c>
      <c r="J410" s="45" t="s">
        <v>546</v>
      </c>
      <c r="K410" s="116">
        <v>134.18</v>
      </c>
      <c r="L410" s="116">
        <v>134.18</v>
      </c>
      <c r="M410" s="116"/>
      <c r="N410" s="116">
        <v>0</v>
      </c>
      <c r="O410" s="116">
        <v>0</v>
      </c>
      <c r="P410" s="116"/>
      <c r="Q410" s="116"/>
      <c r="R410" s="116"/>
      <c r="S410" s="46">
        <v>268.36</v>
      </c>
      <c r="T410" s="117"/>
      <c r="U410" s="56" t="s">
        <v>949</v>
      </c>
      <c r="V410" s="105" t="s">
        <v>571</v>
      </c>
    </row>
    <row r="411" spans="1:22" s="18" customFormat="1" ht="17.25" x14ac:dyDescent="0.3">
      <c r="A411" s="39">
        <v>14122291</v>
      </c>
      <c r="B411" s="40" t="s">
        <v>402</v>
      </c>
      <c r="C411" s="41" t="s">
        <v>760</v>
      </c>
      <c r="D411" s="42" t="s">
        <v>3</v>
      </c>
      <c r="E411" s="43" t="s">
        <v>567</v>
      </c>
      <c r="F411" s="43" t="s">
        <v>568</v>
      </c>
      <c r="G411" s="44">
        <v>92</v>
      </c>
      <c r="H411" s="43" t="s">
        <v>569</v>
      </c>
      <c r="I411" s="45" t="s">
        <v>571</v>
      </c>
      <c r="J411" s="45" t="s">
        <v>546</v>
      </c>
      <c r="K411" s="116">
        <v>134.18</v>
      </c>
      <c r="L411" s="116">
        <v>134.18</v>
      </c>
      <c r="M411" s="116"/>
      <c r="N411" s="116">
        <v>0</v>
      </c>
      <c r="O411" s="116">
        <v>0</v>
      </c>
      <c r="P411" s="116"/>
      <c r="Q411" s="116"/>
      <c r="R411" s="116"/>
      <c r="S411" s="46">
        <v>268.36</v>
      </c>
      <c r="T411" s="117"/>
      <c r="U411" s="56" t="s">
        <v>949</v>
      </c>
      <c r="V411" s="105" t="s">
        <v>571</v>
      </c>
    </row>
    <row r="412" spans="1:22" s="18" customFormat="1" ht="17.25" x14ac:dyDescent="0.3">
      <c r="A412" s="39">
        <v>14122293</v>
      </c>
      <c r="B412" s="40" t="s">
        <v>403</v>
      </c>
      <c r="C412" s="41" t="s">
        <v>760</v>
      </c>
      <c r="D412" s="42" t="s">
        <v>3</v>
      </c>
      <c r="E412" s="43" t="s">
        <v>567</v>
      </c>
      <c r="F412" s="43" t="s">
        <v>568</v>
      </c>
      <c r="G412" s="44">
        <v>5</v>
      </c>
      <c r="H412" s="43" t="s">
        <v>571</v>
      </c>
      <c r="I412" s="45" t="s">
        <v>571</v>
      </c>
      <c r="J412" s="45" t="s">
        <v>546</v>
      </c>
      <c r="K412" s="116">
        <v>134.18</v>
      </c>
      <c r="L412" s="116">
        <v>134.18</v>
      </c>
      <c r="M412" s="116"/>
      <c r="N412" s="116">
        <v>0</v>
      </c>
      <c r="O412" s="116">
        <v>0</v>
      </c>
      <c r="P412" s="116"/>
      <c r="Q412" s="116"/>
      <c r="R412" s="116"/>
      <c r="S412" s="46">
        <v>268.36</v>
      </c>
      <c r="T412" s="117"/>
      <c r="U412" s="56" t="s">
        <v>949</v>
      </c>
      <c r="V412" s="105" t="s">
        <v>571</v>
      </c>
    </row>
    <row r="413" spans="1:22" s="18" customFormat="1" ht="17.25" x14ac:dyDescent="0.3">
      <c r="A413" s="39">
        <v>14122294</v>
      </c>
      <c r="B413" s="40" t="s">
        <v>404</v>
      </c>
      <c r="C413" s="41" t="s">
        <v>760</v>
      </c>
      <c r="D413" s="42" t="s">
        <v>3</v>
      </c>
      <c r="E413" s="43" t="s">
        <v>567</v>
      </c>
      <c r="F413" s="43" t="s">
        <v>568</v>
      </c>
      <c r="G413" s="44">
        <v>93</v>
      </c>
      <c r="H413" s="43" t="s">
        <v>569</v>
      </c>
      <c r="I413" s="45" t="s">
        <v>571</v>
      </c>
      <c r="J413" s="45" t="s">
        <v>546</v>
      </c>
      <c r="K413" s="116">
        <v>134.18</v>
      </c>
      <c r="L413" s="116">
        <v>134.18</v>
      </c>
      <c r="M413" s="116"/>
      <c r="N413" s="116">
        <v>0</v>
      </c>
      <c r="O413" s="116">
        <v>0</v>
      </c>
      <c r="P413" s="116"/>
      <c r="Q413" s="116"/>
      <c r="R413" s="116"/>
      <c r="S413" s="46">
        <v>268.36</v>
      </c>
      <c r="T413" s="117"/>
      <c r="U413" s="56" t="s">
        <v>949</v>
      </c>
      <c r="V413" s="105" t="s">
        <v>571</v>
      </c>
    </row>
    <row r="414" spans="1:22" s="18" customFormat="1" ht="17.25" x14ac:dyDescent="0.3">
      <c r="A414" s="39">
        <v>14122320</v>
      </c>
      <c r="B414" s="40" t="s">
        <v>405</v>
      </c>
      <c r="C414" s="41" t="s">
        <v>850</v>
      </c>
      <c r="D414" s="42" t="s">
        <v>3</v>
      </c>
      <c r="E414" s="43" t="s">
        <v>567</v>
      </c>
      <c r="F414" s="43" t="s">
        <v>568</v>
      </c>
      <c r="G414" s="44">
        <v>94</v>
      </c>
      <c r="H414" s="43" t="s">
        <v>569</v>
      </c>
      <c r="I414" s="45" t="s">
        <v>571</v>
      </c>
      <c r="J414" s="45" t="s">
        <v>546</v>
      </c>
      <c r="K414" s="116">
        <v>134.18</v>
      </c>
      <c r="L414" s="116">
        <v>134.18</v>
      </c>
      <c r="M414" s="116"/>
      <c r="N414" s="116">
        <v>0</v>
      </c>
      <c r="O414" s="116">
        <v>0</v>
      </c>
      <c r="P414" s="116"/>
      <c r="Q414" s="116"/>
      <c r="R414" s="116"/>
      <c r="S414" s="46">
        <v>268.36</v>
      </c>
      <c r="T414" s="117"/>
      <c r="U414" s="56" t="s">
        <v>949</v>
      </c>
      <c r="V414" s="105" t="s">
        <v>571</v>
      </c>
    </row>
    <row r="415" spans="1:22" s="18" customFormat="1" ht="17.25" x14ac:dyDescent="0.3">
      <c r="A415" s="39">
        <v>14122329</v>
      </c>
      <c r="B415" s="40" t="s">
        <v>406</v>
      </c>
      <c r="C415" s="41" t="s">
        <v>851</v>
      </c>
      <c r="D415" s="42" t="s">
        <v>3</v>
      </c>
      <c r="E415" s="43" t="s">
        <v>567</v>
      </c>
      <c r="F415" s="43" t="s">
        <v>568</v>
      </c>
      <c r="G415" s="44">
        <v>92</v>
      </c>
      <c r="H415" s="43" t="s">
        <v>569</v>
      </c>
      <c r="I415" s="45" t="s">
        <v>571</v>
      </c>
      <c r="J415" s="45" t="s">
        <v>546</v>
      </c>
      <c r="K415" s="116">
        <v>134.18</v>
      </c>
      <c r="L415" s="116">
        <v>134.18</v>
      </c>
      <c r="M415" s="116"/>
      <c r="N415" s="116">
        <v>0</v>
      </c>
      <c r="O415" s="116">
        <v>0</v>
      </c>
      <c r="P415" s="116"/>
      <c r="Q415" s="116"/>
      <c r="R415" s="116"/>
      <c r="S415" s="46">
        <v>268.36</v>
      </c>
      <c r="T415" s="117"/>
      <c r="U415" s="56" t="s">
        <v>949</v>
      </c>
      <c r="V415" s="105" t="s">
        <v>571</v>
      </c>
    </row>
    <row r="416" spans="1:22" s="18" customFormat="1" ht="17.25" x14ac:dyDescent="0.3">
      <c r="A416" s="39">
        <v>14122330</v>
      </c>
      <c r="B416" s="40" t="s">
        <v>407</v>
      </c>
      <c r="C416" s="41" t="s">
        <v>852</v>
      </c>
      <c r="D416" s="42" t="s">
        <v>3</v>
      </c>
      <c r="E416" s="43" t="s">
        <v>567</v>
      </c>
      <c r="F416" s="43" t="s">
        <v>568</v>
      </c>
      <c r="G416" s="44">
        <v>92</v>
      </c>
      <c r="H416" s="43" t="s">
        <v>569</v>
      </c>
      <c r="I416" s="45" t="s">
        <v>569</v>
      </c>
      <c r="J416" s="45" t="s">
        <v>546</v>
      </c>
      <c r="K416" s="116">
        <v>134.18</v>
      </c>
      <c r="L416" s="116">
        <v>134.18</v>
      </c>
      <c r="M416" s="116"/>
      <c r="N416" s="116">
        <v>200</v>
      </c>
      <c r="O416" s="116">
        <v>177.44</v>
      </c>
      <c r="P416" s="116"/>
      <c r="Q416" s="116"/>
      <c r="R416" s="116"/>
      <c r="S416" s="46">
        <v>645.79999999999995</v>
      </c>
      <c r="T416" s="117"/>
      <c r="U416" s="56" t="s">
        <v>949</v>
      </c>
      <c r="V416" s="105" t="s">
        <v>571</v>
      </c>
    </row>
    <row r="417" spans="1:22" s="18" customFormat="1" ht="17.25" x14ac:dyDescent="0.3">
      <c r="A417" s="39">
        <v>14122331</v>
      </c>
      <c r="B417" s="40" t="s">
        <v>408</v>
      </c>
      <c r="C417" s="41" t="s">
        <v>852</v>
      </c>
      <c r="D417" s="42" t="s">
        <v>3</v>
      </c>
      <c r="E417" s="43" t="s">
        <v>567</v>
      </c>
      <c r="F417" s="43" t="s">
        <v>568</v>
      </c>
      <c r="G417" s="44">
        <v>94</v>
      </c>
      <c r="H417" s="43" t="s">
        <v>569</v>
      </c>
      <c r="I417" s="45" t="s">
        <v>569</v>
      </c>
      <c r="J417" s="45" t="s">
        <v>546</v>
      </c>
      <c r="K417" s="116">
        <v>134.18</v>
      </c>
      <c r="L417" s="116">
        <v>134.18</v>
      </c>
      <c r="M417" s="116"/>
      <c r="N417" s="116">
        <v>200</v>
      </c>
      <c r="O417" s="116">
        <v>177.44</v>
      </c>
      <c r="P417" s="116"/>
      <c r="Q417" s="116"/>
      <c r="R417" s="116"/>
      <c r="S417" s="46">
        <v>645.79999999999995</v>
      </c>
      <c r="T417" s="117"/>
      <c r="U417" s="56" t="s">
        <v>949</v>
      </c>
      <c r="V417" s="105" t="s">
        <v>571</v>
      </c>
    </row>
    <row r="418" spans="1:22" s="18" customFormat="1" ht="17.25" x14ac:dyDescent="0.3">
      <c r="A418" s="39">
        <v>14122353</v>
      </c>
      <c r="B418" s="40" t="s">
        <v>409</v>
      </c>
      <c r="C418" s="41" t="s">
        <v>853</v>
      </c>
      <c r="D418" s="42" t="s">
        <v>3</v>
      </c>
      <c r="E418" s="43" t="s">
        <v>567</v>
      </c>
      <c r="F418" s="43" t="s">
        <v>568</v>
      </c>
      <c r="G418" s="44"/>
      <c r="H418" s="43" t="s">
        <v>571</v>
      </c>
      <c r="I418" s="45" t="s">
        <v>569</v>
      </c>
      <c r="J418" s="45" t="s">
        <v>573</v>
      </c>
      <c r="K418" s="116">
        <v>0</v>
      </c>
      <c r="L418" s="116">
        <v>0</v>
      </c>
      <c r="M418" s="116"/>
      <c r="N418" s="116">
        <v>0</v>
      </c>
      <c r="O418" s="116">
        <v>0</v>
      </c>
      <c r="P418" s="116"/>
      <c r="Q418" s="116"/>
      <c r="R418" s="116"/>
      <c r="S418" s="46">
        <v>0</v>
      </c>
      <c r="T418" s="117"/>
      <c r="U418" s="56" t="s">
        <v>571</v>
      </c>
      <c r="V418" s="105" t="s">
        <v>571</v>
      </c>
    </row>
    <row r="419" spans="1:22" s="18" customFormat="1" ht="17.25" x14ac:dyDescent="0.3">
      <c r="A419" s="39">
        <v>14122354</v>
      </c>
      <c r="B419" s="40" t="s">
        <v>410</v>
      </c>
      <c r="C419" s="41" t="s">
        <v>853</v>
      </c>
      <c r="D419" s="42" t="s">
        <v>3</v>
      </c>
      <c r="E419" s="43" t="s">
        <v>567</v>
      </c>
      <c r="F419" s="43" t="s">
        <v>568</v>
      </c>
      <c r="G419" s="44">
        <v>69</v>
      </c>
      <c r="H419" s="43" t="s">
        <v>571</v>
      </c>
      <c r="I419" s="45" t="s">
        <v>569</v>
      </c>
      <c r="J419" s="45" t="s">
        <v>546</v>
      </c>
      <c r="K419" s="116">
        <v>134.18</v>
      </c>
      <c r="L419" s="116">
        <v>134.18</v>
      </c>
      <c r="M419" s="116"/>
      <c r="N419" s="116">
        <v>0</v>
      </c>
      <c r="O419" s="116">
        <v>177.44</v>
      </c>
      <c r="P419" s="116"/>
      <c r="Q419" s="116"/>
      <c r="R419" s="116"/>
      <c r="S419" s="46">
        <v>445.8</v>
      </c>
      <c r="T419" s="117"/>
      <c r="U419" s="56" t="s">
        <v>949</v>
      </c>
      <c r="V419" s="105" t="s">
        <v>571</v>
      </c>
    </row>
    <row r="420" spans="1:22" s="18" customFormat="1" ht="17.25" x14ac:dyDescent="0.3">
      <c r="A420" s="39">
        <v>14122355</v>
      </c>
      <c r="B420" s="40" t="s">
        <v>411</v>
      </c>
      <c r="C420" s="41" t="s">
        <v>853</v>
      </c>
      <c r="D420" s="42" t="s">
        <v>3</v>
      </c>
      <c r="E420" s="43" t="s">
        <v>567</v>
      </c>
      <c r="F420" s="43" t="s">
        <v>568</v>
      </c>
      <c r="G420" s="44">
        <v>91</v>
      </c>
      <c r="H420" s="43" t="s">
        <v>569</v>
      </c>
      <c r="I420" s="45" t="s">
        <v>569</v>
      </c>
      <c r="J420" s="45" t="s">
        <v>546</v>
      </c>
      <c r="K420" s="116">
        <v>134.18</v>
      </c>
      <c r="L420" s="116">
        <v>134.18</v>
      </c>
      <c r="M420" s="116"/>
      <c r="N420" s="116">
        <v>200</v>
      </c>
      <c r="O420" s="116">
        <v>177.44</v>
      </c>
      <c r="P420" s="116"/>
      <c r="Q420" s="116"/>
      <c r="R420" s="116"/>
      <c r="S420" s="46">
        <v>645.79999999999995</v>
      </c>
      <c r="T420" s="117"/>
      <c r="U420" s="56" t="s">
        <v>949</v>
      </c>
      <c r="V420" s="105" t="s">
        <v>571</v>
      </c>
    </row>
    <row r="421" spans="1:22" s="18" customFormat="1" ht="17.25" x14ac:dyDescent="0.3">
      <c r="A421" s="39">
        <v>14122377</v>
      </c>
      <c r="B421" s="40" t="s">
        <v>412</v>
      </c>
      <c r="C421" s="41" t="s">
        <v>853</v>
      </c>
      <c r="D421" s="42" t="s">
        <v>3</v>
      </c>
      <c r="E421" s="43" t="s">
        <v>567</v>
      </c>
      <c r="F421" s="43" t="s">
        <v>568</v>
      </c>
      <c r="G421" s="44">
        <v>89</v>
      </c>
      <c r="H421" s="43" t="s">
        <v>571</v>
      </c>
      <c r="I421" s="45" t="s">
        <v>569</v>
      </c>
      <c r="J421" s="45" t="s">
        <v>573</v>
      </c>
      <c r="K421" s="116">
        <v>0</v>
      </c>
      <c r="L421" s="116">
        <v>0</v>
      </c>
      <c r="M421" s="116"/>
      <c r="N421" s="116">
        <v>0</v>
      </c>
      <c r="O421" s="116">
        <v>0</v>
      </c>
      <c r="P421" s="116"/>
      <c r="Q421" s="116"/>
      <c r="R421" s="116"/>
      <c r="S421" s="46">
        <v>0</v>
      </c>
      <c r="T421" s="117"/>
      <c r="U421" s="56" t="s">
        <v>571</v>
      </c>
      <c r="V421" s="105" t="s">
        <v>571</v>
      </c>
    </row>
    <row r="422" spans="1:22" s="18" customFormat="1" ht="17.25" x14ac:dyDescent="0.3">
      <c r="A422" s="39">
        <v>14122394</v>
      </c>
      <c r="B422" s="40" t="s">
        <v>413</v>
      </c>
      <c r="C422" s="41" t="s">
        <v>854</v>
      </c>
      <c r="D422" s="42" t="s">
        <v>3</v>
      </c>
      <c r="E422" s="43" t="s">
        <v>567</v>
      </c>
      <c r="F422" s="43" t="s">
        <v>568</v>
      </c>
      <c r="G422" s="44">
        <v>94</v>
      </c>
      <c r="H422" s="43" t="s">
        <v>569</v>
      </c>
      <c r="I422" s="45" t="s">
        <v>571</v>
      </c>
      <c r="J422" s="45" t="s">
        <v>546</v>
      </c>
      <c r="K422" s="116">
        <v>134.18</v>
      </c>
      <c r="L422" s="116">
        <v>134.18</v>
      </c>
      <c r="M422" s="116"/>
      <c r="N422" s="116">
        <v>0</v>
      </c>
      <c r="O422" s="116">
        <v>0</v>
      </c>
      <c r="P422" s="116"/>
      <c r="Q422" s="116"/>
      <c r="R422" s="116"/>
      <c r="S422" s="46">
        <v>268.36</v>
      </c>
      <c r="T422" s="117"/>
      <c r="U422" s="56" t="s">
        <v>949</v>
      </c>
      <c r="V422" s="105" t="s">
        <v>571</v>
      </c>
    </row>
    <row r="423" spans="1:22" s="18" customFormat="1" ht="17.25" x14ac:dyDescent="0.3">
      <c r="A423" s="39">
        <v>14122414</v>
      </c>
      <c r="B423" s="40" t="s">
        <v>988</v>
      </c>
      <c r="C423" s="41" t="s">
        <v>986</v>
      </c>
      <c r="D423" s="42" t="s">
        <v>3</v>
      </c>
      <c r="E423" s="43" t="s">
        <v>567</v>
      </c>
      <c r="F423" s="43" t="s">
        <v>568</v>
      </c>
      <c r="G423" s="44"/>
      <c r="H423" s="43" t="s">
        <v>571</v>
      </c>
      <c r="I423" s="45" t="s">
        <v>569</v>
      </c>
      <c r="J423" s="45" t="s">
        <v>573</v>
      </c>
      <c r="K423" s="116">
        <v>0</v>
      </c>
      <c r="L423" s="116">
        <v>0</v>
      </c>
      <c r="M423" s="116"/>
      <c r="N423" s="116">
        <v>0</v>
      </c>
      <c r="O423" s="116">
        <v>0</v>
      </c>
      <c r="P423" s="116"/>
      <c r="Q423" s="116"/>
      <c r="R423" s="116"/>
      <c r="S423" s="46">
        <v>0</v>
      </c>
      <c r="T423" s="117"/>
      <c r="U423" s="56" t="s">
        <v>571</v>
      </c>
      <c r="V423" s="105" t="s">
        <v>571</v>
      </c>
    </row>
    <row r="424" spans="1:22" s="18" customFormat="1" ht="17.25" x14ac:dyDescent="0.3">
      <c r="A424" s="39">
        <v>14122416</v>
      </c>
      <c r="B424" s="40" t="s">
        <v>414</v>
      </c>
      <c r="C424" s="41" t="s">
        <v>855</v>
      </c>
      <c r="D424" s="42" t="s">
        <v>3</v>
      </c>
      <c r="E424" s="43" t="s">
        <v>567</v>
      </c>
      <c r="F424" s="43" t="s">
        <v>568</v>
      </c>
      <c r="G424" s="44">
        <v>92</v>
      </c>
      <c r="H424" s="43" t="s">
        <v>569</v>
      </c>
      <c r="I424" s="45" t="s">
        <v>569</v>
      </c>
      <c r="J424" s="45" t="s">
        <v>546</v>
      </c>
      <c r="K424" s="116">
        <v>134.18</v>
      </c>
      <c r="L424" s="116">
        <v>134.18</v>
      </c>
      <c r="M424" s="116"/>
      <c r="N424" s="116">
        <v>200</v>
      </c>
      <c r="O424" s="116">
        <v>177.44</v>
      </c>
      <c r="P424" s="116"/>
      <c r="Q424" s="116"/>
      <c r="R424" s="116"/>
      <c r="S424" s="46">
        <v>645.79999999999995</v>
      </c>
      <c r="T424" s="117"/>
      <c r="U424" s="56" t="s">
        <v>949</v>
      </c>
      <c r="V424" s="105" t="s">
        <v>571</v>
      </c>
    </row>
    <row r="425" spans="1:22" s="18" customFormat="1" ht="17.25" x14ac:dyDescent="0.3">
      <c r="A425" s="39">
        <v>14122417</v>
      </c>
      <c r="B425" s="40" t="s">
        <v>415</v>
      </c>
      <c r="C425" s="41" t="s">
        <v>855</v>
      </c>
      <c r="D425" s="42" t="s">
        <v>3</v>
      </c>
      <c r="E425" s="43" t="s">
        <v>567</v>
      </c>
      <c r="F425" s="43" t="s">
        <v>568</v>
      </c>
      <c r="G425" s="44">
        <v>92</v>
      </c>
      <c r="H425" s="43" t="s">
        <v>569</v>
      </c>
      <c r="I425" s="45" t="s">
        <v>571</v>
      </c>
      <c r="J425" s="45" t="s">
        <v>546</v>
      </c>
      <c r="K425" s="116">
        <v>134.18</v>
      </c>
      <c r="L425" s="116">
        <v>134.18</v>
      </c>
      <c r="M425" s="116"/>
      <c r="N425" s="116">
        <v>0</v>
      </c>
      <c r="O425" s="116">
        <v>0</v>
      </c>
      <c r="P425" s="116"/>
      <c r="Q425" s="116"/>
      <c r="R425" s="116"/>
      <c r="S425" s="46">
        <v>268.36</v>
      </c>
      <c r="T425" s="117"/>
      <c r="U425" s="56" t="s">
        <v>949</v>
      </c>
      <c r="V425" s="105" t="s">
        <v>571</v>
      </c>
    </row>
    <row r="426" spans="1:22" s="18" customFormat="1" ht="17.25" x14ac:dyDescent="0.3">
      <c r="A426" s="39">
        <v>14122419</v>
      </c>
      <c r="B426" s="40" t="s">
        <v>416</v>
      </c>
      <c r="C426" s="41" t="s">
        <v>855</v>
      </c>
      <c r="D426" s="42" t="s">
        <v>3</v>
      </c>
      <c r="E426" s="43" t="s">
        <v>567</v>
      </c>
      <c r="F426" s="43" t="s">
        <v>730</v>
      </c>
      <c r="G426" s="44">
        <v>91</v>
      </c>
      <c r="H426" s="43" t="s">
        <v>569</v>
      </c>
      <c r="I426" s="45" t="s">
        <v>571</v>
      </c>
      <c r="J426" s="45" t="s">
        <v>546</v>
      </c>
      <c r="K426" s="116">
        <v>134.18</v>
      </c>
      <c r="L426" s="116">
        <v>0</v>
      </c>
      <c r="M426" s="116"/>
      <c r="N426" s="116">
        <v>0</v>
      </c>
      <c r="O426" s="116">
        <v>0</v>
      </c>
      <c r="P426" s="116"/>
      <c r="Q426" s="116"/>
      <c r="R426" s="116"/>
      <c r="S426" s="46">
        <v>134.18</v>
      </c>
      <c r="T426" s="117"/>
      <c r="U426" s="56" t="s">
        <v>949</v>
      </c>
      <c r="V426" s="105" t="s">
        <v>571</v>
      </c>
    </row>
    <row r="427" spans="1:22" s="18" customFormat="1" ht="17.25" x14ac:dyDescent="0.3">
      <c r="A427" s="39">
        <v>14122428</v>
      </c>
      <c r="B427" s="40" t="s">
        <v>417</v>
      </c>
      <c r="C427" s="41" t="s">
        <v>856</v>
      </c>
      <c r="D427" s="42" t="s">
        <v>3</v>
      </c>
      <c r="E427" s="43" t="s">
        <v>567</v>
      </c>
      <c r="F427" s="43" t="s">
        <v>568</v>
      </c>
      <c r="G427" s="44">
        <v>95</v>
      </c>
      <c r="H427" s="43" t="s">
        <v>569</v>
      </c>
      <c r="I427" s="45" t="s">
        <v>569</v>
      </c>
      <c r="J427" s="45" t="s">
        <v>546</v>
      </c>
      <c r="K427" s="116">
        <v>134.18</v>
      </c>
      <c r="L427" s="116">
        <v>134.18</v>
      </c>
      <c r="M427" s="116"/>
      <c r="N427" s="116">
        <v>200</v>
      </c>
      <c r="O427" s="116">
        <v>177.44</v>
      </c>
      <c r="P427" s="116"/>
      <c r="Q427" s="116"/>
      <c r="R427" s="116"/>
      <c r="S427" s="46">
        <v>645.79999999999995</v>
      </c>
      <c r="T427" s="117"/>
      <c r="U427" s="56" t="s">
        <v>949</v>
      </c>
      <c r="V427" s="105" t="s">
        <v>571</v>
      </c>
    </row>
    <row r="428" spans="1:22" s="18" customFormat="1" ht="17.25" x14ac:dyDescent="0.3">
      <c r="A428" s="108">
        <v>14122429</v>
      </c>
      <c r="B428" s="109" t="s">
        <v>418</v>
      </c>
      <c r="C428" s="110" t="s">
        <v>856</v>
      </c>
      <c r="D428" s="42" t="s">
        <v>3</v>
      </c>
      <c r="E428" s="43" t="s">
        <v>567</v>
      </c>
      <c r="F428" s="43" t="s">
        <v>568</v>
      </c>
      <c r="G428" s="44"/>
      <c r="H428" s="43" t="s">
        <v>571</v>
      </c>
      <c r="I428" s="45" t="s">
        <v>569</v>
      </c>
      <c r="J428" s="45" t="s">
        <v>573</v>
      </c>
      <c r="K428" s="116">
        <v>0</v>
      </c>
      <c r="L428" s="116">
        <v>0</v>
      </c>
      <c r="M428" s="116"/>
      <c r="N428" s="116">
        <v>0</v>
      </c>
      <c r="O428" s="116">
        <v>0</v>
      </c>
      <c r="P428" s="116"/>
      <c r="Q428" s="116"/>
      <c r="R428" s="116"/>
      <c r="S428" s="46">
        <v>0</v>
      </c>
      <c r="T428" s="117"/>
      <c r="U428" s="56" t="s">
        <v>571</v>
      </c>
      <c r="V428" s="105" t="s">
        <v>571</v>
      </c>
    </row>
    <row r="429" spans="1:22" s="18" customFormat="1" ht="17.25" x14ac:dyDescent="0.3">
      <c r="A429" s="39">
        <v>14122431</v>
      </c>
      <c r="B429" s="40" t="s">
        <v>419</v>
      </c>
      <c r="C429" s="41" t="s">
        <v>856</v>
      </c>
      <c r="D429" s="42" t="s">
        <v>3</v>
      </c>
      <c r="E429" s="43" t="s">
        <v>567</v>
      </c>
      <c r="F429" s="43" t="s">
        <v>568</v>
      </c>
      <c r="G429" s="44">
        <v>95</v>
      </c>
      <c r="H429" s="43" t="s">
        <v>569</v>
      </c>
      <c r="I429" s="45" t="s">
        <v>569</v>
      </c>
      <c r="J429" s="45" t="s">
        <v>546</v>
      </c>
      <c r="K429" s="116">
        <v>134.18</v>
      </c>
      <c r="L429" s="116">
        <v>134.18</v>
      </c>
      <c r="M429" s="116"/>
      <c r="N429" s="116">
        <v>200</v>
      </c>
      <c r="O429" s="116">
        <v>177.44</v>
      </c>
      <c r="P429" s="116"/>
      <c r="Q429" s="116"/>
      <c r="R429" s="116"/>
      <c r="S429" s="46">
        <v>645.79999999999995</v>
      </c>
      <c r="T429" s="117"/>
      <c r="U429" s="56" t="s">
        <v>949</v>
      </c>
      <c r="V429" s="105" t="s">
        <v>571</v>
      </c>
    </row>
    <row r="430" spans="1:22" s="18" customFormat="1" ht="17.25" x14ac:dyDescent="0.3">
      <c r="A430" s="39">
        <v>14122481</v>
      </c>
      <c r="B430" s="40" t="s">
        <v>420</v>
      </c>
      <c r="C430" s="41" t="s">
        <v>857</v>
      </c>
      <c r="D430" s="42" t="s">
        <v>3</v>
      </c>
      <c r="E430" s="43" t="s">
        <v>567</v>
      </c>
      <c r="F430" s="43" t="s">
        <v>568</v>
      </c>
      <c r="G430" s="44">
        <v>94</v>
      </c>
      <c r="H430" s="43" t="s">
        <v>569</v>
      </c>
      <c r="I430" s="45" t="s">
        <v>569</v>
      </c>
      <c r="J430" s="45" t="s">
        <v>546</v>
      </c>
      <c r="K430" s="116">
        <v>134.18</v>
      </c>
      <c r="L430" s="116">
        <v>134.18</v>
      </c>
      <c r="M430" s="116"/>
      <c r="N430" s="116">
        <v>200</v>
      </c>
      <c r="O430" s="116">
        <v>177.44</v>
      </c>
      <c r="P430" s="116"/>
      <c r="Q430" s="116"/>
      <c r="R430" s="116"/>
      <c r="S430" s="46">
        <v>645.79999999999995</v>
      </c>
      <c r="T430" s="117"/>
      <c r="U430" s="56" t="s">
        <v>949</v>
      </c>
      <c r="V430" s="105" t="s">
        <v>571</v>
      </c>
    </row>
    <row r="431" spans="1:22" s="18" customFormat="1" ht="17.25" x14ac:dyDescent="0.3">
      <c r="A431" s="39">
        <v>14122495</v>
      </c>
      <c r="B431" s="40" t="s">
        <v>423</v>
      </c>
      <c r="C431" s="41" t="s">
        <v>858</v>
      </c>
      <c r="D431" s="42" t="s">
        <v>3</v>
      </c>
      <c r="E431" s="43" t="s">
        <v>567</v>
      </c>
      <c r="F431" s="43" t="s">
        <v>568</v>
      </c>
      <c r="G431" s="44">
        <v>92</v>
      </c>
      <c r="H431" s="43" t="s">
        <v>569</v>
      </c>
      <c r="I431" s="45" t="s">
        <v>571</v>
      </c>
      <c r="J431" s="45" t="s">
        <v>546</v>
      </c>
      <c r="K431" s="116">
        <v>134.18</v>
      </c>
      <c r="L431" s="116">
        <v>134.18</v>
      </c>
      <c r="M431" s="116"/>
      <c r="N431" s="116">
        <v>0</v>
      </c>
      <c r="O431" s="116">
        <v>0</v>
      </c>
      <c r="P431" s="116"/>
      <c r="Q431" s="116"/>
      <c r="R431" s="116"/>
      <c r="S431" s="46">
        <v>268.36</v>
      </c>
      <c r="T431" s="117"/>
      <c r="U431" s="56" t="s">
        <v>949</v>
      </c>
      <c r="V431" s="105" t="s">
        <v>571</v>
      </c>
    </row>
    <row r="432" spans="1:22" s="18" customFormat="1" ht="17.25" x14ac:dyDescent="0.3">
      <c r="A432" s="40">
        <v>14122510</v>
      </c>
      <c r="B432" s="40" t="s">
        <v>424</v>
      </c>
      <c r="C432" s="41" t="s">
        <v>672</v>
      </c>
      <c r="D432" s="42" t="s">
        <v>3</v>
      </c>
      <c r="E432" s="43" t="s">
        <v>567</v>
      </c>
      <c r="F432" s="43" t="s">
        <v>568</v>
      </c>
      <c r="G432" s="44">
        <v>87</v>
      </c>
      <c r="H432" s="43" t="s">
        <v>571</v>
      </c>
      <c r="I432" s="45" t="s">
        <v>571</v>
      </c>
      <c r="J432" s="45" t="s">
        <v>546</v>
      </c>
      <c r="K432" s="116">
        <v>134.18</v>
      </c>
      <c r="L432" s="116">
        <v>134.18</v>
      </c>
      <c r="M432" s="116"/>
      <c r="N432" s="116">
        <v>0</v>
      </c>
      <c r="O432" s="116">
        <v>0</v>
      </c>
      <c r="P432" s="116"/>
      <c r="Q432" s="116"/>
      <c r="R432" s="116"/>
      <c r="S432" s="46">
        <v>268.36</v>
      </c>
      <c r="T432" s="117"/>
      <c r="U432" s="56" t="s">
        <v>949</v>
      </c>
      <c r="V432" s="105" t="s">
        <v>571</v>
      </c>
    </row>
    <row r="433" spans="1:22" s="18" customFormat="1" ht="17.25" x14ac:dyDescent="0.3">
      <c r="A433" s="39">
        <v>14122543</v>
      </c>
      <c r="B433" s="40" t="s">
        <v>427</v>
      </c>
      <c r="C433" s="41" t="s">
        <v>859</v>
      </c>
      <c r="D433" s="42" t="s">
        <v>3</v>
      </c>
      <c r="E433" s="43" t="s">
        <v>567</v>
      </c>
      <c r="F433" s="43" t="s">
        <v>568</v>
      </c>
      <c r="G433" s="44">
        <v>94</v>
      </c>
      <c r="H433" s="43" t="s">
        <v>569</v>
      </c>
      <c r="I433" s="45" t="s">
        <v>569</v>
      </c>
      <c r="J433" s="45" t="s">
        <v>546</v>
      </c>
      <c r="K433" s="116">
        <v>134.18</v>
      </c>
      <c r="L433" s="116">
        <v>134.18</v>
      </c>
      <c r="M433" s="116"/>
      <c r="N433" s="116">
        <v>200</v>
      </c>
      <c r="O433" s="116">
        <v>177.44</v>
      </c>
      <c r="P433" s="116"/>
      <c r="Q433" s="116"/>
      <c r="R433" s="116"/>
      <c r="S433" s="46">
        <v>645.79999999999995</v>
      </c>
      <c r="T433" s="117"/>
      <c r="U433" s="56" t="s">
        <v>949</v>
      </c>
      <c r="V433" s="105" t="s">
        <v>571</v>
      </c>
    </row>
    <row r="434" spans="1:22" s="18" customFormat="1" ht="17.25" x14ac:dyDescent="0.3">
      <c r="A434" s="39">
        <v>14122546</v>
      </c>
      <c r="B434" s="40" t="s">
        <v>428</v>
      </c>
      <c r="C434" s="41" t="s">
        <v>860</v>
      </c>
      <c r="D434" s="42" t="s">
        <v>3</v>
      </c>
      <c r="E434" s="43" t="s">
        <v>567</v>
      </c>
      <c r="F434" s="43" t="s">
        <v>568</v>
      </c>
      <c r="G434" s="44">
        <v>93</v>
      </c>
      <c r="H434" s="43" t="s">
        <v>569</v>
      </c>
      <c r="I434" s="45" t="s">
        <v>569</v>
      </c>
      <c r="J434" s="45" t="s">
        <v>546</v>
      </c>
      <c r="K434" s="116">
        <v>134.18</v>
      </c>
      <c r="L434" s="116">
        <v>134.18</v>
      </c>
      <c r="M434" s="116"/>
      <c r="N434" s="116">
        <v>200</v>
      </c>
      <c r="O434" s="116">
        <v>177.44</v>
      </c>
      <c r="P434" s="116"/>
      <c r="Q434" s="116"/>
      <c r="R434" s="116"/>
      <c r="S434" s="46">
        <v>645.79999999999995</v>
      </c>
      <c r="T434" s="117"/>
      <c r="U434" s="56" t="s">
        <v>949</v>
      </c>
      <c r="V434" s="105" t="s">
        <v>571</v>
      </c>
    </row>
    <row r="435" spans="1:22" s="18" customFormat="1" ht="17.25" x14ac:dyDescent="0.3">
      <c r="A435" s="40">
        <v>14122617</v>
      </c>
      <c r="B435" s="40" t="s">
        <v>429</v>
      </c>
      <c r="C435" s="41" t="s">
        <v>861</v>
      </c>
      <c r="D435" s="42" t="s">
        <v>3</v>
      </c>
      <c r="E435" s="43" t="s">
        <v>567</v>
      </c>
      <c r="F435" s="43" t="s">
        <v>568</v>
      </c>
      <c r="G435" s="44">
        <v>91</v>
      </c>
      <c r="H435" s="43" t="s">
        <v>569</v>
      </c>
      <c r="I435" s="45" t="s">
        <v>571</v>
      </c>
      <c r="J435" s="45" t="s">
        <v>546</v>
      </c>
      <c r="K435" s="116">
        <v>134.18</v>
      </c>
      <c r="L435" s="116">
        <v>134.18</v>
      </c>
      <c r="M435" s="116"/>
      <c r="N435" s="116">
        <v>0</v>
      </c>
      <c r="O435" s="116">
        <v>0</v>
      </c>
      <c r="P435" s="116"/>
      <c r="Q435" s="116"/>
      <c r="R435" s="116"/>
      <c r="S435" s="46">
        <v>268.36</v>
      </c>
      <c r="T435" s="117"/>
      <c r="U435" s="56" t="s">
        <v>949</v>
      </c>
      <c r="V435" s="47" t="s">
        <v>951</v>
      </c>
    </row>
    <row r="436" spans="1:22" s="18" customFormat="1" ht="17.25" x14ac:dyDescent="0.3">
      <c r="A436" s="39">
        <v>14122618</v>
      </c>
      <c r="B436" s="40" t="s">
        <v>430</v>
      </c>
      <c r="C436" s="41" t="s">
        <v>861</v>
      </c>
      <c r="D436" s="42" t="s">
        <v>3</v>
      </c>
      <c r="E436" s="43" t="s">
        <v>567</v>
      </c>
      <c r="F436" s="43" t="s">
        <v>568</v>
      </c>
      <c r="G436" s="44">
        <v>92</v>
      </c>
      <c r="H436" s="43" t="s">
        <v>569</v>
      </c>
      <c r="I436" s="45" t="s">
        <v>571</v>
      </c>
      <c r="J436" s="45" t="s">
        <v>546</v>
      </c>
      <c r="K436" s="116">
        <v>134.18</v>
      </c>
      <c r="L436" s="116">
        <v>134.18</v>
      </c>
      <c r="M436" s="116"/>
      <c r="N436" s="116">
        <v>0</v>
      </c>
      <c r="O436" s="116">
        <v>0</v>
      </c>
      <c r="P436" s="116"/>
      <c r="Q436" s="116"/>
      <c r="R436" s="116"/>
      <c r="S436" s="46">
        <v>268.36</v>
      </c>
      <c r="T436" s="117"/>
      <c r="U436" s="56" t="s">
        <v>949</v>
      </c>
      <c r="V436" s="105" t="s">
        <v>571</v>
      </c>
    </row>
    <row r="437" spans="1:22" s="18" customFormat="1" ht="17.25" x14ac:dyDescent="0.3">
      <c r="A437" s="39">
        <v>14122621</v>
      </c>
      <c r="B437" s="40" t="s">
        <v>431</v>
      </c>
      <c r="C437" s="41" t="s">
        <v>861</v>
      </c>
      <c r="D437" s="42" t="s">
        <v>3</v>
      </c>
      <c r="E437" s="43" t="s">
        <v>567</v>
      </c>
      <c r="F437" s="43" t="s">
        <v>568</v>
      </c>
      <c r="G437" s="44">
        <v>76</v>
      </c>
      <c r="H437" s="43" t="s">
        <v>571</v>
      </c>
      <c r="I437" s="45" t="s">
        <v>569</v>
      </c>
      <c r="J437" s="45" t="s">
        <v>573</v>
      </c>
      <c r="K437" s="116">
        <v>0</v>
      </c>
      <c r="L437" s="116">
        <v>0</v>
      </c>
      <c r="M437" s="116"/>
      <c r="N437" s="116">
        <v>0</v>
      </c>
      <c r="O437" s="116">
        <v>0</v>
      </c>
      <c r="P437" s="116"/>
      <c r="Q437" s="116"/>
      <c r="R437" s="116"/>
      <c r="S437" s="46">
        <v>0</v>
      </c>
      <c r="T437" s="117"/>
      <c r="U437" s="56" t="s">
        <v>571</v>
      </c>
      <c r="V437" s="105" t="s">
        <v>571</v>
      </c>
    </row>
    <row r="438" spans="1:22" s="18" customFormat="1" ht="17.25" x14ac:dyDescent="0.3">
      <c r="A438" s="39">
        <v>14122673</v>
      </c>
      <c r="B438" s="40" t="s">
        <v>432</v>
      </c>
      <c r="C438" s="41" t="s">
        <v>862</v>
      </c>
      <c r="D438" s="42" t="s">
        <v>3</v>
      </c>
      <c r="E438" s="43" t="s">
        <v>567</v>
      </c>
      <c r="F438" s="43" t="s">
        <v>568</v>
      </c>
      <c r="G438" s="44">
        <v>89</v>
      </c>
      <c r="H438" s="43" t="s">
        <v>571</v>
      </c>
      <c r="I438" s="45" t="s">
        <v>571</v>
      </c>
      <c r="J438" s="45" t="s">
        <v>546</v>
      </c>
      <c r="K438" s="116">
        <v>134.18</v>
      </c>
      <c r="L438" s="116">
        <v>134.18</v>
      </c>
      <c r="M438" s="116"/>
      <c r="N438" s="116">
        <v>0</v>
      </c>
      <c r="O438" s="116">
        <v>0</v>
      </c>
      <c r="P438" s="116"/>
      <c r="Q438" s="116"/>
      <c r="R438" s="116"/>
      <c r="S438" s="46">
        <v>268.36</v>
      </c>
      <c r="T438" s="117"/>
      <c r="U438" s="56" t="s">
        <v>949</v>
      </c>
      <c r="V438" s="105" t="s">
        <v>571</v>
      </c>
    </row>
    <row r="439" spans="1:22" s="18" customFormat="1" ht="17.25" x14ac:dyDescent="0.3">
      <c r="A439" s="39">
        <v>14122681</v>
      </c>
      <c r="B439" s="40" t="s">
        <v>433</v>
      </c>
      <c r="C439" s="41" t="s">
        <v>863</v>
      </c>
      <c r="D439" s="42" t="s">
        <v>3</v>
      </c>
      <c r="E439" s="43" t="s">
        <v>567</v>
      </c>
      <c r="F439" s="43" t="s">
        <v>568</v>
      </c>
      <c r="G439" s="44">
        <v>94</v>
      </c>
      <c r="H439" s="43" t="s">
        <v>569</v>
      </c>
      <c r="I439" s="45" t="s">
        <v>571</v>
      </c>
      <c r="J439" s="45" t="s">
        <v>546</v>
      </c>
      <c r="K439" s="116">
        <v>134.18</v>
      </c>
      <c r="L439" s="116">
        <v>134.18</v>
      </c>
      <c r="M439" s="116"/>
      <c r="N439" s="116">
        <v>0</v>
      </c>
      <c r="O439" s="116">
        <v>0</v>
      </c>
      <c r="P439" s="116"/>
      <c r="Q439" s="116"/>
      <c r="R439" s="116"/>
      <c r="S439" s="46">
        <v>268.36</v>
      </c>
      <c r="T439" s="117"/>
      <c r="U439" s="56" t="s">
        <v>949</v>
      </c>
      <c r="V439" s="47" t="s">
        <v>951</v>
      </c>
    </row>
    <row r="440" spans="1:22" s="18" customFormat="1" ht="17.25" x14ac:dyDescent="0.3">
      <c r="A440" s="39">
        <v>14122682</v>
      </c>
      <c r="B440" s="40" t="s">
        <v>434</v>
      </c>
      <c r="C440" s="41" t="s">
        <v>863</v>
      </c>
      <c r="D440" s="42" t="s">
        <v>3</v>
      </c>
      <c r="E440" s="43" t="s">
        <v>567</v>
      </c>
      <c r="F440" s="43" t="s">
        <v>568</v>
      </c>
      <c r="G440" s="44">
        <v>95</v>
      </c>
      <c r="H440" s="43" t="s">
        <v>569</v>
      </c>
      <c r="I440" s="45" t="s">
        <v>569</v>
      </c>
      <c r="J440" s="45" t="s">
        <v>573</v>
      </c>
      <c r="K440" s="116">
        <v>134.18</v>
      </c>
      <c r="L440" s="116">
        <v>134.18</v>
      </c>
      <c r="M440" s="116"/>
      <c r="N440" s="116">
        <v>200</v>
      </c>
      <c r="O440" s="116">
        <v>0</v>
      </c>
      <c r="P440" s="116"/>
      <c r="Q440" s="116"/>
      <c r="R440" s="116"/>
      <c r="S440" s="46">
        <v>468.36</v>
      </c>
      <c r="T440" s="117"/>
      <c r="U440" s="56" t="s">
        <v>949</v>
      </c>
      <c r="V440" s="105" t="s">
        <v>571</v>
      </c>
    </row>
    <row r="441" spans="1:22" s="18" customFormat="1" ht="17.25" x14ac:dyDescent="0.3">
      <c r="A441" s="39">
        <v>14122683</v>
      </c>
      <c r="B441" s="40" t="s">
        <v>435</v>
      </c>
      <c r="C441" s="41" t="s">
        <v>863</v>
      </c>
      <c r="D441" s="42" t="s">
        <v>3</v>
      </c>
      <c r="E441" s="43" t="s">
        <v>567</v>
      </c>
      <c r="F441" s="43" t="s">
        <v>568</v>
      </c>
      <c r="G441" s="44">
        <v>94</v>
      </c>
      <c r="H441" s="43" t="s">
        <v>569</v>
      </c>
      <c r="I441" s="45" t="s">
        <v>569</v>
      </c>
      <c r="J441" s="45" t="s">
        <v>573</v>
      </c>
      <c r="K441" s="116">
        <v>134.18</v>
      </c>
      <c r="L441" s="116">
        <v>134.18</v>
      </c>
      <c r="M441" s="116"/>
      <c r="N441" s="116">
        <v>200</v>
      </c>
      <c r="O441" s="116">
        <v>0</v>
      </c>
      <c r="P441" s="116"/>
      <c r="Q441" s="116"/>
      <c r="R441" s="116"/>
      <c r="S441" s="46">
        <v>468.36</v>
      </c>
      <c r="T441" s="117"/>
      <c r="U441" s="56" t="s">
        <v>949</v>
      </c>
      <c r="V441" s="105" t="s">
        <v>571</v>
      </c>
    </row>
    <row r="442" spans="1:22" s="18" customFormat="1" ht="17.25" x14ac:dyDescent="0.3">
      <c r="A442" s="39">
        <v>14122685</v>
      </c>
      <c r="B442" s="40" t="s">
        <v>436</v>
      </c>
      <c r="C442" s="41" t="s">
        <v>864</v>
      </c>
      <c r="D442" s="42" t="s">
        <v>3</v>
      </c>
      <c r="E442" s="43" t="s">
        <v>567</v>
      </c>
      <c r="F442" s="43" t="s">
        <v>568</v>
      </c>
      <c r="G442" s="44">
        <v>80</v>
      </c>
      <c r="H442" s="43" t="s">
        <v>571</v>
      </c>
      <c r="I442" s="45" t="s">
        <v>569</v>
      </c>
      <c r="J442" s="45" t="s">
        <v>546</v>
      </c>
      <c r="K442" s="116">
        <v>134.18</v>
      </c>
      <c r="L442" s="116">
        <v>134.18</v>
      </c>
      <c r="M442" s="116"/>
      <c r="N442" s="116">
        <v>0</v>
      </c>
      <c r="O442" s="116">
        <v>177.44</v>
      </c>
      <c r="P442" s="116"/>
      <c r="Q442" s="116"/>
      <c r="R442" s="116"/>
      <c r="S442" s="46">
        <v>445.8</v>
      </c>
      <c r="T442" s="117"/>
      <c r="U442" s="56" t="s">
        <v>949</v>
      </c>
      <c r="V442" s="105" t="s">
        <v>571</v>
      </c>
    </row>
    <row r="443" spans="1:22" s="18" customFormat="1" ht="17.25" x14ac:dyDescent="0.3">
      <c r="A443" s="39">
        <v>14122687</v>
      </c>
      <c r="B443" s="40" t="s">
        <v>437</v>
      </c>
      <c r="C443" s="41" t="s">
        <v>864</v>
      </c>
      <c r="D443" s="42" t="s">
        <v>3</v>
      </c>
      <c r="E443" s="43" t="s">
        <v>567</v>
      </c>
      <c r="F443" s="43" t="s">
        <v>568</v>
      </c>
      <c r="G443" s="44">
        <v>95</v>
      </c>
      <c r="H443" s="43" t="s">
        <v>569</v>
      </c>
      <c r="I443" s="45" t="s">
        <v>569</v>
      </c>
      <c r="J443" s="45" t="s">
        <v>546</v>
      </c>
      <c r="K443" s="116">
        <v>134.18</v>
      </c>
      <c r="L443" s="116">
        <v>134.18</v>
      </c>
      <c r="M443" s="116"/>
      <c r="N443" s="116">
        <v>200</v>
      </c>
      <c r="O443" s="116">
        <v>177.44</v>
      </c>
      <c r="P443" s="116"/>
      <c r="Q443" s="116"/>
      <c r="R443" s="116"/>
      <c r="S443" s="46">
        <v>645.79999999999995</v>
      </c>
      <c r="T443" s="117"/>
      <c r="U443" s="56" t="s">
        <v>949</v>
      </c>
      <c r="V443" s="105" t="s">
        <v>571</v>
      </c>
    </row>
    <row r="444" spans="1:22" s="18" customFormat="1" ht="17.25" x14ac:dyDescent="0.3">
      <c r="A444" s="39">
        <v>14122706</v>
      </c>
      <c r="B444" s="40" t="s">
        <v>438</v>
      </c>
      <c r="C444" s="41" t="s">
        <v>865</v>
      </c>
      <c r="D444" s="42" t="s">
        <v>3</v>
      </c>
      <c r="E444" s="43" t="s">
        <v>567</v>
      </c>
      <c r="F444" s="43" t="s">
        <v>568</v>
      </c>
      <c r="G444" s="44">
        <v>47</v>
      </c>
      <c r="H444" s="43" t="s">
        <v>571</v>
      </c>
      <c r="I444" s="45" t="s">
        <v>571</v>
      </c>
      <c r="J444" s="45" t="s">
        <v>573</v>
      </c>
      <c r="K444" s="116">
        <v>134.18</v>
      </c>
      <c r="L444" s="116">
        <v>134.18</v>
      </c>
      <c r="M444" s="116"/>
      <c r="N444" s="116">
        <v>0</v>
      </c>
      <c r="O444" s="116">
        <v>0</v>
      </c>
      <c r="P444" s="116"/>
      <c r="Q444" s="116"/>
      <c r="R444" s="116"/>
      <c r="S444" s="46">
        <v>268.36</v>
      </c>
      <c r="T444" s="117"/>
      <c r="U444" s="56" t="s">
        <v>949</v>
      </c>
      <c r="V444" s="105" t="s">
        <v>571</v>
      </c>
    </row>
    <row r="445" spans="1:22" s="18" customFormat="1" ht="17.25" x14ac:dyDescent="0.3">
      <c r="A445" s="39">
        <v>14122707</v>
      </c>
      <c r="B445" s="40" t="s">
        <v>439</v>
      </c>
      <c r="C445" s="41" t="s">
        <v>865</v>
      </c>
      <c r="D445" s="42" t="s">
        <v>3</v>
      </c>
      <c r="E445" s="43" t="s">
        <v>567</v>
      </c>
      <c r="F445" s="43" t="s">
        <v>568</v>
      </c>
      <c r="G445" s="44">
        <v>85</v>
      </c>
      <c r="H445" s="43" t="s">
        <v>571</v>
      </c>
      <c r="I445" s="45" t="s">
        <v>569</v>
      </c>
      <c r="J445" s="45" t="s">
        <v>573</v>
      </c>
      <c r="K445" s="116">
        <v>0</v>
      </c>
      <c r="L445" s="116">
        <v>0</v>
      </c>
      <c r="M445" s="116"/>
      <c r="N445" s="116">
        <v>0</v>
      </c>
      <c r="O445" s="116">
        <v>0</v>
      </c>
      <c r="P445" s="116"/>
      <c r="Q445" s="116"/>
      <c r="R445" s="116"/>
      <c r="S445" s="46">
        <v>0</v>
      </c>
      <c r="T445" s="117"/>
      <c r="U445" s="56" t="s">
        <v>571</v>
      </c>
      <c r="V445" s="105" t="s">
        <v>571</v>
      </c>
    </row>
    <row r="446" spans="1:22" s="18" customFormat="1" ht="17.25" x14ac:dyDescent="0.3">
      <c r="A446" s="39">
        <v>14122708</v>
      </c>
      <c r="B446" s="40" t="s">
        <v>440</v>
      </c>
      <c r="C446" s="41" t="s">
        <v>865</v>
      </c>
      <c r="D446" s="42" t="s">
        <v>3</v>
      </c>
      <c r="E446" s="43" t="s">
        <v>567</v>
      </c>
      <c r="F446" s="43" t="s">
        <v>568</v>
      </c>
      <c r="G446" s="44">
        <v>87</v>
      </c>
      <c r="H446" s="43" t="s">
        <v>571</v>
      </c>
      <c r="I446" s="45" t="s">
        <v>571</v>
      </c>
      <c r="J446" s="45" t="s">
        <v>573</v>
      </c>
      <c r="K446" s="116">
        <v>134.18</v>
      </c>
      <c r="L446" s="116">
        <v>134.18</v>
      </c>
      <c r="M446" s="116"/>
      <c r="N446" s="116">
        <v>0</v>
      </c>
      <c r="O446" s="116">
        <v>0</v>
      </c>
      <c r="P446" s="116"/>
      <c r="Q446" s="116"/>
      <c r="R446" s="116"/>
      <c r="S446" s="46">
        <v>268.36</v>
      </c>
      <c r="T446" s="117"/>
      <c r="U446" s="56" t="s">
        <v>949</v>
      </c>
      <c r="V446" s="105" t="s">
        <v>571</v>
      </c>
    </row>
    <row r="447" spans="1:22" s="18" customFormat="1" ht="17.25" x14ac:dyDescent="0.3">
      <c r="A447" s="39">
        <v>14122709</v>
      </c>
      <c r="B447" s="40" t="s">
        <v>441</v>
      </c>
      <c r="C447" s="41" t="s">
        <v>865</v>
      </c>
      <c r="D447" s="42" t="s">
        <v>3</v>
      </c>
      <c r="E447" s="43" t="s">
        <v>567</v>
      </c>
      <c r="F447" s="43" t="s">
        <v>568</v>
      </c>
      <c r="G447" s="44">
        <v>90</v>
      </c>
      <c r="H447" s="43" t="s">
        <v>569</v>
      </c>
      <c r="I447" s="45" t="s">
        <v>571</v>
      </c>
      <c r="J447" s="45" t="s">
        <v>546</v>
      </c>
      <c r="K447" s="116">
        <v>134.18</v>
      </c>
      <c r="L447" s="116">
        <v>134.18</v>
      </c>
      <c r="M447" s="116"/>
      <c r="N447" s="116">
        <v>0</v>
      </c>
      <c r="O447" s="116">
        <v>0</v>
      </c>
      <c r="P447" s="116"/>
      <c r="Q447" s="116"/>
      <c r="R447" s="116"/>
      <c r="S447" s="46">
        <v>268.36</v>
      </c>
      <c r="T447" s="117"/>
      <c r="U447" s="56" t="s">
        <v>949</v>
      </c>
      <c r="V447" s="105" t="s">
        <v>571</v>
      </c>
    </row>
    <row r="448" spans="1:22" s="18" customFormat="1" ht="17.25" x14ac:dyDescent="0.3">
      <c r="A448" s="39">
        <v>14122758</v>
      </c>
      <c r="B448" s="48" t="s">
        <v>442</v>
      </c>
      <c r="C448" s="41" t="s">
        <v>767</v>
      </c>
      <c r="D448" s="42" t="s">
        <v>3</v>
      </c>
      <c r="E448" s="43" t="s">
        <v>567</v>
      </c>
      <c r="F448" s="43" t="s">
        <v>568</v>
      </c>
      <c r="G448" s="44">
        <v>94</v>
      </c>
      <c r="H448" s="43" t="s">
        <v>569</v>
      </c>
      <c r="I448" s="45" t="s">
        <v>569</v>
      </c>
      <c r="J448" s="45" t="s">
        <v>546</v>
      </c>
      <c r="K448" s="116">
        <v>134.18</v>
      </c>
      <c r="L448" s="116">
        <v>134.18</v>
      </c>
      <c r="M448" s="116"/>
      <c r="N448" s="116">
        <v>200</v>
      </c>
      <c r="O448" s="116">
        <v>177.44</v>
      </c>
      <c r="P448" s="116"/>
      <c r="Q448" s="116"/>
      <c r="R448" s="116"/>
      <c r="S448" s="46">
        <v>645.79999999999995</v>
      </c>
      <c r="T448" s="117"/>
      <c r="U448" s="56" t="s">
        <v>949</v>
      </c>
      <c r="V448" s="105" t="s">
        <v>571</v>
      </c>
    </row>
    <row r="449" spans="1:22" s="18" customFormat="1" ht="17.25" x14ac:dyDescent="0.3">
      <c r="A449" s="39">
        <v>14122772</v>
      </c>
      <c r="B449" s="40" t="s">
        <v>443</v>
      </c>
      <c r="C449" s="41" t="s">
        <v>866</v>
      </c>
      <c r="D449" s="42" t="s">
        <v>3</v>
      </c>
      <c r="E449" s="43" t="s">
        <v>567</v>
      </c>
      <c r="F449" s="43" t="s">
        <v>568</v>
      </c>
      <c r="G449" s="44">
        <v>92</v>
      </c>
      <c r="H449" s="43" t="s">
        <v>569</v>
      </c>
      <c r="I449" s="45" t="s">
        <v>569</v>
      </c>
      <c r="J449" s="45" t="s">
        <v>546</v>
      </c>
      <c r="K449" s="116">
        <v>134.18</v>
      </c>
      <c r="L449" s="116">
        <v>134.18</v>
      </c>
      <c r="M449" s="116"/>
      <c r="N449" s="116">
        <v>200</v>
      </c>
      <c r="O449" s="116">
        <v>177.44</v>
      </c>
      <c r="P449" s="116"/>
      <c r="Q449" s="116"/>
      <c r="R449" s="116"/>
      <c r="S449" s="46">
        <v>645.79999999999995</v>
      </c>
      <c r="T449" s="117"/>
      <c r="U449" s="56" t="s">
        <v>949</v>
      </c>
      <c r="V449" s="105" t="s">
        <v>571</v>
      </c>
    </row>
    <row r="450" spans="1:22" s="18" customFormat="1" ht="17.25" x14ac:dyDescent="0.3">
      <c r="A450" s="39">
        <v>14122773</v>
      </c>
      <c r="B450" s="40" t="s">
        <v>444</v>
      </c>
      <c r="C450" s="41" t="s">
        <v>866</v>
      </c>
      <c r="D450" s="42" t="s">
        <v>3</v>
      </c>
      <c r="E450" s="43" t="s">
        <v>567</v>
      </c>
      <c r="F450" s="43" t="s">
        <v>568</v>
      </c>
      <c r="G450" s="44">
        <v>91</v>
      </c>
      <c r="H450" s="43" t="s">
        <v>569</v>
      </c>
      <c r="I450" s="45" t="s">
        <v>569</v>
      </c>
      <c r="J450" s="45" t="s">
        <v>546</v>
      </c>
      <c r="K450" s="116">
        <v>134.18</v>
      </c>
      <c r="L450" s="116">
        <v>134.18</v>
      </c>
      <c r="M450" s="116"/>
      <c r="N450" s="116">
        <v>200</v>
      </c>
      <c r="O450" s="116">
        <v>177.44</v>
      </c>
      <c r="P450" s="116"/>
      <c r="Q450" s="116"/>
      <c r="R450" s="116"/>
      <c r="S450" s="46">
        <v>645.79999999999995</v>
      </c>
      <c r="T450" s="117"/>
      <c r="U450" s="56" t="s">
        <v>949</v>
      </c>
      <c r="V450" s="105" t="s">
        <v>571</v>
      </c>
    </row>
    <row r="451" spans="1:22" s="18" customFormat="1" ht="17.25" x14ac:dyDescent="0.3">
      <c r="A451" s="39">
        <v>14122775</v>
      </c>
      <c r="B451" s="40" t="s">
        <v>445</v>
      </c>
      <c r="C451" s="41" t="s">
        <v>866</v>
      </c>
      <c r="D451" s="42" t="s">
        <v>3</v>
      </c>
      <c r="E451" s="43" t="s">
        <v>567</v>
      </c>
      <c r="F451" s="43" t="s">
        <v>568</v>
      </c>
      <c r="G451" s="44">
        <v>91</v>
      </c>
      <c r="H451" s="43" t="s">
        <v>569</v>
      </c>
      <c r="I451" s="45" t="s">
        <v>569</v>
      </c>
      <c r="J451" s="45" t="s">
        <v>546</v>
      </c>
      <c r="K451" s="116">
        <v>134.18</v>
      </c>
      <c r="L451" s="116">
        <v>134.18</v>
      </c>
      <c r="M451" s="116"/>
      <c r="N451" s="116">
        <v>200</v>
      </c>
      <c r="O451" s="116">
        <v>177.44</v>
      </c>
      <c r="P451" s="116"/>
      <c r="Q451" s="116"/>
      <c r="R451" s="116"/>
      <c r="S451" s="46">
        <v>645.79999999999995</v>
      </c>
      <c r="T451" s="117"/>
      <c r="U451" s="56" t="s">
        <v>949</v>
      </c>
      <c r="V451" s="105" t="s">
        <v>571</v>
      </c>
    </row>
    <row r="452" spans="1:22" s="18" customFormat="1" ht="17.25" x14ac:dyDescent="0.3">
      <c r="A452" s="39">
        <v>14122809</v>
      </c>
      <c r="B452" s="48" t="s">
        <v>446</v>
      </c>
      <c r="C452" s="41" t="s">
        <v>867</v>
      </c>
      <c r="D452" s="42" t="s">
        <v>3</v>
      </c>
      <c r="E452" s="43" t="s">
        <v>567</v>
      </c>
      <c r="F452" s="43" t="s">
        <v>568</v>
      </c>
      <c r="G452" s="44">
        <v>83</v>
      </c>
      <c r="H452" s="43" t="s">
        <v>571</v>
      </c>
      <c r="I452" s="45" t="s">
        <v>571</v>
      </c>
      <c r="J452" s="45" t="s">
        <v>546</v>
      </c>
      <c r="K452" s="116">
        <v>134.18</v>
      </c>
      <c r="L452" s="116">
        <v>134.18</v>
      </c>
      <c r="M452" s="116"/>
      <c r="N452" s="116">
        <v>0</v>
      </c>
      <c r="O452" s="116">
        <v>0</v>
      </c>
      <c r="P452" s="116"/>
      <c r="Q452" s="116"/>
      <c r="R452" s="116"/>
      <c r="S452" s="46">
        <v>268.36</v>
      </c>
      <c r="T452" s="117"/>
      <c r="U452" s="56" t="s">
        <v>949</v>
      </c>
      <c r="V452" s="105" t="s">
        <v>571</v>
      </c>
    </row>
    <row r="453" spans="1:22" s="18" customFormat="1" ht="17.25" x14ac:dyDescent="0.3">
      <c r="A453" s="39">
        <v>14122831</v>
      </c>
      <c r="B453" s="40" t="s">
        <v>447</v>
      </c>
      <c r="C453" s="41" t="s">
        <v>868</v>
      </c>
      <c r="D453" s="42" t="s">
        <v>3</v>
      </c>
      <c r="E453" s="43" t="s">
        <v>567</v>
      </c>
      <c r="F453" s="43" t="s">
        <v>568</v>
      </c>
      <c r="G453" s="44">
        <v>38</v>
      </c>
      <c r="H453" s="43" t="s">
        <v>571</v>
      </c>
      <c r="I453" s="45" t="s">
        <v>569</v>
      </c>
      <c r="J453" s="45" t="s">
        <v>546</v>
      </c>
      <c r="K453" s="116">
        <v>134.18</v>
      </c>
      <c r="L453" s="116">
        <v>134.18</v>
      </c>
      <c r="M453" s="116"/>
      <c r="N453" s="116">
        <v>0</v>
      </c>
      <c r="O453" s="116">
        <v>177.44</v>
      </c>
      <c r="P453" s="116"/>
      <c r="Q453" s="116"/>
      <c r="R453" s="116"/>
      <c r="S453" s="46">
        <v>445.8</v>
      </c>
      <c r="T453" s="117"/>
      <c r="U453" s="56" t="s">
        <v>949</v>
      </c>
      <c r="V453" s="105" t="s">
        <v>571</v>
      </c>
    </row>
    <row r="454" spans="1:22" s="18" customFormat="1" ht="17.25" x14ac:dyDescent="0.3">
      <c r="A454" s="39">
        <v>14122832</v>
      </c>
      <c r="B454" s="48" t="s">
        <v>448</v>
      </c>
      <c r="C454" s="41" t="s">
        <v>868</v>
      </c>
      <c r="D454" s="42" t="s">
        <v>3</v>
      </c>
      <c r="E454" s="43" t="s">
        <v>567</v>
      </c>
      <c r="F454" s="43" t="s">
        <v>568</v>
      </c>
      <c r="G454" s="44">
        <v>93</v>
      </c>
      <c r="H454" s="43" t="s">
        <v>569</v>
      </c>
      <c r="I454" s="45" t="s">
        <v>569</v>
      </c>
      <c r="J454" s="45" t="s">
        <v>546</v>
      </c>
      <c r="K454" s="116">
        <v>134.18</v>
      </c>
      <c r="L454" s="116">
        <v>134.18</v>
      </c>
      <c r="M454" s="116"/>
      <c r="N454" s="116">
        <v>200</v>
      </c>
      <c r="O454" s="116">
        <v>177.44</v>
      </c>
      <c r="P454" s="116"/>
      <c r="Q454" s="116"/>
      <c r="R454" s="116"/>
      <c r="S454" s="46">
        <v>645.79999999999995</v>
      </c>
      <c r="T454" s="117"/>
      <c r="U454" s="56" t="s">
        <v>949</v>
      </c>
      <c r="V454" s="105" t="s">
        <v>571</v>
      </c>
    </row>
    <row r="455" spans="1:22" s="18" customFormat="1" ht="17.25" x14ac:dyDescent="0.3">
      <c r="A455" s="39">
        <v>14122852</v>
      </c>
      <c r="B455" s="40" t="s">
        <v>449</v>
      </c>
      <c r="C455" s="41" t="s">
        <v>734</v>
      </c>
      <c r="D455" s="42" t="s">
        <v>3</v>
      </c>
      <c r="E455" s="43" t="s">
        <v>567</v>
      </c>
      <c r="F455" s="43" t="s">
        <v>568</v>
      </c>
      <c r="G455" s="44">
        <v>94</v>
      </c>
      <c r="H455" s="43" t="s">
        <v>569</v>
      </c>
      <c r="I455" s="45" t="s">
        <v>569</v>
      </c>
      <c r="J455" s="45" t="s">
        <v>546</v>
      </c>
      <c r="K455" s="116">
        <v>134.18</v>
      </c>
      <c r="L455" s="116">
        <v>134.18</v>
      </c>
      <c r="M455" s="116"/>
      <c r="N455" s="116">
        <v>200</v>
      </c>
      <c r="O455" s="116">
        <v>177.44</v>
      </c>
      <c r="P455" s="116"/>
      <c r="Q455" s="116"/>
      <c r="R455" s="116"/>
      <c r="S455" s="46">
        <v>645.79999999999995</v>
      </c>
      <c r="T455" s="117"/>
      <c r="U455" s="56" t="s">
        <v>949</v>
      </c>
      <c r="V455" s="105" t="s">
        <v>571</v>
      </c>
    </row>
    <row r="456" spans="1:22" s="18" customFormat="1" ht="17.25" x14ac:dyDescent="0.3">
      <c r="A456" s="39">
        <v>14122854</v>
      </c>
      <c r="B456" s="40" t="s">
        <v>450</v>
      </c>
      <c r="C456" s="41" t="s">
        <v>734</v>
      </c>
      <c r="D456" s="42" t="s">
        <v>3</v>
      </c>
      <c r="E456" s="43" t="s">
        <v>567</v>
      </c>
      <c r="F456" s="43" t="s">
        <v>568</v>
      </c>
      <c r="G456" s="44">
        <v>95</v>
      </c>
      <c r="H456" s="43" t="s">
        <v>569</v>
      </c>
      <c r="I456" s="45" t="s">
        <v>569</v>
      </c>
      <c r="J456" s="45" t="s">
        <v>546</v>
      </c>
      <c r="K456" s="116">
        <v>134.18</v>
      </c>
      <c r="L456" s="116">
        <v>134.18</v>
      </c>
      <c r="M456" s="116"/>
      <c r="N456" s="116">
        <v>200</v>
      </c>
      <c r="O456" s="116">
        <v>177.44</v>
      </c>
      <c r="P456" s="116"/>
      <c r="Q456" s="116"/>
      <c r="R456" s="116"/>
      <c r="S456" s="46">
        <v>645.79999999999995</v>
      </c>
      <c r="T456" s="117"/>
      <c r="U456" s="56" t="s">
        <v>949</v>
      </c>
      <c r="V456" s="105" t="s">
        <v>571</v>
      </c>
    </row>
    <row r="457" spans="1:22" s="18" customFormat="1" ht="17.25" x14ac:dyDescent="0.3">
      <c r="A457" s="39">
        <v>14122855</v>
      </c>
      <c r="B457" s="48" t="s">
        <v>451</v>
      </c>
      <c r="C457" s="41" t="s">
        <v>734</v>
      </c>
      <c r="D457" s="42" t="s">
        <v>3</v>
      </c>
      <c r="E457" s="43" t="s">
        <v>567</v>
      </c>
      <c r="F457" s="43" t="s">
        <v>568</v>
      </c>
      <c r="G457" s="44">
        <v>93</v>
      </c>
      <c r="H457" s="43" t="s">
        <v>569</v>
      </c>
      <c r="I457" s="45" t="s">
        <v>571</v>
      </c>
      <c r="J457" s="45" t="s">
        <v>546</v>
      </c>
      <c r="K457" s="116">
        <v>134.18</v>
      </c>
      <c r="L457" s="116">
        <v>134.18</v>
      </c>
      <c r="M457" s="116"/>
      <c r="N457" s="116">
        <v>0</v>
      </c>
      <c r="O457" s="116">
        <v>0</v>
      </c>
      <c r="P457" s="116"/>
      <c r="Q457" s="116"/>
      <c r="R457" s="116"/>
      <c r="S457" s="46">
        <v>268.36</v>
      </c>
      <c r="T457" s="117"/>
      <c r="U457" s="56" t="s">
        <v>949</v>
      </c>
      <c r="V457" s="105" t="s">
        <v>571</v>
      </c>
    </row>
    <row r="458" spans="1:22" s="18" customFormat="1" ht="17.25" x14ac:dyDescent="0.3">
      <c r="A458" s="39">
        <v>14122856</v>
      </c>
      <c r="B458" s="40" t="s">
        <v>452</v>
      </c>
      <c r="C458" s="41" t="s">
        <v>734</v>
      </c>
      <c r="D458" s="42" t="s">
        <v>3</v>
      </c>
      <c r="E458" s="43" t="s">
        <v>567</v>
      </c>
      <c r="F458" s="43" t="s">
        <v>568</v>
      </c>
      <c r="G458" s="44">
        <v>95</v>
      </c>
      <c r="H458" s="43" t="s">
        <v>569</v>
      </c>
      <c r="I458" s="45" t="s">
        <v>569</v>
      </c>
      <c r="J458" s="45" t="s">
        <v>546</v>
      </c>
      <c r="K458" s="116">
        <v>134.18</v>
      </c>
      <c r="L458" s="116">
        <v>134.18</v>
      </c>
      <c r="M458" s="116"/>
      <c r="N458" s="116">
        <v>200</v>
      </c>
      <c r="O458" s="116">
        <v>177.44</v>
      </c>
      <c r="P458" s="116"/>
      <c r="Q458" s="116"/>
      <c r="R458" s="116"/>
      <c r="S458" s="46">
        <v>645.79999999999995</v>
      </c>
      <c r="T458" s="117"/>
      <c r="U458" s="56" t="s">
        <v>949</v>
      </c>
      <c r="V458" s="105" t="s">
        <v>571</v>
      </c>
    </row>
    <row r="459" spans="1:22" s="18" customFormat="1" ht="17.25" x14ac:dyDescent="0.3">
      <c r="A459" s="40">
        <v>14122871</v>
      </c>
      <c r="B459" s="48" t="s">
        <v>453</v>
      </c>
      <c r="C459" s="41" t="s">
        <v>734</v>
      </c>
      <c r="D459" s="42" t="s">
        <v>3</v>
      </c>
      <c r="E459" s="43" t="s">
        <v>567</v>
      </c>
      <c r="F459" s="43" t="s">
        <v>568</v>
      </c>
      <c r="G459" s="44">
        <v>88</v>
      </c>
      <c r="H459" s="43" t="s">
        <v>571</v>
      </c>
      <c r="I459" s="45" t="s">
        <v>571</v>
      </c>
      <c r="J459" s="45" t="s">
        <v>546</v>
      </c>
      <c r="K459" s="116">
        <v>134.18</v>
      </c>
      <c r="L459" s="116">
        <v>134.18</v>
      </c>
      <c r="M459" s="116"/>
      <c r="N459" s="116">
        <v>0</v>
      </c>
      <c r="O459" s="116">
        <v>0</v>
      </c>
      <c r="P459" s="116"/>
      <c r="Q459" s="116"/>
      <c r="R459" s="116"/>
      <c r="S459" s="46">
        <v>268.36</v>
      </c>
      <c r="T459" s="117"/>
      <c r="U459" s="56" t="s">
        <v>949</v>
      </c>
      <c r="V459" s="105" t="s">
        <v>571</v>
      </c>
    </row>
    <row r="460" spans="1:22" s="18" customFormat="1" ht="17.25" x14ac:dyDescent="0.3">
      <c r="A460" s="39">
        <v>14122873</v>
      </c>
      <c r="B460" s="48" t="s">
        <v>454</v>
      </c>
      <c r="C460" s="41" t="s">
        <v>734</v>
      </c>
      <c r="D460" s="42" t="s">
        <v>3</v>
      </c>
      <c r="E460" s="43" t="s">
        <v>567</v>
      </c>
      <c r="F460" s="43" t="s">
        <v>568</v>
      </c>
      <c r="G460" s="44">
        <v>95</v>
      </c>
      <c r="H460" s="43" t="s">
        <v>569</v>
      </c>
      <c r="I460" s="45" t="s">
        <v>571</v>
      </c>
      <c r="J460" s="45" t="s">
        <v>573</v>
      </c>
      <c r="K460" s="116">
        <v>134.18</v>
      </c>
      <c r="L460" s="116">
        <v>134.18</v>
      </c>
      <c r="M460" s="116"/>
      <c r="N460" s="116">
        <v>0</v>
      </c>
      <c r="O460" s="116">
        <v>0</v>
      </c>
      <c r="P460" s="116"/>
      <c r="Q460" s="116"/>
      <c r="R460" s="116"/>
      <c r="S460" s="46">
        <v>268.36</v>
      </c>
      <c r="T460" s="117"/>
      <c r="U460" s="56" t="s">
        <v>949</v>
      </c>
      <c r="V460" s="105" t="s">
        <v>571</v>
      </c>
    </row>
    <row r="461" spans="1:22" s="18" customFormat="1" ht="17.25" x14ac:dyDescent="0.3">
      <c r="A461" s="39">
        <v>14122904</v>
      </c>
      <c r="B461" s="40" t="s">
        <v>457</v>
      </c>
      <c r="C461" s="41" t="s">
        <v>598</v>
      </c>
      <c r="D461" s="42" t="s">
        <v>3</v>
      </c>
      <c r="E461" s="43" t="s">
        <v>567</v>
      </c>
      <c r="F461" s="43" t="s">
        <v>568</v>
      </c>
      <c r="G461" s="44">
        <v>5</v>
      </c>
      <c r="H461" s="43" t="s">
        <v>571</v>
      </c>
      <c r="I461" s="45" t="s">
        <v>571</v>
      </c>
      <c r="J461" s="45" t="s">
        <v>546</v>
      </c>
      <c r="K461" s="116">
        <v>134.18</v>
      </c>
      <c r="L461" s="116">
        <v>134.18</v>
      </c>
      <c r="M461" s="116"/>
      <c r="N461" s="116">
        <v>0</v>
      </c>
      <c r="O461" s="116">
        <v>0</v>
      </c>
      <c r="P461" s="116"/>
      <c r="Q461" s="116"/>
      <c r="R461" s="116"/>
      <c r="S461" s="46">
        <v>268.36</v>
      </c>
      <c r="T461" s="117"/>
      <c r="U461" s="56" t="s">
        <v>949</v>
      </c>
      <c r="V461" s="105" t="s">
        <v>571</v>
      </c>
    </row>
    <row r="462" spans="1:22" s="18" customFormat="1" ht="17.25" x14ac:dyDescent="0.3">
      <c r="A462" s="40">
        <v>14122922</v>
      </c>
      <c r="B462" s="48" t="s">
        <v>458</v>
      </c>
      <c r="C462" s="41" t="s">
        <v>741</v>
      </c>
      <c r="D462" s="42" t="s">
        <v>3</v>
      </c>
      <c r="E462" s="43" t="s">
        <v>567</v>
      </c>
      <c r="F462" s="43" t="s">
        <v>568</v>
      </c>
      <c r="G462" s="44">
        <v>95</v>
      </c>
      <c r="H462" s="43" t="s">
        <v>569</v>
      </c>
      <c r="I462" s="45" t="s">
        <v>569</v>
      </c>
      <c r="J462" s="45" t="s">
        <v>546</v>
      </c>
      <c r="K462" s="116">
        <v>134.18</v>
      </c>
      <c r="L462" s="116">
        <v>134.18</v>
      </c>
      <c r="M462" s="116"/>
      <c r="N462" s="116">
        <v>200</v>
      </c>
      <c r="O462" s="116">
        <v>177.44</v>
      </c>
      <c r="P462" s="116"/>
      <c r="Q462" s="116"/>
      <c r="R462" s="116"/>
      <c r="S462" s="46">
        <v>645.79999999999995</v>
      </c>
      <c r="T462" s="117"/>
      <c r="U462" s="56" t="s">
        <v>949</v>
      </c>
      <c r="V462" s="105" t="s">
        <v>571</v>
      </c>
    </row>
    <row r="463" spans="1:22" s="18" customFormat="1" ht="17.25" x14ac:dyDescent="0.3">
      <c r="A463" s="39">
        <v>14122923</v>
      </c>
      <c r="B463" s="48" t="s">
        <v>459</v>
      </c>
      <c r="C463" s="41" t="s">
        <v>741</v>
      </c>
      <c r="D463" s="42" t="s">
        <v>3</v>
      </c>
      <c r="E463" s="43" t="s">
        <v>567</v>
      </c>
      <c r="F463" s="43" t="s">
        <v>568</v>
      </c>
      <c r="G463" s="44">
        <v>90</v>
      </c>
      <c r="H463" s="43" t="s">
        <v>569</v>
      </c>
      <c r="I463" s="45" t="s">
        <v>569</v>
      </c>
      <c r="J463" s="45" t="s">
        <v>546</v>
      </c>
      <c r="K463" s="116">
        <v>134.18</v>
      </c>
      <c r="L463" s="116">
        <v>134.18</v>
      </c>
      <c r="M463" s="116"/>
      <c r="N463" s="116">
        <v>200</v>
      </c>
      <c r="O463" s="116">
        <v>177.44</v>
      </c>
      <c r="P463" s="116"/>
      <c r="Q463" s="116"/>
      <c r="R463" s="116"/>
      <c r="S463" s="46">
        <v>645.79999999999995</v>
      </c>
      <c r="T463" s="117"/>
      <c r="U463" s="56" t="s">
        <v>949</v>
      </c>
      <c r="V463" s="105" t="s">
        <v>571</v>
      </c>
    </row>
    <row r="464" spans="1:22" s="18" customFormat="1" ht="17.25" x14ac:dyDescent="0.3">
      <c r="A464" s="39">
        <v>14122925</v>
      </c>
      <c r="B464" s="48" t="s">
        <v>460</v>
      </c>
      <c r="C464" s="41" t="s">
        <v>741</v>
      </c>
      <c r="D464" s="42" t="s">
        <v>3</v>
      </c>
      <c r="E464" s="43" t="s">
        <v>567</v>
      </c>
      <c r="F464" s="43" t="s">
        <v>568</v>
      </c>
      <c r="G464" s="44">
        <v>94</v>
      </c>
      <c r="H464" s="43" t="s">
        <v>569</v>
      </c>
      <c r="I464" s="45" t="s">
        <v>569</v>
      </c>
      <c r="J464" s="45" t="s">
        <v>573</v>
      </c>
      <c r="K464" s="116">
        <v>134.18</v>
      </c>
      <c r="L464" s="116">
        <v>134.18</v>
      </c>
      <c r="M464" s="116"/>
      <c r="N464" s="116">
        <v>200</v>
      </c>
      <c r="O464" s="116">
        <v>0</v>
      </c>
      <c r="P464" s="116"/>
      <c r="Q464" s="116"/>
      <c r="R464" s="116"/>
      <c r="S464" s="46">
        <v>468.36</v>
      </c>
      <c r="T464" s="117"/>
      <c r="U464" s="56" t="s">
        <v>949</v>
      </c>
      <c r="V464" s="47" t="s">
        <v>951</v>
      </c>
    </row>
    <row r="465" spans="1:22" s="18" customFormat="1" ht="17.25" x14ac:dyDescent="0.3">
      <c r="A465" s="39">
        <v>14122927</v>
      </c>
      <c r="B465" s="48" t="s">
        <v>461</v>
      </c>
      <c r="C465" s="41" t="s">
        <v>741</v>
      </c>
      <c r="D465" s="42" t="s">
        <v>3</v>
      </c>
      <c r="E465" s="43" t="s">
        <v>567</v>
      </c>
      <c r="F465" s="43" t="s">
        <v>568</v>
      </c>
      <c r="G465" s="44">
        <v>60</v>
      </c>
      <c r="H465" s="43" t="s">
        <v>571</v>
      </c>
      <c r="I465" s="45" t="s">
        <v>571</v>
      </c>
      <c r="J465" s="45" t="s">
        <v>546</v>
      </c>
      <c r="K465" s="116">
        <v>134.18</v>
      </c>
      <c r="L465" s="116">
        <v>134.18</v>
      </c>
      <c r="M465" s="116"/>
      <c r="N465" s="116">
        <v>0</v>
      </c>
      <c r="O465" s="116">
        <v>0</v>
      </c>
      <c r="P465" s="116"/>
      <c r="Q465" s="116"/>
      <c r="R465" s="116"/>
      <c r="S465" s="46">
        <v>268.36</v>
      </c>
      <c r="T465" s="117"/>
      <c r="U465" s="56" t="s">
        <v>949</v>
      </c>
      <c r="V465" s="105" t="s">
        <v>571</v>
      </c>
    </row>
    <row r="466" spans="1:22" s="18" customFormat="1" ht="17.25" x14ac:dyDescent="0.3">
      <c r="A466" s="39">
        <v>14122928</v>
      </c>
      <c r="B466" s="48" t="s">
        <v>462</v>
      </c>
      <c r="C466" s="41" t="s">
        <v>741</v>
      </c>
      <c r="D466" s="42" t="s">
        <v>3</v>
      </c>
      <c r="E466" s="43" t="s">
        <v>567</v>
      </c>
      <c r="F466" s="43" t="s">
        <v>568</v>
      </c>
      <c r="G466" s="44">
        <v>88</v>
      </c>
      <c r="H466" s="43" t="s">
        <v>571</v>
      </c>
      <c r="I466" s="45" t="s">
        <v>571</v>
      </c>
      <c r="J466" s="45" t="s">
        <v>546</v>
      </c>
      <c r="K466" s="116">
        <v>134.18</v>
      </c>
      <c r="L466" s="116">
        <v>134.18</v>
      </c>
      <c r="M466" s="116"/>
      <c r="N466" s="116">
        <v>0</v>
      </c>
      <c r="O466" s="116">
        <v>0</v>
      </c>
      <c r="P466" s="116"/>
      <c r="Q466" s="116"/>
      <c r="R466" s="116"/>
      <c r="S466" s="46">
        <v>268.36</v>
      </c>
      <c r="T466" s="117"/>
      <c r="U466" s="56" t="s">
        <v>949</v>
      </c>
      <c r="V466" s="105" t="s">
        <v>571</v>
      </c>
    </row>
    <row r="467" spans="1:22" s="18" customFormat="1" ht="17.25" x14ac:dyDescent="0.3">
      <c r="A467" s="39">
        <v>14122929</v>
      </c>
      <c r="B467" s="40" t="s">
        <v>463</v>
      </c>
      <c r="C467" s="41" t="s">
        <v>741</v>
      </c>
      <c r="D467" s="42" t="s">
        <v>3</v>
      </c>
      <c r="E467" s="43" t="s">
        <v>567</v>
      </c>
      <c r="F467" s="43" t="s">
        <v>568</v>
      </c>
      <c r="G467" s="44">
        <v>90</v>
      </c>
      <c r="H467" s="43" t="s">
        <v>569</v>
      </c>
      <c r="I467" s="45" t="s">
        <v>571</v>
      </c>
      <c r="J467" s="45" t="s">
        <v>546</v>
      </c>
      <c r="K467" s="116">
        <v>134.18</v>
      </c>
      <c r="L467" s="116">
        <v>134.18</v>
      </c>
      <c r="M467" s="116"/>
      <c r="N467" s="116">
        <v>0</v>
      </c>
      <c r="O467" s="116">
        <v>0</v>
      </c>
      <c r="P467" s="116"/>
      <c r="Q467" s="116"/>
      <c r="R467" s="116"/>
      <c r="S467" s="46">
        <v>268.36</v>
      </c>
      <c r="T467" s="117"/>
      <c r="U467" s="56" t="s">
        <v>949</v>
      </c>
      <c r="V467" s="105" t="s">
        <v>571</v>
      </c>
    </row>
    <row r="468" spans="1:22" s="18" customFormat="1" ht="17.25" x14ac:dyDescent="0.3">
      <c r="A468" s="39">
        <v>14122992</v>
      </c>
      <c r="B468" s="48" t="s">
        <v>465</v>
      </c>
      <c r="C468" s="41" t="s">
        <v>869</v>
      </c>
      <c r="D468" s="42" t="s">
        <v>3</v>
      </c>
      <c r="E468" s="43" t="s">
        <v>567</v>
      </c>
      <c r="F468" s="43" t="s">
        <v>568</v>
      </c>
      <c r="G468" s="44">
        <v>95</v>
      </c>
      <c r="H468" s="43" t="s">
        <v>569</v>
      </c>
      <c r="I468" s="45" t="s">
        <v>569</v>
      </c>
      <c r="J468" s="45" t="s">
        <v>546</v>
      </c>
      <c r="K468" s="116">
        <v>134.18</v>
      </c>
      <c r="L468" s="116">
        <v>134.18</v>
      </c>
      <c r="M468" s="116"/>
      <c r="N468" s="116">
        <v>200</v>
      </c>
      <c r="O468" s="116">
        <v>177.44</v>
      </c>
      <c r="P468" s="116"/>
      <c r="Q468" s="116"/>
      <c r="R468" s="116"/>
      <c r="S468" s="46">
        <v>645.79999999999995</v>
      </c>
      <c r="T468" s="117"/>
      <c r="U468" s="56" t="s">
        <v>949</v>
      </c>
      <c r="V468" s="47" t="s">
        <v>951</v>
      </c>
    </row>
    <row r="469" spans="1:22" s="18" customFormat="1" ht="17.25" x14ac:dyDescent="0.3">
      <c r="A469" s="39">
        <v>14122993</v>
      </c>
      <c r="B469" s="48" t="s">
        <v>466</v>
      </c>
      <c r="C469" s="41" t="s">
        <v>869</v>
      </c>
      <c r="D469" s="42" t="s">
        <v>3</v>
      </c>
      <c r="E469" s="43" t="s">
        <v>567</v>
      </c>
      <c r="F469" s="43" t="s">
        <v>568</v>
      </c>
      <c r="G469" s="44">
        <v>87</v>
      </c>
      <c r="H469" s="43" t="s">
        <v>571</v>
      </c>
      <c r="I469" s="45" t="s">
        <v>571</v>
      </c>
      <c r="J469" s="45" t="s">
        <v>546</v>
      </c>
      <c r="K469" s="116">
        <v>134.18</v>
      </c>
      <c r="L469" s="116">
        <v>134.18</v>
      </c>
      <c r="M469" s="116"/>
      <c r="N469" s="116">
        <v>0</v>
      </c>
      <c r="O469" s="116">
        <v>0</v>
      </c>
      <c r="P469" s="116"/>
      <c r="Q469" s="116"/>
      <c r="R469" s="116"/>
      <c r="S469" s="46">
        <v>268.36</v>
      </c>
      <c r="T469" s="117"/>
      <c r="U469" s="56" t="s">
        <v>949</v>
      </c>
      <c r="V469" s="105" t="s">
        <v>571</v>
      </c>
    </row>
    <row r="470" spans="1:22" s="18" customFormat="1" ht="17.25" x14ac:dyDescent="0.3">
      <c r="A470" s="39">
        <v>14122994</v>
      </c>
      <c r="B470" s="48" t="s">
        <v>467</v>
      </c>
      <c r="C470" s="41" t="s">
        <v>869</v>
      </c>
      <c r="D470" s="42" t="s">
        <v>3</v>
      </c>
      <c r="E470" s="43" t="s">
        <v>567</v>
      </c>
      <c r="F470" s="43" t="s">
        <v>568</v>
      </c>
      <c r="G470" s="44">
        <v>58</v>
      </c>
      <c r="H470" s="43" t="s">
        <v>571</v>
      </c>
      <c r="I470" s="45" t="s">
        <v>569</v>
      </c>
      <c r="J470" s="45" t="s">
        <v>546</v>
      </c>
      <c r="K470" s="116">
        <v>134.18</v>
      </c>
      <c r="L470" s="116">
        <v>134.18</v>
      </c>
      <c r="M470" s="116"/>
      <c r="N470" s="116">
        <v>0</v>
      </c>
      <c r="O470" s="116">
        <v>177.44</v>
      </c>
      <c r="P470" s="116"/>
      <c r="Q470" s="116"/>
      <c r="R470" s="116"/>
      <c r="S470" s="46">
        <v>445.8</v>
      </c>
      <c r="T470" s="117"/>
      <c r="U470" s="56" t="s">
        <v>949</v>
      </c>
      <c r="V470" s="105" t="s">
        <v>571</v>
      </c>
    </row>
    <row r="471" spans="1:22" s="18" customFormat="1" ht="17.25" x14ac:dyDescent="0.3">
      <c r="A471" s="39">
        <v>14123004</v>
      </c>
      <c r="B471" s="48" t="s">
        <v>468</v>
      </c>
      <c r="C471" s="41" t="s">
        <v>870</v>
      </c>
      <c r="D471" s="42" t="s">
        <v>3</v>
      </c>
      <c r="E471" s="43" t="s">
        <v>567</v>
      </c>
      <c r="F471" s="43" t="s">
        <v>568</v>
      </c>
      <c r="G471" s="44">
        <v>82</v>
      </c>
      <c r="H471" s="43" t="s">
        <v>571</v>
      </c>
      <c r="I471" s="45" t="s">
        <v>571</v>
      </c>
      <c r="J471" s="45" t="s">
        <v>546</v>
      </c>
      <c r="K471" s="116">
        <v>134.18</v>
      </c>
      <c r="L471" s="116">
        <v>134.18</v>
      </c>
      <c r="M471" s="116"/>
      <c r="N471" s="116">
        <v>0</v>
      </c>
      <c r="O471" s="116">
        <v>0</v>
      </c>
      <c r="P471" s="116"/>
      <c r="Q471" s="116"/>
      <c r="R471" s="116"/>
      <c r="S471" s="46">
        <v>268.36</v>
      </c>
      <c r="T471" s="117"/>
      <c r="U471" s="56" t="s">
        <v>949</v>
      </c>
      <c r="V471" s="105" t="s">
        <v>571</v>
      </c>
    </row>
    <row r="472" spans="1:22" s="18" customFormat="1" ht="17.25" x14ac:dyDescent="0.3">
      <c r="A472" s="39">
        <v>14123008</v>
      </c>
      <c r="B472" s="48" t="s">
        <v>469</v>
      </c>
      <c r="C472" s="41" t="s">
        <v>870</v>
      </c>
      <c r="D472" s="42" t="s">
        <v>3</v>
      </c>
      <c r="E472" s="43" t="s">
        <v>567</v>
      </c>
      <c r="F472" s="43" t="s">
        <v>568</v>
      </c>
      <c r="G472" s="44">
        <v>92</v>
      </c>
      <c r="H472" s="43" t="s">
        <v>569</v>
      </c>
      <c r="I472" s="45" t="s">
        <v>569</v>
      </c>
      <c r="J472" s="45" t="s">
        <v>573</v>
      </c>
      <c r="K472" s="116">
        <v>134.18</v>
      </c>
      <c r="L472" s="116">
        <v>134.18</v>
      </c>
      <c r="M472" s="116"/>
      <c r="N472" s="116">
        <v>200</v>
      </c>
      <c r="O472" s="116">
        <v>0</v>
      </c>
      <c r="P472" s="116"/>
      <c r="Q472" s="116"/>
      <c r="R472" s="116"/>
      <c r="S472" s="46">
        <v>468.36</v>
      </c>
      <c r="T472" s="117"/>
      <c r="U472" s="56" t="s">
        <v>949</v>
      </c>
      <c r="V472" s="105" t="s">
        <v>571</v>
      </c>
    </row>
    <row r="473" spans="1:22" s="18" customFormat="1" ht="17.25" x14ac:dyDescent="0.3">
      <c r="A473" s="40">
        <v>14123010</v>
      </c>
      <c r="B473" s="48" t="s">
        <v>470</v>
      </c>
      <c r="C473" s="41" t="s">
        <v>669</v>
      </c>
      <c r="D473" s="42" t="s">
        <v>3</v>
      </c>
      <c r="E473" s="43" t="s">
        <v>567</v>
      </c>
      <c r="F473" s="43" t="s">
        <v>568</v>
      </c>
      <c r="G473" s="44">
        <v>90</v>
      </c>
      <c r="H473" s="43" t="s">
        <v>569</v>
      </c>
      <c r="I473" s="45" t="s">
        <v>569</v>
      </c>
      <c r="J473" s="45" t="s">
        <v>546</v>
      </c>
      <c r="K473" s="116">
        <v>134.18</v>
      </c>
      <c r="L473" s="116">
        <v>134.18</v>
      </c>
      <c r="M473" s="116"/>
      <c r="N473" s="116">
        <v>200</v>
      </c>
      <c r="O473" s="116">
        <v>177.44</v>
      </c>
      <c r="P473" s="116"/>
      <c r="Q473" s="116"/>
      <c r="R473" s="116"/>
      <c r="S473" s="46">
        <v>645.79999999999995</v>
      </c>
      <c r="T473" s="117"/>
      <c r="U473" s="56" t="s">
        <v>949</v>
      </c>
      <c r="V473" s="105" t="s">
        <v>571</v>
      </c>
    </row>
    <row r="474" spans="1:22" s="18" customFormat="1" ht="17.25" x14ac:dyDescent="0.3">
      <c r="A474" s="40">
        <v>14123012</v>
      </c>
      <c r="B474" s="48" t="s">
        <v>471</v>
      </c>
      <c r="C474" s="41" t="s">
        <v>669</v>
      </c>
      <c r="D474" s="42" t="s">
        <v>3</v>
      </c>
      <c r="E474" s="43" t="s">
        <v>567</v>
      </c>
      <c r="F474" s="43" t="s">
        <v>568</v>
      </c>
      <c r="G474" s="44">
        <v>94</v>
      </c>
      <c r="H474" s="43" t="s">
        <v>569</v>
      </c>
      <c r="I474" s="45" t="s">
        <v>571</v>
      </c>
      <c r="J474" s="45" t="s">
        <v>573</v>
      </c>
      <c r="K474" s="116">
        <v>134.18</v>
      </c>
      <c r="L474" s="116">
        <v>134.18</v>
      </c>
      <c r="M474" s="116"/>
      <c r="N474" s="116">
        <v>0</v>
      </c>
      <c r="O474" s="116">
        <v>0</v>
      </c>
      <c r="P474" s="116"/>
      <c r="Q474" s="116"/>
      <c r="R474" s="116"/>
      <c r="S474" s="46">
        <v>268.36</v>
      </c>
      <c r="T474" s="117"/>
      <c r="U474" s="56" t="s">
        <v>949</v>
      </c>
      <c r="V474" s="105" t="s">
        <v>571</v>
      </c>
    </row>
    <row r="475" spans="1:22" s="18" customFormat="1" ht="17.25" x14ac:dyDescent="0.3">
      <c r="A475" s="40">
        <v>14123049</v>
      </c>
      <c r="B475" s="48" t="s">
        <v>472</v>
      </c>
      <c r="C475" s="41" t="s">
        <v>777</v>
      </c>
      <c r="D475" s="42" t="s">
        <v>3</v>
      </c>
      <c r="E475" s="43" t="s">
        <v>567</v>
      </c>
      <c r="F475" s="43" t="s">
        <v>568</v>
      </c>
      <c r="G475" s="44"/>
      <c r="H475" s="43" t="s">
        <v>571</v>
      </c>
      <c r="I475" s="45" t="s">
        <v>569</v>
      </c>
      <c r="J475" s="45" t="s">
        <v>573</v>
      </c>
      <c r="K475" s="116">
        <v>0</v>
      </c>
      <c r="L475" s="116">
        <v>0</v>
      </c>
      <c r="M475" s="116"/>
      <c r="N475" s="116">
        <v>0</v>
      </c>
      <c r="O475" s="116">
        <v>0</v>
      </c>
      <c r="P475" s="116"/>
      <c r="Q475" s="116"/>
      <c r="R475" s="116"/>
      <c r="S475" s="46">
        <v>0</v>
      </c>
      <c r="T475" s="117"/>
      <c r="U475" s="56" t="s">
        <v>571</v>
      </c>
      <c r="V475" s="105" t="s">
        <v>571</v>
      </c>
    </row>
    <row r="476" spans="1:22" s="18" customFormat="1" ht="17.25" x14ac:dyDescent="0.3">
      <c r="A476" s="39">
        <v>14123063</v>
      </c>
      <c r="B476" s="48" t="s">
        <v>473</v>
      </c>
      <c r="C476" s="41" t="s">
        <v>639</v>
      </c>
      <c r="D476" s="42" t="s">
        <v>3</v>
      </c>
      <c r="E476" s="43" t="s">
        <v>567</v>
      </c>
      <c r="F476" s="43" t="s">
        <v>568</v>
      </c>
      <c r="G476" s="44">
        <v>76</v>
      </c>
      <c r="H476" s="43" t="s">
        <v>571</v>
      </c>
      <c r="I476" s="45" t="s">
        <v>569</v>
      </c>
      <c r="J476" s="45" t="s">
        <v>546</v>
      </c>
      <c r="K476" s="116">
        <v>134.18</v>
      </c>
      <c r="L476" s="116">
        <v>134.18</v>
      </c>
      <c r="M476" s="116"/>
      <c r="N476" s="116">
        <v>0</v>
      </c>
      <c r="O476" s="116">
        <v>177.44</v>
      </c>
      <c r="P476" s="116"/>
      <c r="Q476" s="116"/>
      <c r="R476" s="116"/>
      <c r="S476" s="46">
        <v>445.8</v>
      </c>
      <c r="T476" s="117"/>
      <c r="U476" s="56" t="s">
        <v>949</v>
      </c>
      <c r="V476" s="105" t="s">
        <v>571</v>
      </c>
    </row>
    <row r="477" spans="1:22" s="18" customFormat="1" ht="17.25" x14ac:dyDescent="0.3">
      <c r="A477" s="40">
        <v>14123066</v>
      </c>
      <c r="B477" s="48" t="s">
        <v>474</v>
      </c>
      <c r="C477" s="41" t="s">
        <v>639</v>
      </c>
      <c r="D477" s="42" t="s">
        <v>3</v>
      </c>
      <c r="E477" s="43" t="s">
        <v>567</v>
      </c>
      <c r="F477" s="43" t="s">
        <v>568</v>
      </c>
      <c r="G477" s="44">
        <v>87</v>
      </c>
      <c r="H477" s="43" t="s">
        <v>571</v>
      </c>
      <c r="I477" s="45" t="s">
        <v>571</v>
      </c>
      <c r="J477" s="45" t="s">
        <v>546</v>
      </c>
      <c r="K477" s="116">
        <v>134.18</v>
      </c>
      <c r="L477" s="116">
        <v>134.18</v>
      </c>
      <c r="M477" s="116"/>
      <c r="N477" s="116">
        <v>0</v>
      </c>
      <c r="O477" s="116">
        <v>0</v>
      </c>
      <c r="P477" s="116"/>
      <c r="Q477" s="116"/>
      <c r="R477" s="116"/>
      <c r="S477" s="46">
        <v>268.36</v>
      </c>
      <c r="T477" s="117"/>
      <c r="U477" s="56" t="s">
        <v>949</v>
      </c>
      <c r="V477" s="105" t="s">
        <v>571</v>
      </c>
    </row>
    <row r="478" spans="1:22" s="18" customFormat="1" ht="17.25" x14ac:dyDescent="0.3">
      <c r="A478" s="40">
        <v>14123080</v>
      </c>
      <c r="B478" s="48" t="s">
        <v>475</v>
      </c>
      <c r="C478" s="41" t="s">
        <v>871</v>
      </c>
      <c r="D478" s="42" t="s">
        <v>3</v>
      </c>
      <c r="E478" s="43" t="s">
        <v>567</v>
      </c>
      <c r="F478" s="43" t="s">
        <v>568</v>
      </c>
      <c r="G478" s="44">
        <v>86</v>
      </c>
      <c r="H478" s="43" t="s">
        <v>571</v>
      </c>
      <c r="I478" s="45" t="s">
        <v>571</v>
      </c>
      <c r="J478" s="45" t="s">
        <v>546</v>
      </c>
      <c r="K478" s="116">
        <v>134.18</v>
      </c>
      <c r="L478" s="116">
        <v>134.18</v>
      </c>
      <c r="M478" s="116"/>
      <c r="N478" s="116">
        <v>0</v>
      </c>
      <c r="O478" s="116">
        <v>0</v>
      </c>
      <c r="P478" s="116"/>
      <c r="Q478" s="116"/>
      <c r="R478" s="116"/>
      <c r="S478" s="46">
        <v>268.36</v>
      </c>
      <c r="T478" s="117"/>
      <c r="U478" s="56" t="s">
        <v>949</v>
      </c>
      <c r="V478" s="105" t="s">
        <v>571</v>
      </c>
    </row>
    <row r="479" spans="1:22" s="18" customFormat="1" ht="17.25" x14ac:dyDescent="0.3">
      <c r="A479" s="39">
        <v>14123081</v>
      </c>
      <c r="B479" s="48" t="s">
        <v>476</v>
      </c>
      <c r="C479" s="41" t="s">
        <v>871</v>
      </c>
      <c r="D479" s="42" t="s">
        <v>3</v>
      </c>
      <c r="E479" s="43" t="s">
        <v>567</v>
      </c>
      <c r="F479" s="43" t="s">
        <v>568</v>
      </c>
      <c r="G479" s="44">
        <v>93</v>
      </c>
      <c r="H479" s="43" t="s">
        <v>569</v>
      </c>
      <c r="I479" s="45" t="s">
        <v>569</v>
      </c>
      <c r="J479" s="45" t="s">
        <v>573</v>
      </c>
      <c r="K479" s="116">
        <v>134.18</v>
      </c>
      <c r="L479" s="116">
        <v>134.18</v>
      </c>
      <c r="M479" s="116"/>
      <c r="N479" s="116">
        <v>200</v>
      </c>
      <c r="O479" s="116">
        <v>0</v>
      </c>
      <c r="P479" s="116"/>
      <c r="Q479" s="116"/>
      <c r="R479" s="116"/>
      <c r="S479" s="46">
        <v>468.36</v>
      </c>
      <c r="T479" s="117"/>
      <c r="U479" s="56" t="s">
        <v>949</v>
      </c>
      <c r="V479" s="105" t="s">
        <v>571</v>
      </c>
    </row>
    <row r="480" spans="1:22" s="18" customFormat="1" ht="17.25" x14ac:dyDescent="0.3">
      <c r="A480" s="40">
        <v>14123082</v>
      </c>
      <c r="B480" s="48" t="s">
        <v>477</v>
      </c>
      <c r="C480" s="41" t="s">
        <v>871</v>
      </c>
      <c r="D480" s="42" t="s">
        <v>3</v>
      </c>
      <c r="E480" s="43" t="s">
        <v>567</v>
      </c>
      <c r="F480" s="43" t="s">
        <v>568</v>
      </c>
      <c r="G480" s="44">
        <v>94</v>
      </c>
      <c r="H480" s="43" t="s">
        <v>569</v>
      </c>
      <c r="I480" s="45" t="s">
        <v>569</v>
      </c>
      <c r="J480" s="45" t="s">
        <v>546</v>
      </c>
      <c r="K480" s="116">
        <v>134.18</v>
      </c>
      <c r="L480" s="116">
        <v>134.18</v>
      </c>
      <c r="M480" s="116"/>
      <c r="N480" s="116">
        <v>200</v>
      </c>
      <c r="O480" s="116">
        <v>177.44</v>
      </c>
      <c r="P480" s="116"/>
      <c r="Q480" s="116"/>
      <c r="R480" s="116"/>
      <c r="S480" s="46">
        <v>645.79999999999995</v>
      </c>
      <c r="T480" s="117"/>
      <c r="U480" s="56" t="s">
        <v>949</v>
      </c>
      <c r="V480" s="105" t="s">
        <v>571</v>
      </c>
    </row>
    <row r="481" spans="1:22" s="18" customFormat="1" ht="17.25" x14ac:dyDescent="0.3">
      <c r="A481" s="39">
        <v>14123083</v>
      </c>
      <c r="B481" s="48" t="s">
        <v>478</v>
      </c>
      <c r="C481" s="41" t="s">
        <v>871</v>
      </c>
      <c r="D481" s="42" t="s">
        <v>3</v>
      </c>
      <c r="E481" s="43" t="s">
        <v>567</v>
      </c>
      <c r="F481" s="43" t="s">
        <v>568</v>
      </c>
      <c r="G481" s="44">
        <v>93</v>
      </c>
      <c r="H481" s="43" t="s">
        <v>569</v>
      </c>
      <c r="I481" s="45" t="s">
        <v>569</v>
      </c>
      <c r="J481" s="45" t="s">
        <v>546</v>
      </c>
      <c r="K481" s="116">
        <v>134.18</v>
      </c>
      <c r="L481" s="116">
        <v>134.18</v>
      </c>
      <c r="M481" s="116"/>
      <c r="N481" s="116">
        <v>200</v>
      </c>
      <c r="O481" s="116">
        <v>177.44</v>
      </c>
      <c r="P481" s="116"/>
      <c r="Q481" s="116"/>
      <c r="R481" s="116"/>
      <c r="S481" s="46">
        <v>645.79999999999995</v>
      </c>
      <c r="T481" s="117"/>
      <c r="U481" s="56" t="s">
        <v>949</v>
      </c>
      <c r="V481" s="105" t="s">
        <v>571</v>
      </c>
    </row>
    <row r="482" spans="1:22" s="18" customFormat="1" ht="17.25" x14ac:dyDescent="0.3">
      <c r="A482" s="40">
        <v>14123084</v>
      </c>
      <c r="B482" s="40" t="s">
        <v>479</v>
      </c>
      <c r="C482" s="41" t="s">
        <v>871</v>
      </c>
      <c r="D482" s="42" t="s">
        <v>3</v>
      </c>
      <c r="E482" s="43" t="s">
        <v>567</v>
      </c>
      <c r="F482" s="43" t="s">
        <v>568</v>
      </c>
      <c r="G482" s="44">
        <v>91</v>
      </c>
      <c r="H482" s="43" t="s">
        <v>569</v>
      </c>
      <c r="I482" s="45" t="s">
        <v>569</v>
      </c>
      <c r="J482" s="45" t="s">
        <v>573</v>
      </c>
      <c r="K482" s="116">
        <v>0</v>
      </c>
      <c r="L482" s="116">
        <v>0</v>
      </c>
      <c r="M482" s="116"/>
      <c r="N482" s="116">
        <v>0</v>
      </c>
      <c r="O482" s="116">
        <v>0</v>
      </c>
      <c r="P482" s="116"/>
      <c r="Q482" s="116"/>
      <c r="R482" s="116"/>
      <c r="S482" s="46">
        <v>0</v>
      </c>
      <c r="T482" s="117"/>
      <c r="U482" s="56" t="s">
        <v>571</v>
      </c>
      <c r="V482" s="105" t="s">
        <v>571</v>
      </c>
    </row>
    <row r="483" spans="1:22" s="18" customFormat="1" ht="17.25" x14ac:dyDescent="0.3">
      <c r="A483" s="40">
        <v>14123107</v>
      </c>
      <c r="B483" s="48" t="s">
        <v>480</v>
      </c>
      <c r="C483" s="41" t="s">
        <v>872</v>
      </c>
      <c r="D483" s="42" t="s">
        <v>3</v>
      </c>
      <c r="E483" s="43" t="s">
        <v>567</v>
      </c>
      <c r="F483" s="43" t="s">
        <v>568</v>
      </c>
      <c r="G483" s="44">
        <v>28</v>
      </c>
      <c r="H483" s="43" t="s">
        <v>571</v>
      </c>
      <c r="I483" s="45" t="s">
        <v>569</v>
      </c>
      <c r="J483" s="45" t="s">
        <v>546</v>
      </c>
      <c r="K483" s="116">
        <v>134.18</v>
      </c>
      <c r="L483" s="116">
        <v>134.18</v>
      </c>
      <c r="M483" s="116"/>
      <c r="N483" s="116">
        <v>0</v>
      </c>
      <c r="O483" s="116">
        <v>177.44</v>
      </c>
      <c r="P483" s="116"/>
      <c r="Q483" s="116"/>
      <c r="R483" s="116"/>
      <c r="S483" s="46">
        <v>445.8</v>
      </c>
      <c r="T483" s="117"/>
      <c r="U483" s="56" t="s">
        <v>949</v>
      </c>
      <c r="V483" s="105" t="s">
        <v>571</v>
      </c>
    </row>
    <row r="484" spans="1:22" s="18" customFormat="1" ht="17.25" x14ac:dyDescent="0.3">
      <c r="A484" s="39">
        <v>14123133</v>
      </c>
      <c r="B484" s="48" t="s">
        <v>481</v>
      </c>
      <c r="C484" s="41" t="s">
        <v>873</v>
      </c>
      <c r="D484" s="42" t="s">
        <v>3</v>
      </c>
      <c r="E484" s="43" t="s">
        <v>567</v>
      </c>
      <c r="F484" s="43" t="s">
        <v>568</v>
      </c>
      <c r="G484" s="44"/>
      <c r="H484" s="43" t="s">
        <v>571</v>
      </c>
      <c r="I484" s="45" t="s">
        <v>569</v>
      </c>
      <c r="J484" s="45" t="s">
        <v>573</v>
      </c>
      <c r="K484" s="116">
        <v>0</v>
      </c>
      <c r="L484" s="116">
        <v>0</v>
      </c>
      <c r="M484" s="116"/>
      <c r="N484" s="116">
        <v>0</v>
      </c>
      <c r="O484" s="116">
        <v>0</v>
      </c>
      <c r="P484" s="116"/>
      <c r="Q484" s="116"/>
      <c r="R484" s="116"/>
      <c r="S484" s="46">
        <v>0</v>
      </c>
      <c r="T484" s="117"/>
      <c r="U484" s="56" t="s">
        <v>571</v>
      </c>
      <c r="V484" s="105" t="s">
        <v>571</v>
      </c>
    </row>
    <row r="485" spans="1:22" s="18" customFormat="1" ht="17.25" x14ac:dyDescent="0.3">
      <c r="A485" s="40">
        <v>14123145</v>
      </c>
      <c r="B485" s="48" t="s">
        <v>482</v>
      </c>
      <c r="C485" s="41" t="s">
        <v>874</v>
      </c>
      <c r="D485" s="42" t="s">
        <v>3</v>
      </c>
      <c r="E485" s="43" t="s">
        <v>567</v>
      </c>
      <c r="F485" s="43" t="s">
        <v>568</v>
      </c>
      <c r="G485" s="44">
        <v>94</v>
      </c>
      <c r="H485" s="43" t="s">
        <v>569</v>
      </c>
      <c r="I485" s="45" t="s">
        <v>569</v>
      </c>
      <c r="J485" s="45" t="s">
        <v>546</v>
      </c>
      <c r="K485" s="116">
        <v>134.18</v>
      </c>
      <c r="L485" s="116">
        <v>134.18</v>
      </c>
      <c r="M485" s="116"/>
      <c r="N485" s="116">
        <v>200</v>
      </c>
      <c r="O485" s="116">
        <v>177.44</v>
      </c>
      <c r="P485" s="116"/>
      <c r="Q485" s="116"/>
      <c r="R485" s="116"/>
      <c r="S485" s="46">
        <v>645.79999999999995</v>
      </c>
      <c r="T485" s="117"/>
      <c r="U485" s="56" t="s">
        <v>949</v>
      </c>
      <c r="V485" s="105" t="s">
        <v>571</v>
      </c>
    </row>
    <row r="486" spans="1:22" s="18" customFormat="1" ht="17.25" x14ac:dyDescent="0.3">
      <c r="A486" s="39">
        <v>14123193</v>
      </c>
      <c r="B486" s="48" t="s">
        <v>484</v>
      </c>
      <c r="C486" s="41" t="s">
        <v>875</v>
      </c>
      <c r="D486" s="42" t="s">
        <v>3</v>
      </c>
      <c r="E486" s="43" t="s">
        <v>567</v>
      </c>
      <c r="F486" s="43" t="s">
        <v>568</v>
      </c>
      <c r="G486" s="44">
        <v>5</v>
      </c>
      <c r="H486" s="43" t="s">
        <v>571</v>
      </c>
      <c r="I486" s="45" t="s">
        <v>569</v>
      </c>
      <c r="J486" s="45" t="s">
        <v>573</v>
      </c>
      <c r="K486" s="116">
        <v>0</v>
      </c>
      <c r="L486" s="116">
        <v>0</v>
      </c>
      <c r="M486" s="116"/>
      <c r="N486" s="116">
        <v>0</v>
      </c>
      <c r="O486" s="116">
        <v>0</v>
      </c>
      <c r="P486" s="116"/>
      <c r="Q486" s="116"/>
      <c r="R486" s="116"/>
      <c r="S486" s="46">
        <v>0</v>
      </c>
      <c r="T486" s="117"/>
      <c r="U486" s="56" t="s">
        <v>571</v>
      </c>
      <c r="V486" s="105" t="s">
        <v>571</v>
      </c>
    </row>
    <row r="487" spans="1:22" s="18" customFormat="1" ht="17.25" x14ac:dyDescent="0.3">
      <c r="A487" s="39">
        <v>14123199</v>
      </c>
      <c r="B487" s="48" t="s">
        <v>485</v>
      </c>
      <c r="C487" s="41" t="s">
        <v>876</v>
      </c>
      <c r="D487" s="42" t="s">
        <v>3</v>
      </c>
      <c r="E487" s="43" t="s">
        <v>567</v>
      </c>
      <c r="F487" s="43" t="s">
        <v>568</v>
      </c>
      <c r="G487" s="44"/>
      <c r="H487" s="43" t="s">
        <v>571</v>
      </c>
      <c r="I487" s="45" t="s">
        <v>569</v>
      </c>
      <c r="J487" s="45" t="s">
        <v>573</v>
      </c>
      <c r="K487" s="116">
        <v>0</v>
      </c>
      <c r="L487" s="116">
        <v>0</v>
      </c>
      <c r="M487" s="116"/>
      <c r="N487" s="116">
        <v>0</v>
      </c>
      <c r="O487" s="116">
        <v>0</v>
      </c>
      <c r="P487" s="116"/>
      <c r="Q487" s="116"/>
      <c r="R487" s="116"/>
      <c r="S487" s="46">
        <v>0</v>
      </c>
      <c r="T487" s="117"/>
      <c r="U487" s="56" t="s">
        <v>571</v>
      </c>
      <c r="V487" s="105" t="s">
        <v>571</v>
      </c>
    </row>
    <row r="488" spans="1:22" s="18" customFormat="1" ht="17.25" x14ac:dyDescent="0.3">
      <c r="A488" s="39">
        <v>14123228</v>
      </c>
      <c r="B488" s="48" t="s">
        <v>486</v>
      </c>
      <c r="C488" s="41" t="s">
        <v>877</v>
      </c>
      <c r="D488" s="42" t="s">
        <v>3</v>
      </c>
      <c r="E488" s="43" t="s">
        <v>567</v>
      </c>
      <c r="F488" s="43" t="s">
        <v>568</v>
      </c>
      <c r="G488" s="44">
        <v>94</v>
      </c>
      <c r="H488" s="43" t="s">
        <v>569</v>
      </c>
      <c r="I488" s="45" t="s">
        <v>571</v>
      </c>
      <c r="J488" s="45" t="s">
        <v>546</v>
      </c>
      <c r="K488" s="116">
        <v>134.18</v>
      </c>
      <c r="L488" s="116">
        <v>134.18</v>
      </c>
      <c r="M488" s="116"/>
      <c r="N488" s="116">
        <v>0</v>
      </c>
      <c r="O488" s="116">
        <v>0</v>
      </c>
      <c r="P488" s="116"/>
      <c r="Q488" s="116"/>
      <c r="R488" s="116"/>
      <c r="S488" s="46">
        <v>268.36</v>
      </c>
      <c r="T488" s="117"/>
      <c r="U488" s="56" t="s">
        <v>949</v>
      </c>
      <c r="V488" s="105" t="s">
        <v>571</v>
      </c>
    </row>
    <row r="489" spans="1:22" s="18" customFormat="1" ht="17.25" x14ac:dyDescent="0.3">
      <c r="A489" s="39">
        <v>14123238</v>
      </c>
      <c r="B489" s="40" t="s">
        <v>487</v>
      </c>
      <c r="C489" s="41" t="s">
        <v>878</v>
      </c>
      <c r="D489" s="42" t="s">
        <v>3</v>
      </c>
      <c r="E489" s="43" t="s">
        <v>567</v>
      </c>
      <c r="F489" s="43" t="s">
        <v>568</v>
      </c>
      <c r="G489" s="44">
        <v>92</v>
      </c>
      <c r="H489" s="43" t="s">
        <v>569</v>
      </c>
      <c r="I489" s="45" t="s">
        <v>571</v>
      </c>
      <c r="J489" s="45" t="s">
        <v>573</v>
      </c>
      <c r="K489" s="116">
        <v>134.18</v>
      </c>
      <c r="L489" s="116">
        <v>134.18</v>
      </c>
      <c r="M489" s="116"/>
      <c r="N489" s="116">
        <v>0</v>
      </c>
      <c r="O489" s="116">
        <v>0</v>
      </c>
      <c r="P489" s="116"/>
      <c r="Q489" s="116"/>
      <c r="R489" s="116"/>
      <c r="S489" s="46">
        <v>268.36</v>
      </c>
      <c r="T489" s="117"/>
      <c r="U489" s="56" t="s">
        <v>949</v>
      </c>
      <c r="V489" s="105" t="s">
        <v>571</v>
      </c>
    </row>
    <row r="490" spans="1:22" s="18" customFormat="1" ht="17.25" x14ac:dyDescent="0.3">
      <c r="A490" s="39">
        <v>14123240</v>
      </c>
      <c r="B490" s="48" t="s">
        <v>488</v>
      </c>
      <c r="C490" s="41" t="s">
        <v>878</v>
      </c>
      <c r="D490" s="42" t="s">
        <v>3</v>
      </c>
      <c r="E490" s="43" t="s">
        <v>567</v>
      </c>
      <c r="F490" s="43" t="s">
        <v>568</v>
      </c>
      <c r="G490" s="44">
        <v>94</v>
      </c>
      <c r="H490" s="43" t="s">
        <v>569</v>
      </c>
      <c r="I490" s="45" t="s">
        <v>569</v>
      </c>
      <c r="J490" s="45" t="s">
        <v>546</v>
      </c>
      <c r="K490" s="116">
        <v>134.18</v>
      </c>
      <c r="L490" s="116">
        <v>134.18</v>
      </c>
      <c r="M490" s="116"/>
      <c r="N490" s="116">
        <v>200</v>
      </c>
      <c r="O490" s="116">
        <v>177.44</v>
      </c>
      <c r="P490" s="116"/>
      <c r="Q490" s="116"/>
      <c r="R490" s="116"/>
      <c r="S490" s="46">
        <v>645.79999999999995</v>
      </c>
      <c r="T490" s="117"/>
      <c r="U490" s="56" t="s">
        <v>949</v>
      </c>
      <c r="V490" s="105" t="s">
        <v>571</v>
      </c>
    </row>
    <row r="491" spans="1:22" s="18" customFormat="1" ht="17.25" x14ac:dyDescent="0.3">
      <c r="A491" s="39">
        <v>14123246</v>
      </c>
      <c r="B491" s="50" t="s">
        <v>489</v>
      </c>
      <c r="C491" s="41" t="s">
        <v>879</v>
      </c>
      <c r="D491" s="42" t="s">
        <v>3</v>
      </c>
      <c r="E491" s="43" t="s">
        <v>567</v>
      </c>
      <c r="F491" s="43" t="s">
        <v>568</v>
      </c>
      <c r="G491" s="44">
        <v>90</v>
      </c>
      <c r="H491" s="43" t="s">
        <v>569</v>
      </c>
      <c r="I491" s="45" t="s">
        <v>571</v>
      </c>
      <c r="J491" s="45" t="s">
        <v>573</v>
      </c>
      <c r="K491" s="116">
        <v>134.18</v>
      </c>
      <c r="L491" s="116">
        <v>134.18</v>
      </c>
      <c r="M491" s="116"/>
      <c r="N491" s="116">
        <v>0</v>
      </c>
      <c r="O491" s="116">
        <v>0</v>
      </c>
      <c r="P491" s="116"/>
      <c r="Q491" s="116"/>
      <c r="R491" s="116"/>
      <c r="S491" s="46">
        <v>268.36</v>
      </c>
      <c r="T491" s="117"/>
      <c r="U491" s="56" t="s">
        <v>949</v>
      </c>
      <c r="V491" s="105" t="s">
        <v>571</v>
      </c>
    </row>
    <row r="492" spans="1:22" s="18" customFormat="1" ht="17.25" x14ac:dyDescent="0.3">
      <c r="A492" s="39">
        <v>14123254</v>
      </c>
      <c r="B492" s="48" t="s">
        <v>490</v>
      </c>
      <c r="C492" s="41" t="s">
        <v>880</v>
      </c>
      <c r="D492" s="42" t="s">
        <v>3</v>
      </c>
      <c r="E492" s="43" t="s">
        <v>567</v>
      </c>
      <c r="F492" s="43" t="s">
        <v>568</v>
      </c>
      <c r="G492" s="44">
        <v>94</v>
      </c>
      <c r="H492" s="43" t="s">
        <v>569</v>
      </c>
      <c r="I492" s="45" t="s">
        <v>571</v>
      </c>
      <c r="J492" s="45" t="s">
        <v>546</v>
      </c>
      <c r="K492" s="116">
        <v>134.18</v>
      </c>
      <c r="L492" s="116">
        <v>134.18</v>
      </c>
      <c r="M492" s="116"/>
      <c r="N492" s="116">
        <v>0</v>
      </c>
      <c r="O492" s="116">
        <v>0</v>
      </c>
      <c r="P492" s="116"/>
      <c r="Q492" s="116"/>
      <c r="R492" s="116"/>
      <c r="S492" s="46">
        <v>268.36</v>
      </c>
      <c r="T492" s="117"/>
      <c r="U492" s="56" t="s">
        <v>949</v>
      </c>
      <c r="V492" s="105" t="s">
        <v>571</v>
      </c>
    </row>
    <row r="493" spans="1:22" s="18" customFormat="1" ht="17.25" x14ac:dyDescent="0.3">
      <c r="A493" s="39">
        <v>14123272</v>
      </c>
      <c r="B493" s="48" t="s">
        <v>881</v>
      </c>
      <c r="C493" s="41" t="s">
        <v>882</v>
      </c>
      <c r="D493" s="42" t="s">
        <v>3</v>
      </c>
      <c r="E493" s="43" t="s">
        <v>567</v>
      </c>
      <c r="F493" s="43" t="s">
        <v>568</v>
      </c>
      <c r="G493" s="44"/>
      <c r="H493" s="43" t="s">
        <v>571</v>
      </c>
      <c r="I493" s="45" t="s">
        <v>569</v>
      </c>
      <c r="J493" s="45" t="s">
        <v>573</v>
      </c>
      <c r="K493" s="116">
        <v>0</v>
      </c>
      <c r="L493" s="116">
        <v>0</v>
      </c>
      <c r="M493" s="116"/>
      <c r="N493" s="116">
        <v>0</v>
      </c>
      <c r="O493" s="116">
        <v>0</v>
      </c>
      <c r="P493" s="116"/>
      <c r="Q493" s="116"/>
      <c r="R493" s="116"/>
      <c r="S493" s="46">
        <v>0</v>
      </c>
      <c r="T493" s="117"/>
      <c r="U493" s="56" t="s">
        <v>571</v>
      </c>
      <c r="V493" s="105" t="s">
        <v>571</v>
      </c>
    </row>
    <row r="494" spans="1:22" s="18" customFormat="1" ht="17.25" x14ac:dyDescent="0.3">
      <c r="A494" s="39">
        <v>14123273</v>
      </c>
      <c r="B494" s="48" t="s">
        <v>491</v>
      </c>
      <c r="C494" s="41" t="s">
        <v>882</v>
      </c>
      <c r="D494" s="42" t="s">
        <v>3</v>
      </c>
      <c r="E494" s="43" t="s">
        <v>567</v>
      </c>
      <c r="F494" s="43" t="s">
        <v>568</v>
      </c>
      <c r="G494" s="44">
        <v>88</v>
      </c>
      <c r="H494" s="43" t="s">
        <v>571</v>
      </c>
      <c r="I494" s="45" t="s">
        <v>571</v>
      </c>
      <c r="J494" s="45" t="s">
        <v>546</v>
      </c>
      <c r="K494" s="116">
        <v>134.18</v>
      </c>
      <c r="L494" s="116">
        <v>134.18</v>
      </c>
      <c r="M494" s="116"/>
      <c r="N494" s="116">
        <v>0</v>
      </c>
      <c r="O494" s="116">
        <v>0</v>
      </c>
      <c r="P494" s="116"/>
      <c r="Q494" s="116"/>
      <c r="R494" s="116"/>
      <c r="S494" s="46">
        <v>268.36</v>
      </c>
      <c r="T494" s="117"/>
      <c r="U494" s="56" t="s">
        <v>949</v>
      </c>
      <c r="V494" s="105" t="s">
        <v>571</v>
      </c>
    </row>
    <row r="495" spans="1:22" s="18" customFormat="1" ht="17.25" x14ac:dyDescent="0.3">
      <c r="A495" s="39">
        <v>14123274</v>
      </c>
      <c r="B495" s="48" t="s">
        <v>492</v>
      </c>
      <c r="C495" s="41" t="s">
        <v>882</v>
      </c>
      <c r="D495" s="42" t="s">
        <v>3</v>
      </c>
      <c r="E495" s="43" t="s">
        <v>567</v>
      </c>
      <c r="F495" s="43" t="s">
        <v>568</v>
      </c>
      <c r="G495" s="44">
        <v>94</v>
      </c>
      <c r="H495" s="43" t="s">
        <v>569</v>
      </c>
      <c r="I495" s="45" t="s">
        <v>569</v>
      </c>
      <c r="J495" s="45" t="s">
        <v>546</v>
      </c>
      <c r="K495" s="116">
        <v>134.18</v>
      </c>
      <c r="L495" s="116">
        <v>134.18</v>
      </c>
      <c r="M495" s="116"/>
      <c r="N495" s="116">
        <v>200</v>
      </c>
      <c r="O495" s="116">
        <v>177.44</v>
      </c>
      <c r="P495" s="116"/>
      <c r="Q495" s="116"/>
      <c r="R495" s="116"/>
      <c r="S495" s="46">
        <v>645.79999999999995</v>
      </c>
      <c r="T495" s="117"/>
      <c r="U495" s="56" t="s">
        <v>949</v>
      </c>
      <c r="V495" s="105" t="s">
        <v>571</v>
      </c>
    </row>
    <row r="496" spans="1:22" s="18" customFormat="1" ht="17.25" x14ac:dyDescent="0.3">
      <c r="A496" s="39">
        <v>14123275</v>
      </c>
      <c r="B496" s="48" t="s">
        <v>493</v>
      </c>
      <c r="C496" s="41" t="s">
        <v>882</v>
      </c>
      <c r="D496" s="42" t="s">
        <v>3</v>
      </c>
      <c r="E496" s="43" t="s">
        <v>567</v>
      </c>
      <c r="F496" s="43" t="s">
        <v>568</v>
      </c>
      <c r="G496" s="44">
        <v>83</v>
      </c>
      <c r="H496" s="43" t="s">
        <v>571</v>
      </c>
      <c r="I496" s="45" t="s">
        <v>571</v>
      </c>
      <c r="J496" s="45" t="s">
        <v>546</v>
      </c>
      <c r="K496" s="116">
        <v>134.18</v>
      </c>
      <c r="L496" s="116">
        <v>134.18</v>
      </c>
      <c r="M496" s="116"/>
      <c r="N496" s="116">
        <v>0</v>
      </c>
      <c r="O496" s="116">
        <v>0</v>
      </c>
      <c r="P496" s="116"/>
      <c r="Q496" s="116"/>
      <c r="R496" s="116"/>
      <c r="S496" s="46">
        <v>268.36</v>
      </c>
      <c r="T496" s="117"/>
      <c r="U496" s="56" t="s">
        <v>949</v>
      </c>
      <c r="V496" s="105" t="s">
        <v>571</v>
      </c>
    </row>
    <row r="497" spans="1:22" s="18" customFormat="1" ht="17.25" x14ac:dyDescent="0.3">
      <c r="A497" s="39">
        <v>14123276</v>
      </c>
      <c r="B497" s="48" t="s">
        <v>494</v>
      </c>
      <c r="C497" s="41" t="s">
        <v>882</v>
      </c>
      <c r="D497" s="42" t="s">
        <v>3</v>
      </c>
      <c r="E497" s="43" t="s">
        <v>567</v>
      </c>
      <c r="F497" s="43" t="s">
        <v>568</v>
      </c>
      <c r="G497" s="44">
        <v>91</v>
      </c>
      <c r="H497" s="43" t="s">
        <v>569</v>
      </c>
      <c r="I497" s="45" t="s">
        <v>571</v>
      </c>
      <c r="J497" s="45" t="s">
        <v>573</v>
      </c>
      <c r="K497" s="116">
        <v>134.18</v>
      </c>
      <c r="L497" s="116">
        <v>134.18</v>
      </c>
      <c r="M497" s="116"/>
      <c r="N497" s="116">
        <v>0</v>
      </c>
      <c r="O497" s="116">
        <v>0</v>
      </c>
      <c r="P497" s="116"/>
      <c r="Q497" s="116"/>
      <c r="R497" s="116"/>
      <c r="S497" s="46">
        <v>268.36</v>
      </c>
      <c r="T497" s="117"/>
      <c r="U497" s="56" t="s">
        <v>949</v>
      </c>
      <c r="V497" s="105" t="s">
        <v>571</v>
      </c>
    </row>
    <row r="498" spans="1:22" s="18" customFormat="1" ht="17.25" x14ac:dyDescent="0.3">
      <c r="A498" s="39">
        <v>14123277</v>
      </c>
      <c r="B498" s="48" t="s">
        <v>495</v>
      </c>
      <c r="C498" s="41" t="s">
        <v>882</v>
      </c>
      <c r="D498" s="42" t="s">
        <v>3</v>
      </c>
      <c r="E498" s="43" t="s">
        <v>567</v>
      </c>
      <c r="F498" s="43" t="s">
        <v>568</v>
      </c>
      <c r="G498" s="44">
        <v>74</v>
      </c>
      <c r="H498" s="43" t="s">
        <v>571</v>
      </c>
      <c r="I498" s="45" t="s">
        <v>569</v>
      </c>
      <c r="J498" s="45" t="s">
        <v>546</v>
      </c>
      <c r="K498" s="116">
        <v>134.18</v>
      </c>
      <c r="L498" s="116">
        <v>134.18</v>
      </c>
      <c r="M498" s="116"/>
      <c r="N498" s="116">
        <v>0</v>
      </c>
      <c r="O498" s="116">
        <v>177.44</v>
      </c>
      <c r="P498" s="116"/>
      <c r="Q498" s="116"/>
      <c r="R498" s="116"/>
      <c r="S498" s="46">
        <v>445.8</v>
      </c>
      <c r="T498" s="117"/>
      <c r="U498" s="56" t="s">
        <v>949</v>
      </c>
      <c r="V498" s="105" t="s">
        <v>571</v>
      </c>
    </row>
    <row r="499" spans="1:22" s="18" customFormat="1" ht="17.25" x14ac:dyDescent="0.3">
      <c r="A499" s="39">
        <v>14123312</v>
      </c>
      <c r="B499" s="48" t="s">
        <v>496</v>
      </c>
      <c r="C499" s="41" t="s">
        <v>883</v>
      </c>
      <c r="D499" s="42" t="s">
        <v>3</v>
      </c>
      <c r="E499" s="43" t="s">
        <v>567</v>
      </c>
      <c r="F499" s="43" t="s">
        <v>568</v>
      </c>
      <c r="G499" s="44">
        <v>71</v>
      </c>
      <c r="H499" s="43" t="s">
        <v>571</v>
      </c>
      <c r="I499" s="45" t="s">
        <v>571</v>
      </c>
      <c r="J499" s="45" t="s">
        <v>546</v>
      </c>
      <c r="K499" s="116">
        <v>134.18</v>
      </c>
      <c r="L499" s="116">
        <v>134.18</v>
      </c>
      <c r="M499" s="116"/>
      <c r="N499" s="116">
        <v>0</v>
      </c>
      <c r="O499" s="116">
        <v>0</v>
      </c>
      <c r="P499" s="116"/>
      <c r="Q499" s="116"/>
      <c r="R499" s="116"/>
      <c r="S499" s="46">
        <v>268.36</v>
      </c>
      <c r="T499" s="117"/>
      <c r="U499" s="56" t="s">
        <v>949</v>
      </c>
      <c r="V499" s="105" t="s">
        <v>571</v>
      </c>
    </row>
    <row r="500" spans="1:22" s="18" customFormat="1" ht="17.25" x14ac:dyDescent="0.3">
      <c r="A500" s="39">
        <v>14123313</v>
      </c>
      <c r="B500" s="48" t="s">
        <v>497</v>
      </c>
      <c r="C500" s="41" t="s">
        <v>883</v>
      </c>
      <c r="D500" s="42" t="s">
        <v>3</v>
      </c>
      <c r="E500" s="43" t="s">
        <v>567</v>
      </c>
      <c r="F500" s="43" t="s">
        <v>568</v>
      </c>
      <c r="G500" s="44">
        <v>94</v>
      </c>
      <c r="H500" s="43" t="s">
        <v>569</v>
      </c>
      <c r="I500" s="45" t="s">
        <v>569</v>
      </c>
      <c r="J500" s="45" t="s">
        <v>546</v>
      </c>
      <c r="K500" s="116">
        <v>134.18</v>
      </c>
      <c r="L500" s="116">
        <v>134.18</v>
      </c>
      <c r="M500" s="116"/>
      <c r="N500" s="116">
        <v>200</v>
      </c>
      <c r="O500" s="116">
        <v>177.44</v>
      </c>
      <c r="P500" s="116"/>
      <c r="Q500" s="116"/>
      <c r="R500" s="116"/>
      <c r="S500" s="46">
        <v>645.79999999999995</v>
      </c>
      <c r="T500" s="117"/>
      <c r="U500" s="56" t="s">
        <v>949</v>
      </c>
      <c r="V500" s="105" t="s">
        <v>571</v>
      </c>
    </row>
    <row r="501" spans="1:22" s="18" customFormat="1" ht="17.25" x14ac:dyDescent="0.3">
      <c r="A501" s="40">
        <v>14123331</v>
      </c>
      <c r="B501" s="48" t="s">
        <v>500</v>
      </c>
      <c r="C501" s="41" t="s">
        <v>884</v>
      </c>
      <c r="D501" s="42" t="s">
        <v>3</v>
      </c>
      <c r="E501" s="43" t="s">
        <v>567</v>
      </c>
      <c r="F501" s="43" t="s">
        <v>568</v>
      </c>
      <c r="G501" s="44">
        <v>92</v>
      </c>
      <c r="H501" s="43" t="s">
        <v>569</v>
      </c>
      <c r="I501" s="45" t="s">
        <v>571</v>
      </c>
      <c r="J501" s="45" t="s">
        <v>573</v>
      </c>
      <c r="K501" s="116">
        <v>134.18</v>
      </c>
      <c r="L501" s="116">
        <v>134.18</v>
      </c>
      <c r="M501" s="116"/>
      <c r="N501" s="116">
        <v>0</v>
      </c>
      <c r="O501" s="116">
        <v>0</v>
      </c>
      <c r="P501" s="116"/>
      <c r="Q501" s="116"/>
      <c r="R501" s="116"/>
      <c r="S501" s="46">
        <v>268.36</v>
      </c>
      <c r="T501" s="117"/>
      <c r="U501" s="56" t="s">
        <v>949</v>
      </c>
      <c r="V501" s="105" t="s">
        <v>571</v>
      </c>
    </row>
    <row r="502" spans="1:22" s="18" customFormat="1" ht="17.25" x14ac:dyDescent="0.3">
      <c r="A502" s="39">
        <v>14123332</v>
      </c>
      <c r="B502" s="48" t="s">
        <v>501</v>
      </c>
      <c r="C502" s="41" t="s">
        <v>802</v>
      </c>
      <c r="D502" s="42" t="s">
        <v>3</v>
      </c>
      <c r="E502" s="43" t="s">
        <v>567</v>
      </c>
      <c r="F502" s="43" t="s">
        <v>568</v>
      </c>
      <c r="G502" s="44">
        <v>80</v>
      </c>
      <c r="H502" s="43" t="s">
        <v>571</v>
      </c>
      <c r="I502" s="45" t="s">
        <v>571</v>
      </c>
      <c r="J502" s="45" t="s">
        <v>546</v>
      </c>
      <c r="K502" s="116">
        <v>134.18</v>
      </c>
      <c r="L502" s="116">
        <v>134.18</v>
      </c>
      <c r="M502" s="116"/>
      <c r="N502" s="116">
        <v>0</v>
      </c>
      <c r="O502" s="116">
        <v>0</v>
      </c>
      <c r="P502" s="116"/>
      <c r="Q502" s="116"/>
      <c r="R502" s="116"/>
      <c r="S502" s="46">
        <v>268.36</v>
      </c>
      <c r="T502" s="117"/>
      <c r="U502" s="56" t="s">
        <v>949</v>
      </c>
      <c r="V502" s="105" t="s">
        <v>571</v>
      </c>
    </row>
    <row r="503" spans="1:22" s="18" customFormat="1" ht="17.25" x14ac:dyDescent="0.3">
      <c r="A503" s="39">
        <v>14123334</v>
      </c>
      <c r="B503" s="48" t="s">
        <v>502</v>
      </c>
      <c r="C503" s="41" t="s">
        <v>802</v>
      </c>
      <c r="D503" s="42" t="s">
        <v>3</v>
      </c>
      <c r="E503" s="43" t="s">
        <v>567</v>
      </c>
      <c r="F503" s="43" t="s">
        <v>568</v>
      </c>
      <c r="G503" s="44">
        <v>94</v>
      </c>
      <c r="H503" s="43" t="s">
        <v>569</v>
      </c>
      <c r="I503" s="45" t="s">
        <v>571</v>
      </c>
      <c r="J503" s="45" t="s">
        <v>546</v>
      </c>
      <c r="K503" s="116">
        <v>134.18</v>
      </c>
      <c r="L503" s="116">
        <v>134.18</v>
      </c>
      <c r="M503" s="116"/>
      <c r="N503" s="116">
        <v>0</v>
      </c>
      <c r="O503" s="116">
        <v>0</v>
      </c>
      <c r="P503" s="116"/>
      <c r="Q503" s="116"/>
      <c r="R503" s="116"/>
      <c r="S503" s="46">
        <v>268.36</v>
      </c>
      <c r="T503" s="117"/>
      <c r="U503" s="56" t="s">
        <v>949</v>
      </c>
      <c r="V503" s="105" t="s">
        <v>571</v>
      </c>
    </row>
    <row r="504" spans="1:22" s="18" customFormat="1" ht="17.25" x14ac:dyDescent="0.3">
      <c r="A504" s="39">
        <v>14123336</v>
      </c>
      <c r="B504" s="48" t="s">
        <v>503</v>
      </c>
      <c r="C504" s="41" t="s">
        <v>802</v>
      </c>
      <c r="D504" s="42" t="s">
        <v>3</v>
      </c>
      <c r="E504" s="43" t="s">
        <v>567</v>
      </c>
      <c r="F504" s="43" t="s">
        <v>568</v>
      </c>
      <c r="G504" s="44">
        <v>90</v>
      </c>
      <c r="H504" s="43" t="s">
        <v>569</v>
      </c>
      <c r="I504" s="45" t="s">
        <v>571</v>
      </c>
      <c r="J504" s="45" t="s">
        <v>546</v>
      </c>
      <c r="K504" s="116">
        <v>134.18</v>
      </c>
      <c r="L504" s="116">
        <v>134.18</v>
      </c>
      <c r="M504" s="116"/>
      <c r="N504" s="116">
        <v>0</v>
      </c>
      <c r="O504" s="116">
        <v>0</v>
      </c>
      <c r="P504" s="116"/>
      <c r="Q504" s="116"/>
      <c r="R504" s="116"/>
      <c r="S504" s="46">
        <v>268.36</v>
      </c>
      <c r="T504" s="117"/>
      <c r="U504" s="56" t="s">
        <v>949</v>
      </c>
      <c r="V504" s="105" t="s">
        <v>571</v>
      </c>
    </row>
    <row r="505" spans="1:22" s="18" customFormat="1" ht="17.25" x14ac:dyDescent="0.3">
      <c r="A505" s="39">
        <v>14123375</v>
      </c>
      <c r="B505" s="48" t="s">
        <v>504</v>
      </c>
      <c r="C505" s="41" t="s">
        <v>885</v>
      </c>
      <c r="D505" s="42" t="s">
        <v>3</v>
      </c>
      <c r="E505" s="43" t="s">
        <v>567</v>
      </c>
      <c r="F505" s="43" t="s">
        <v>568</v>
      </c>
      <c r="G505" s="44">
        <v>89</v>
      </c>
      <c r="H505" s="43" t="s">
        <v>571</v>
      </c>
      <c r="I505" s="45" t="s">
        <v>571</v>
      </c>
      <c r="J505" s="45" t="s">
        <v>546</v>
      </c>
      <c r="K505" s="116">
        <v>134.18</v>
      </c>
      <c r="L505" s="116">
        <v>134.18</v>
      </c>
      <c r="M505" s="116"/>
      <c r="N505" s="116">
        <v>0</v>
      </c>
      <c r="O505" s="116">
        <v>0</v>
      </c>
      <c r="P505" s="116"/>
      <c r="Q505" s="116"/>
      <c r="R505" s="116"/>
      <c r="S505" s="46">
        <v>268.36</v>
      </c>
      <c r="T505" s="117"/>
      <c r="U505" s="56" t="s">
        <v>949</v>
      </c>
      <c r="V505" s="105" t="s">
        <v>571</v>
      </c>
    </row>
    <row r="506" spans="1:22" s="18" customFormat="1" ht="17.25" x14ac:dyDescent="0.3">
      <c r="A506" s="39">
        <v>14123377</v>
      </c>
      <c r="B506" s="48" t="s">
        <v>505</v>
      </c>
      <c r="C506" s="41" t="s">
        <v>885</v>
      </c>
      <c r="D506" s="42" t="s">
        <v>3</v>
      </c>
      <c r="E506" s="43" t="s">
        <v>567</v>
      </c>
      <c r="F506" s="43" t="s">
        <v>568</v>
      </c>
      <c r="G506" s="44">
        <v>91</v>
      </c>
      <c r="H506" s="43" t="s">
        <v>569</v>
      </c>
      <c r="I506" s="45" t="s">
        <v>569</v>
      </c>
      <c r="J506" s="45" t="s">
        <v>546</v>
      </c>
      <c r="K506" s="116">
        <v>134.18</v>
      </c>
      <c r="L506" s="116">
        <v>134.18</v>
      </c>
      <c r="M506" s="116"/>
      <c r="N506" s="116">
        <v>200</v>
      </c>
      <c r="O506" s="116">
        <v>177.44</v>
      </c>
      <c r="P506" s="116"/>
      <c r="Q506" s="116"/>
      <c r="R506" s="116"/>
      <c r="S506" s="46">
        <v>645.79999999999995</v>
      </c>
      <c r="T506" s="117"/>
      <c r="U506" s="56" t="s">
        <v>949</v>
      </c>
      <c r="V506" s="105" t="s">
        <v>571</v>
      </c>
    </row>
    <row r="507" spans="1:22" s="18" customFormat="1" ht="17.25" x14ac:dyDescent="0.3">
      <c r="A507" s="39">
        <v>14123445</v>
      </c>
      <c r="B507" s="40" t="s">
        <v>506</v>
      </c>
      <c r="C507" s="41" t="s">
        <v>886</v>
      </c>
      <c r="D507" s="42" t="s">
        <v>3</v>
      </c>
      <c r="E507" s="43" t="s">
        <v>567</v>
      </c>
      <c r="F507" s="43" t="s">
        <v>568</v>
      </c>
      <c r="G507" s="44">
        <v>92</v>
      </c>
      <c r="H507" s="43" t="s">
        <v>569</v>
      </c>
      <c r="I507" s="45" t="s">
        <v>569</v>
      </c>
      <c r="J507" s="45" t="s">
        <v>546</v>
      </c>
      <c r="K507" s="116">
        <v>134.18</v>
      </c>
      <c r="L507" s="116">
        <v>134.18</v>
      </c>
      <c r="M507" s="116"/>
      <c r="N507" s="116">
        <v>200</v>
      </c>
      <c r="O507" s="116">
        <v>177.44</v>
      </c>
      <c r="P507" s="116"/>
      <c r="Q507" s="116"/>
      <c r="R507" s="116"/>
      <c r="S507" s="46">
        <v>645.79999999999995</v>
      </c>
      <c r="T507" s="117"/>
      <c r="U507" s="56" t="s">
        <v>949</v>
      </c>
      <c r="V507" s="105" t="s">
        <v>571</v>
      </c>
    </row>
    <row r="508" spans="1:22" s="18" customFormat="1" ht="17.25" x14ac:dyDescent="0.3">
      <c r="A508" s="39">
        <v>14123446</v>
      </c>
      <c r="B508" s="48" t="s">
        <v>507</v>
      </c>
      <c r="C508" s="41" t="s">
        <v>886</v>
      </c>
      <c r="D508" s="42" t="s">
        <v>3</v>
      </c>
      <c r="E508" s="43" t="s">
        <v>567</v>
      </c>
      <c r="F508" s="43" t="s">
        <v>568</v>
      </c>
      <c r="G508" s="44">
        <v>94</v>
      </c>
      <c r="H508" s="43" t="s">
        <v>569</v>
      </c>
      <c r="I508" s="45" t="s">
        <v>571</v>
      </c>
      <c r="J508" s="45" t="s">
        <v>546</v>
      </c>
      <c r="K508" s="116">
        <v>134.18</v>
      </c>
      <c r="L508" s="116">
        <v>134.18</v>
      </c>
      <c r="M508" s="116"/>
      <c r="N508" s="116">
        <v>0</v>
      </c>
      <c r="O508" s="116">
        <v>0</v>
      </c>
      <c r="P508" s="116"/>
      <c r="Q508" s="116"/>
      <c r="R508" s="116"/>
      <c r="S508" s="46">
        <v>268.36</v>
      </c>
      <c r="T508" s="117"/>
      <c r="U508" s="56" t="s">
        <v>949</v>
      </c>
      <c r="V508" s="105" t="s">
        <v>571</v>
      </c>
    </row>
    <row r="509" spans="1:22" s="18" customFormat="1" ht="17.25" x14ac:dyDescent="0.3">
      <c r="A509" s="39">
        <v>14123447</v>
      </c>
      <c r="B509" s="48" t="s">
        <v>508</v>
      </c>
      <c r="C509" s="41" t="s">
        <v>886</v>
      </c>
      <c r="D509" s="42" t="s">
        <v>3</v>
      </c>
      <c r="E509" s="43" t="s">
        <v>567</v>
      </c>
      <c r="F509" s="43" t="s">
        <v>568</v>
      </c>
      <c r="G509" s="44">
        <v>94</v>
      </c>
      <c r="H509" s="43" t="s">
        <v>569</v>
      </c>
      <c r="I509" s="45" t="s">
        <v>569</v>
      </c>
      <c r="J509" s="45" t="s">
        <v>546</v>
      </c>
      <c r="K509" s="116">
        <v>134.18</v>
      </c>
      <c r="L509" s="116">
        <v>134.18</v>
      </c>
      <c r="M509" s="116"/>
      <c r="N509" s="116">
        <v>200</v>
      </c>
      <c r="O509" s="116">
        <v>177.44</v>
      </c>
      <c r="P509" s="116"/>
      <c r="Q509" s="116"/>
      <c r="R509" s="116"/>
      <c r="S509" s="46">
        <v>645.79999999999995</v>
      </c>
      <c r="T509" s="117"/>
      <c r="U509" s="56" t="s">
        <v>949</v>
      </c>
      <c r="V509" s="105" t="s">
        <v>571</v>
      </c>
    </row>
    <row r="510" spans="1:22" s="18" customFormat="1" ht="17.25" x14ac:dyDescent="0.3">
      <c r="A510" s="39">
        <v>14123459</v>
      </c>
      <c r="B510" s="48" t="s">
        <v>509</v>
      </c>
      <c r="C510" s="41" t="s">
        <v>887</v>
      </c>
      <c r="D510" s="42" t="s">
        <v>3</v>
      </c>
      <c r="E510" s="43" t="s">
        <v>567</v>
      </c>
      <c r="F510" s="43" t="s">
        <v>568</v>
      </c>
      <c r="G510" s="44">
        <v>90</v>
      </c>
      <c r="H510" s="43" t="s">
        <v>569</v>
      </c>
      <c r="I510" s="45" t="s">
        <v>571</v>
      </c>
      <c r="J510" s="45" t="s">
        <v>546</v>
      </c>
      <c r="K510" s="116">
        <v>134.18</v>
      </c>
      <c r="L510" s="116">
        <v>134.18</v>
      </c>
      <c r="M510" s="116"/>
      <c r="N510" s="116">
        <v>0</v>
      </c>
      <c r="O510" s="116">
        <v>0</v>
      </c>
      <c r="P510" s="116"/>
      <c r="Q510" s="116"/>
      <c r="R510" s="116"/>
      <c r="S510" s="46">
        <v>268.36</v>
      </c>
      <c r="T510" s="117"/>
      <c r="U510" s="56" t="s">
        <v>949</v>
      </c>
      <c r="V510" s="105" t="s">
        <v>571</v>
      </c>
    </row>
    <row r="511" spans="1:22" s="18" customFormat="1" ht="17.25" x14ac:dyDescent="0.3">
      <c r="A511" s="39">
        <v>14123460</v>
      </c>
      <c r="B511" s="48" t="s">
        <v>510</v>
      </c>
      <c r="C511" s="41" t="s">
        <v>887</v>
      </c>
      <c r="D511" s="42" t="s">
        <v>3</v>
      </c>
      <c r="E511" s="43" t="s">
        <v>567</v>
      </c>
      <c r="F511" s="43" t="s">
        <v>730</v>
      </c>
      <c r="G511" s="44">
        <v>93</v>
      </c>
      <c r="H511" s="43" t="s">
        <v>569</v>
      </c>
      <c r="I511" s="45" t="s">
        <v>571</v>
      </c>
      <c r="J511" s="45" t="s">
        <v>546</v>
      </c>
      <c r="K511" s="116">
        <v>134.18</v>
      </c>
      <c r="L511" s="116">
        <v>0</v>
      </c>
      <c r="M511" s="116"/>
      <c r="N511" s="116">
        <v>0</v>
      </c>
      <c r="O511" s="116">
        <v>0</v>
      </c>
      <c r="P511" s="116"/>
      <c r="Q511" s="116"/>
      <c r="R511" s="116"/>
      <c r="S511" s="46">
        <v>134.18</v>
      </c>
      <c r="T511" s="117"/>
      <c r="U511" s="56" t="s">
        <v>949</v>
      </c>
      <c r="V511" s="105" t="s">
        <v>571</v>
      </c>
    </row>
    <row r="512" spans="1:22" s="18" customFormat="1" ht="17.25" x14ac:dyDescent="0.3">
      <c r="A512" s="39">
        <v>14123461</v>
      </c>
      <c r="B512" s="48" t="s">
        <v>511</v>
      </c>
      <c r="C512" s="41" t="s">
        <v>887</v>
      </c>
      <c r="D512" s="42" t="s">
        <v>3</v>
      </c>
      <c r="E512" s="43" t="s">
        <v>567</v>
      </c>
      <c r="F512" s="43" t="s">
        <v>568</v>
      </c>
      <c r="G512" s="44">
        <v>93</v>
      </c>
      <c r="H512" s="43" t="s">
        <v>569</v>
      </c>
      <c r="I512" s="45" t="s">
        <v>569</v>
      </c>
      <c r="J512" s="45" t="s">
        <v>546</v>
      </c>
      <c r="K512" s="116">
        <v>134.18</v>
      </c>
      <c r="L512" s="116">
        <v>134.18</v>
      </c>
      <c r="M512" s="116"/>
      <c r="N512" s="116">
        <v>200</v>
      </c>
      <c r="O512" s="116">
        <v>177.44</v>
      </c>
      <c r="P512" s="116"/>
      <c r="Q512" s="116"/>
      <c r="R512" s="116"/>
      <c r="S512" s="46">
        <v>645.79999999999995</v>
      </c>
      <c r="T512" s="117"/>
      <c r="U512" s="56" t="s">
        <v>949</v>
      </c>
      <c r="V512" s="105" t="s">
        <v>571</v>
      </c>
    </row>
    <row r="513" spans="1:22" s="18" customFormat="1" ht="17.25" x14ac:dyDescent="0.3">
      <c r="A513" s="39">
        <v>14123462</v>
      </c>
      <c r="B513" s="48" t="s">
        <v>517</v>
      </c>
      <c r="C513" s="41" t="s">
        <v>887</v>
      </c>
      <c r="D513" s="42" t="s">
        <v>3</v>
      </c>
      <c r="E513" s="43" t="s">
        <v>567</v>
      </c>
      <c r="F513" s="43" t="s">
        <v>568</v>
      </c>
      <c r="G513" s="44">
        <v>92</v>
      </c>
      <c r="H513" s="43" t="s">
        <v>569</v>
      </c>
      <c r="I513" s="45" t="s">
        <v>571</v>
      </c>
      <c r="J513" s="45" t="s">
        <v>546</v>
      </c>
      <c r="K513" s="116">
        <v>134.18</v>
      </c>
      <c r="L513" s="116">
        <v>134.18</v>
      </c>
      <c r="M513" s="116"/>
      <c r="N513" s="116">
        <v>0</v>
      </c>
      <c r="O513" s="116">
        <v>0</v>
      </c>
      <c r="P513" s="116"/>
      <c r="Q513" s="116"/>
      <c r="R513" s="116"/>
      <c r="S513" s="46">
        <v>268.36</v>
      </c>
      <c r="T513" s="117"/>
      <c r="U513" s="56" t="s">
        <v>949</v>
      </c>
      <c r="V513" s="105" t="s">
        <v>571</v>
      </c>
    </row>
    <row r="514" spans="1:22" s="18" customFormat="1" ht="17.25" x14ac:dyDescent="0.3">
      <c r="A514" s="40">
        <v>14123463</v>
      </c>
      <c r="B514" s="40" t="s">
        <v>512</v>
      </c>
      <c r="C514" s="41" t="s">
        <v>887</v>
      </c>
      <c r="D514" s="42" t="s">
        <v>3</v>
      </c>
      <c r="E514" s="43" t="s">
        <v>567</v>
      </c>
      <c r="F514" s="43" t="s">
        <v>568</v>
      </c>
      <c r="G514" s="44">
        <v>93</v>
      </c>
      <c r="H514" s="43" t="s">
        <v>569</v>
      </c>
      <c r="I514" s="45" t="s">
        <v>571</v>
      </c>
      <c r="J514" s="45" t="s">
        <v>546</v>
      </c>
      <c r="K514" s="116">
        <v>134.18</v>
      </c>
      <c r="L514" s="116">
        <v>134.18</v>
      </c>
      <c r="M514" s="116"/>
      <c r="N514" s="116">
        <v>0</v>
      </c>
      <c r="O514" s="116">
        <v>0</v>
      </c>
      <c r="P514" s="116"/>
      <c r="Q514" s="116"/>
      <c r="R514" s="116"/>
      <c r="S514" s="46">
        <v>268.36</v>
      </c>
      <c r="T514" s="117"/>
      <c r="U514" s="56" t="s">
        <v>949</v>
      </c>
      <c r="V514" s="105" t="s">
        <v>571</v>
      </c>
    </row>
    <row r="515" spans="1:22" s="18" customFormat="1" ht="17.25" x14ac:dyDescent="0.3">
      <c r="A515" s="39">
        <v>14123471</v>
      </c>
      <c r="B515" s="48" t="s">
        <v>513</v>
      </c>
      <c r="C515" s="41" t="s">
        <v>888</v>
      </c>
      <c r="D515" s="42" t="s">
        <v>3</v>
      </c>
      <c r="E515" s="43" t="s">
        <v>567</v>
      </c>
      <c r="F515" s="43" t="s">
        <v>568</v>
      </c>
      <c r="G515" s="44">
        <v>85</v>
      </c>
      <c r="H515" s="43" t="s">
        <v>571</v>
      </c>
      <c r="I515" s="45" t="s">
        <v>571</v>
      </c>
      <c r="J515" s="45" t="s">
        <v>546</v>
      </c>
      <c r="K515" s="116">
        <v>134.18</v>
      </c>
      <c r="L515" s="116">
        <v>134.18</v>
      </c>
      <c r="M515" s="116"/>
      <c r="N515" s="116">
        <v>0</v>
      </c>
      <c r="O515" s="116">
        <v>0</v>
      </c>
      <c r="P515" s="116"/>
      <c r="Q515" s="116"/>
      <c r="R515" s="116"/>
      <c r="S515" s="46">
        <v>268.36</v>
      </c>
      <c r="T515" s="117"/>
      <c r="U515" s="56" t="s">
        <v>949</v>
      </c>
      <c r="V515" s="105" t="s">
        <v>571</v>
      </c>
    </row>
    <row r="516" spans="1:22" s="18" customFormat="1" ht="17.25" x14ac:dyDescent="0.3">
      <c r="A516" s="39">
        <v>14123473</v>
      </c>
      <c r="B516" s="48" t="s">
        <v>514</v>
      </c>
      <c r="C516" s="41" t="s">
        <v>888</v>
      </c>
      <c r="D516" s="42" t="s">
        <v>3</v>
      </c>
      <c r="E516" s="43" t="s">
        <v>567</v>
      </c>
      <c r="F516" s="43" t="s">
        <v>568</v>
      </c>
      <c r="G516" s="44">
        <v>93</v>
      </c>
      <c r="H516" s="43" t="s">
        <v>569</v>
      </c>
      <c r="I516" s="45" t="s">
        <v>571</v>
      </c>
      <c r="J516" s="45" t="s">
        <v>546</v>
      </c>
      <c r="K516" s="116">
        <v>134.18</v>
      </c>
      <c r="L516" s="116">
        <v>134.18</v>
      </c>
      <c r="M516" s="116"/>
      <c r="N516" s="116">
        <v>0</v>
      </c>
      <c r="O516" s="116">
        <v>0</v>
      </c>
      <c r="P516" s="116"/>
      <c r="Q516" s="116"/>
      <c r="R516" s="116"/>
      <c r="S516" s="46">
        <v>268.36</v>
      </c>
      <c r="T516" s="117"/>
      <c r="U516" s="56" t="s">
        <v>949</v>
      </c>
      <c r="V516" s="105" t="s">
        <v>571</v>
      </c>
    </row>
    <row r="517" spans="1:22" s="18" customFormat="1" ht="17.25" x14ac:dyDescent="0.3">
      <c r="A517" s="39">
        <v>14123488</v>
      </c>
      <c r="B517" s="48" t="s">
        <v>515</v>
      </c>
      <c r="C517" s="41" t="s">
        <v>889</v>
      </c>
      <c r="D517" s="42" t="s">
        <v>3</v>
      </c>
      <c r="E517" s="43" t="s">
        <v>567</v>
      </c>
      <c r="F517" s="43" t="s">
        <v>568</v>
      </c>
      <c r="G517" s="44">
        <v>93</v>
      </c>
      <c r="H517" s="43" t="s">
        <v>569</v>
      </c>
      <c r="I517" s="45" t="s">
        <v>569</v>
      </c>
      <c r="J517" s="45" t="s">
        <v>573</v>
      </c>
      <c r="K517" s="116">
        <v>0</v>
      </c>
      <c r="L517" s="116">
        <v>0</v>
      </c>
      <c r="M517" s="116"/>
      <c r="N517" s="116">
        <v>0</v>
      </c>
      <c r="O517" s="116">
        <v>0</v>
      </c>
      <c r="P517" s="116"/>
      <c r="Q517" s="116"/>
      <c r="R517" s="116"/>
      <c r="S517" s="46">
        <v>0</v>
      </c>
      <c r="T517" s="117"/>
      <c r="U517" s="56" t="s">
        <v>571</v>
      </c>
      <c r="V517" s="105" t="s">
        <v>571</v>
      </c>
    </row>
    <row r="518" spans="1:22" s="18" customFormat="1" ht="17.25" x14ac:dyDescent="0.3">
      <c r="A518" s="39">
        <v>14123489</v>
      </c>
      <c r="B518" s="48" t="s">
        <v>516</v>
      </c>
      <c r="C518" s="41" t="s">
        <v>889</v>
      </c>
      <c r="D518" s="42" t="s">
        <v>3</v>
      </c>
      <c r="E518" s="43" t="s">
        <v>567</v>
      </c>
      <c r="F518" s="43" t="s">
        <v>568</v>
      </c>
      <c r="G518" s="44">
        <v>92</v>
      </c>
      <c r="H518" s="43" t="s">
        <v>569</v>
      </c>
      <c r="I518" s="45" t="s">
        <v>569</v>
      </c>
      <c r="J518" s="45" t="s">
        <v>546</v>
      </c>
      <c r="K518" s="116">
        <v>134.18</v>
      </c>
      <c r="L518" s="116">
        <v>134.18</v>
      </c>
      <c r="M518" s="116"/>
      <c r="N518" s="116">
        <v>200</v>
      </c>
      <c r="O518" s="116">
        <v>177.44</v>
      </c>
      <c r="P518" s="116"/>
      <c r="Q518" s="116"/>
      <c r="R518" s="116"/>
      <c r="S518" s="46">
        <v>645.79999999999995</v>
      </c>
      <c r="T518" s="117"/>
      <c r="U518" s="56" t="s">
        <v>949</v>
      </c>
      <c r="V518" s="105" t="s">
        <v>571</v>
      </c>
    </row>
    <row r="519" spans="1:22" s="18" customFormat="1" ht="17.25" x14ac:dyDescent="0.3">
      <c r="A519" s="39">
        <v>14123514</v>
      </c>
      <c r="B519" s="48" t="s">
        <v>519</v>
      </c>
      <c r="C519" s="41" t="s">
        <v>890</v>
      </c>
      <c r="D519" s="42" t="s">
        <v>3</v>
      </c>
      <c r="E519" s="43" t="s">
        <v>567</v>
      </c>
      <c r="F519" s="43" t="s">
        <v>568</v>
      </c>
      <c r="G519" s="44">
        <v>95</v>
      </c>
      <c r="H519" s="43" t="s">
        <v>569</v>
      </c>
      <c r="I519" s="45" t="s">
        <v>569</v>
      </c>
      <c r="J519" s="45" t="s">
        <v>546</v>
      </c>
      <c r="K519" s="116">
        <v>134.18</v>
      </c>
      <c r="L519" s="116">
        <v>134.18</v>
      </c>
      <c r="M519" s="116"/>
      <c r="N519" s="116">
        <v>200</v>
      </c>
      <c r="O519" s="116">
        <v>177.44</v>
      </c>
      <c r="P519" s="116"/>
      <c r="Q519" s="116"/>
      <c r="R519" s="116"/>
      <c r="S519" s="46">
        <v>645.79999999999995</v>
      </c>
      <c r="T519" s="117"/>
      <c r="U519" s="56" t="s">
        <v>949</v>
      </c>
      <c r="V519" s="105" t="s">
        <v>571</v>
      </c>
    </row>
    <row r="520" spans="1:22" s="18" customFormat="1" ht="17.25" x14ac:dyDescent="0.3">
      <c r="A520" s="39">
        <v>14123516</v>
      </c>
      <c r="B520" s="48" t="s">
        <v>520</v>
      </c>
      <c r="C520" s="41" t="s">
        <v>890</v>
      </c>
      <c r="D520" s="42" t="s">
        <v>3</v>
      </c>
      <c r="E520" s="43" t="s">
        <v>567</v>
      </c>
      <c r="F520" s="43" t="s">
        <v>568</v>
      </c>
      <c r="G520" s="44">
        <v>94</v>
      </c>
      <c r="H520" s="43" t="s">
        <v>569</v>
      </c>
      <c r="I520" s="45" t="s">
        <v>569</v>
      </c>
      <c r="J520" s="45" t="s">
        <v>546</v>
      </c>
      <c r="K520" s="116">
        <v>134.18</v>
      </c>
      <c r="L520" s="116">
        <v>134.18</v>
      </c>
      <c r="M520" s="116"/>
      <c r="N520" s="116">
        <v>200</v>
      </c>
      <c r="O520" s="116">
        <v>177.44</v>
      </c>
      <c r="P520" s="116"/>
      <c r="Q520" s="116"/>
      <c r="R520" s="116"/>
      <c r="S520" s="46">
        <v>645.79999999999995</v>
      </c>
      <c r="T520" s="117"/>
      <c r="U520" s="56" t="s">
        <v>949</v>
      </c>
      <c r="V520" s="105" t="s">
        <v>571</v>
      </c>
    </row>
    <row r="521" spans="1:22" s="18" customFormat="1" ht="17.25" x14ac:dyDescent="0.3">
      <c r="A521" s="40">
        <v>14123519</v>
      </c>
      <c r="B521" s="48" t="s">
        <v>521</v>
      </c>
      <c r="C521" s="41" t="s">
        <v>891</v>
      </c>
      <c r="D521" s="42" t="s">
        <v>3</v>
      </c>
      <c r="E521" s="43" t="s">
        <v>567</v>
      </c>
      <c r="F521" s="43" t="s">
        <v>568</v>
      </c>
      <c r="G521" s="44">
        <v>87</v>
      </c>
      <c r="H521" s="43" t="s">
        <v>571</v>
      </c>
      <c r="I521" s="45" t="s">
        <v>571</v>
      </c>
      <c r="J521" s="45" t="s">
        <v>546</v>
      </c>
      <c r="K521" s="116">
        <v>134.18</v>
      </c>
      <c r="L521" s="116">
        <v>134.18</v>
      </c>
      <c r="M521" s="116"/>
      <c r="N521" s="116">
        <v>0</v>
      </c>
      <c r="O521" s="116">
        <v>0</v>
      </c>
      <c r="P521" s="116"/>
      <c r="Q521" s="116"/>
      <c r="R521" s="116"/>
      <c r="S521" s="46">
        <v>268.36</v>
      </c>
      <c r="T521" s="117"/>
      <c r="U521" s="56" t="s">
        <v>949</v>
      </c>
      <c r="V521" s="105" t="s">
        <v>571</v>
      </c>
    </row>
    <row r="522" spans="1:22" s="18" customFormat="1" ht="17.25" x14ac:dyDescent="0.3">
      <c r="A522" s="39">
        <v>14123522</v>
      </c>
      <c r="B522" s="48" t="s">
        <v>522</v>
      </c>
      <c r="C522" s="41" t="s">
        <v>891</v>
      </c>
      <c r="D522" s="42" t="s">
        <v>3</v>
      </c>
      <c r="E522" s="43" t="s">
        <v>567</v>
      </c>
      <c r="F522" s="43" t="s">
        <v>568</v>
      </c>
      <c r="G522" s="44">
        <v>76</v>
      </c>
      <c r="H522" s="43" t="s">
        <v>571</v>
      </c>
      <c r="I522" s="45" t="s">
        <v>569</v>
      </c>
      <c r="J522" s="45" t="s">
        <v>546</v>
      </c>
      <c r="K522" s="116">
        <v>134.18</v>
      </c>
      <c r="L522" s="116">
        <v>134.18</v>
      </c>
      <c r="M522" s="116"/>
      <c r="N522" s="116">
        <v>0</v>
      </c>
      <c r="O522" s="116">
        <v>177.44</v>
      </c>
      <c r="P522" s="116"/>
      <c r="Q522" s="116"/>
      <c r="R522" s="116"/>
      <c r="S522" s="46">
        <v>445.8</v>
      </c>
      <c r="T522" s="117"/>
      <c r="U522" s="56" t="s">
        <v>949</v>
      </c>
      <c r="V522" s="105" t="s">
        <v>571</v>
      </c>
    </row>
    <row r="523" spans="1:22" s="18" customFormat="1" ht="17.25" x14ac:dyDescent="0.3">
      <c r="A523" s="39">
        <v>14123523</v>
      </c>
      <c r="B523" s="48" t="s">
        <v>523</v>
      </c>
      <c r="C523" s="41" t="s">
        <v>891</v>
      </c>
      <c r="D523" s="42" t="s">
        <v>3</v>
      </c>
      <c r="E523" s="43" t="s">
        <v>567</v>
      </c>
      <c r="F523" s="43" t="s">
        <v>568</v>
      </c>
      <c r="G523" s="44">
        <v>93</v>
      </c>
      <c r="H523" s="43" t="s">
        <v>569</v>
      </c>
      <c r="I523" s="45" t="s">
        <v>569</v>
      </c>
      <c r="J523" s="45" t="s">
        <v>546</v>
      </c>
      <c r="K523" s="116">
        <v>134.18</v>
      </c>
      <c r="L523" s="116">
        <v>134.18</v>
      </c>
      <c r="M523" s="116"/>
      <c r="N523" s="116">
        <v>200</v>
      </c>
      <c r="O523" s="116">
        <v>177.44</v>
      </c>
      <c r="P523" s="116"/>
      <c r="Q523" s="116"/>
      <c r="R523" s="116"/>
      <c r="S523" s="46">
        <v>645.79999999999995</v>
      </c>
      <c r="T523" s="117"/>
      <c r="U523" s="56" t="s">
        <v>949</v>
      </c>
      <c r="V523" s="47" t="s">
        <v>951</v>
      </c>
    </row>
    <row r="524" spans="1:22" s="18" customFormat="1" ht="17.25" x14ac:dyDescent="0.3">
      <c r="A524" s="39">
        <v>14123526</v>
      </c>
      <c r="B524" s="48" t="s">
        <v>524</v>
      </c>
      <c r="C524" s="41" t="s">
        <v>892</v>
      </c>
      <c r="D524" s="42" t="s">
        <v>3</v>
      </c>
      <c r="E524" s="43" t="s">
        <v>567</v>
      </c>
      <c r="F524" s="43" t="s">
        <v>568</v>
      </c>
      <c r="G524" s="44">
        <v>95</v>
      </c>
      <c r="H524" s="43" t="s">
        <v>569</v>
      </c>
      <c r="I524" s="45" t="s">
        <v>569</v>
      </c>
      <c r="J524" s="45" t="s">
        <v>546</v>
      </c>
      <c r="K524" s="116">
        <v>134.18</v>
      </c>
      <c r="L524" s="116">
        <v>134.18</v>
      </c>
      <c r="M524" s="116"/>
      <c r="N524" s="116">
        <v>200</v>
      </c>
      <c r="O524" s="116">
        <v>177.44</v>
      </c>
      <c r="P524" s="116"/>
      <c r="Q524" s="116"/>
      <c r="R524" s="116"/>
      <c r="S524" s="46">
        <v>645.79999999999995</v>
      </c>
      <c r="T524" s="117"/>
      <c r="U524" s="56" t="s">
        <v>949</v>
      </c>
      <c r="V524" s="105" t="s">
        <v>571</v>
      </c>
    </row>
    <row r="525" spans="1:22" s="18" customFormat="1" ht="17.25" x14ac:dyDescent="0.3">
      <c r="A525" s="39">
        <v>14123527</v>
      </c>
      <c r="B525" s="48" t="s">
        <v>525</v>
      </c>
      <c r="C525" s="41" t="s">
        <v>596</v>
      </c>
      <c r="D525" s="42" t="s">
        <v>3</v>
      </c>
      <c r="E525" s="43" t="s">
        <v>567</v>
      </c>
      <c r="F525" s="43" t="s">
        <v>568</v>
      </c>
      <c r="G525" s="44">
        <v>87</v>
      </c>
      <c r="H525" s="43" t="s">
        <v>571</v>
      </c>
      <c r="I525" s="45" t="s">
        <v>571</v>
      </c>
      <c r="J525" s="45" t="s">
        <v>573</v>
      </c>
      <c r="K525" s="116">
        <v>134.18</v>
      </c>
      <c r="L525" s="116">
        <v>134.18</v>
      </c>
      <c r="M525" s="116"/>
      <c r="N525" s="116">
        <v>0</v>
      </c>
      <c r="O525" s="116">
        <v>0</v>
      </c>
      <c r="P525" s="116"/>
      <c r="Q525" s="116"/>
      <c r="R525" s="116"/>
      <c r="S525" s="46">
        <v>268.36</v>
      </c>
      <c r="T525" s="117"/>
      <c r="U525" s="56" t="s">
        <v>949</v>
      </c>
      <c r="V525" s="105" t="s">
        <v>571</v>
      </c>
    </row>
    <row r="526" spans="1:22" s="18" customFormat="1" ht="17.25" x14ac:dyDescent="0.3">
      <c r="A526" s="40">
        <v>14123528</v>
      </c>
      <c r="B526" s="48" t="s">
        <v>526</v>
      </c>
      <c r="C526" s="41" t="s">
        <v>596</v>
      </c>
      <c r="D526" s="42" t="s">
        <v>3</v>
      </c>
      <c r="E526" s="43" t="s">
        <v>567</v>
      </c>
      <c r="F526" s="43" t="s">
        <v>568</v>
      </c>
      <c r="G526" s="44">
        <v>84</v>
      </c>
      <c r="H526" s="43" t="s">
        <v>571</v>
      </c>
      <c r="I526" s="45" t="s">
        <v>571</v>
      </c>
      <c r="J526" s="45" t="s">
        <v>546</v>
      </c>
      <c r="K526" s="116">
        <v>134.18</v>
      </c>
      <c r="L526" s="116">
        <v>134.18</v>
      </c>
      <c r="M526" s="116"/>
      <c r="N526" s="116">
        <v>0</v>
      </c>
      <c r="O526" s="116">
        <v>0</v>
      </c>
      <c r="P526" s="116"/>
      <c r="Q526" s="116"/>
      <c r="R526" s="116"/>
      <c r="S526" s="46">
        <v>268.36</v>
      </c>
      <c r="T526" s="117"/>
      <c r="U526" s="56" t="s">
        <v>949</v>
      </c>
      <c r="V526" s="105" t="s">
        <v>571</v>
      </c>
    </row>
    <row r="527" spans="1:22" s="18" customFormat="1" ht="17.25" x14ac:dyDescent="0.3">
      <c r="A527" s="39">
        <v>14123530</v>
      </c>
      <c r="B527" s="48" t="s">
        <v>527</v>
      </c>
      <c r="C527" s="41" t="s">
        <v>596</v>
      </c>
      <c r="D527" s="42" t="s">
        <v>3</v>
      </c>
      <c r="E527" s="43" t="s">
        <v>567</v>
      </c>
      <c r="F527" s="43" t="s">
        <v>568</v>
      </c>
      <c r="G527" s="44">
        <v>95</v>
      </c>
      <c r="H527" s="43" t="s">
        <v>569</v>
      </c>
      <c r="I527" s="45" t="s">
        <v>571</v>
      </c>
      <c r="J527" s="45" t="s">
        <v>546</v>
      </c>
      <c r="K527" s="116">
        <v>134.18</v>
      </c>
      <c r="L527" s="116">
        <v>134.18</v>
      </c>
      <c r="M527" s="116"/>
      <c r="N527" s="116">
        <v>0</v>
      </c>
      <c r="O527" s="116">
        <v>0</v>
      </c>
      <c r="P527" s="116"/>
      <c r="Q527" s="116"/>
      <c r="R527" s="116"/>
      <c r="S527" s="46">
        <v>268.36</v>
      </c>
      <c r="T527" s="117"/>
      <c r="U527" s="56" t="s">
        <v>949</v>
      </c>
      <c r="V527" s="105" t="s">
        <v>571</v>
      </c>
    </row>
    <row r="528" spans="1:22" s="18" customFormat="1" ht="17.25" x14ac:dyDescent="0.3">
      <c r="A528" s="40">
        <v>14123536</v>
      </c>
      <c r="B528" s="48" t="s">
        <v>528</v>
      </c>
      <c r="C528" s="41" t="s">
        <v>596</v>
      </c>
      <c r="D528" s="42" t="s">
        <v>3</v>
      </c>
      <c r="E528" s="43" t="s">
        <v>567</v>
      </c>
      <c r="F528" s="43" t="s">
        <v>568</v>
      </c>
      <c r="G528" s="44">
        <v>91</v>
      </c>
      <c r="H528" s="43" t="s">
        <v>569</v>
      </c>
      <c r="I528" s="45" t="s">
        <v>571</v>
      </c>
      <c r="J528" s="45" t="s">
        <v>546</v>
      </c>
      <c r="K528" s="116">
        <v>134.18</v>
      </c>
      <c r="L528" s="116">
        <v>134.18</v>
      </c>
      <c r="M528" s="116"/>
      <c r="N528" s="116">
        <v>0</v>
      </c>
      <c r="O528" s="116">
        <v>0</v>
      </c>
      <c r="P528" s="116"/>
      <c r="Q528" s="116"/>
      <c r="R528" s="116"/>
      <c r="S528" s="46">
        <v>268.36</v>
      </c>
      <c r="T528" s="117"/>
      <c r="U528" s="56" t="s">
        <v>949</v>
      </c>
      <c r="V528" s="105" t="s">
        <v>571</v>
      </c>
    </row>
    <row r="529" spans="1:22" s="18" customFormat="1" ht="17.25" x14ac:dyDescent="0.3">
      <c r="A529" s="39">
        <v>14123541</v>
      </c>
      <c r="B529" s="48" t="s">
        <v>529</v>
      </c>
      <c r="C529" s="41" t="s">
        <v>596</v>
      </c>
      <c r="D529" s="42" t="s">
        <v>3</v>
      </c>
      <c r="E529" s="43" t="s">
        <v>567</v>
      </c>
      <c r="F529" s="43" t="s">
        <v>568</v>
      </c>
      <c r="G529" s="44">
        <v>92</v>
      </c>
      <c r="H529" s="43" t="s">
        <v>569</v>
      </c>
      <c r="I529" s="45" t="s">
        <v>569</v>
      </c>
      <c r="J529" s="45" t="s">
        <v>546</v>
      </c>
      <c r="K529" s="116">
        <v>134.18</v>
      </c>
      <c r="L529" s="116">
        <v>134.18</v>
      </c>
      <c r="M529" s="116"/>
      <c r="N529" s="116">
        <v>200</v>
      </c>
      <c r="O529" s="116">
        <v>177.44</v>
      </c>
      <c r="P529" s="116"/>
      <c r="Q529" s="116"/>
      <c r="R529" s="116"/>
      <c r="S529" s="46">
        <v>645.79999999999995</v>
      </c>
      <c r="T529" s="117"/>
      <c r="U529" s="56" t="s">
        <v>949</v>
      </c>
      <c r="V529" s="105" t="s">
        <v>571</v>
      </c>
    </row>
    <row r="530" spans="1:22" s="18" customFormat="1" ht="17.25" x14ac:dyDescent="0.3">
      <c r="A530" s="39">
        <v>14123557</v>
      </c>
      <c r="B530" s="48" t="s">
        <v>530</v>
      </c>
      <c r="C530" s="41" t="s">
        <v>893</v>
      </c>
      <c r="D530" s="42" t="s">
        <v>3</v>
      </c>
      <c r="E530" s="43" t="s">
        <v>567</v>
      </c>
      <c r="F530" s="43" t="s">
        <v>568</v>
      </c>
      <c r="G530" s="44">
        <v>88</v>
      </c>
      <c r="H530" s="43" t="s">
        <v>571</v>
      </c>
      <c r="I530" s="45" t="s">
        <v>569</v>
      </c>
      <c r="J530" s="45" t="s">
        <v>546</v>
      </c>
      <c r="K530" s="116">
        <v>134.18</v>
      </c>
      <c r="L530" s="116">
        <v>134.18</v>
      </c>
      <c r="M530" s="116"/>
      <c r="N530" s="116">
        <v>0</v>
      </c>
      <c r="O530" s="116">
        <v>177.44</v>
      </c>
      <c r="P530" s="116"/>
      <c r="Q530" s="116"/>
      <c r="R530" s="116"/>
      <c r="S530" s="46">
        <v>445.8</v>
      </c>
      <c r="T530" s="117"/>
      <c r="U530" s="56" t="s">
        <v>949</v>
      </c>
      <c r="V530" s="105" t="s">
        <v>571</v>
      </c>
    </row>
    <row r="531" spans="1:22" s="18" customFormat="1" ht="17.25" x14ac:dyDescent="0.3">
      <c r="A531" s="39">
        <v>14123559</v>
      </c>
      <c r="B531" s="40" t="s">
        <v>531</v>
      </c>
      <c r="C531" s="41" t="s">
        <v>893</v>
      </c>
      <c r="D531" s="42" t="s">
        <v>3</v>
      </c>
      <c r="E531" s="43" t="s">
        <v>567</v>
      </c>
      <c r="F531" s="43" t="s">
        <v>568</v>
      </c>
      <c r="G531" s="44">
        <v>90</v>
      </c>
      <c r="H531" s="43" t="s">
        <v>569</v>
      </c>
      <c r="I531" s="45" t="s">
        <v>571</v>
      </c>
      <c r="J531" s="45" t="s">
        <v>546</v>
      </c>
      <c r="K531" s="116">
        <v>134.18</v>
      </c>
      <c r="L531" s="116">
        <v>134.18</v>
      </c>
      <c r="M531" s="116"/>
      <c r="N531" s="116">
        <v>0</v>
      </c>
      <c r="O531" s="116">
        <v>0</v>
      </c>
      <c r="P531" s="116"/>
      <c r="Q531" s="116"/>
      <c r="R531" s="116"/>
      <c r="S531" s="46">
        <v>268.36</v>
      </c>
      <c r="T531" s="117"/>
      <c r="U531" s="56" t="s">
        <v>949</v>
      </c>
      <c r="V531" s="105" t="s">
        <v>571</v>
      </c>
    </row>
    <row r="532" spans="1:22" s="18" customFormat="1" ht="17.25" x14ac:dyDescent="0.3">
      <c r="A532" s="39">
        <v>14123562</v>
      </c>
      <c r="B532" s="40" t="s">
        <v>532</v>
      </c>
      <c r="C532" s="41" t="s">
        <v>893</v>
      </c>
      <c r="D532" s="42" t="s">
        <v>3</v>
      </c>
      <c r="E532" s="43" t="s">
        <v>567</v>
      </c>
      <c r="F532" s="43" t="s">
        <v>568</v>
      </c>
      <c r="G532" s="44">
        <v>90</v>
      </c>
      <c r="H532" s="43" t="s">
        <v>569</v>
      </c>
      <c r="I532" s="45" t="s">
        <v>569</v>
      </c>
      <c r="J532" s="45" t="s">
        <v>546</v>
      </c>
      <c r="K532" s="116">
        <v>134.18</v>
      </c>
      <c r="L532" s="116">
        <v>134.18</v>
      </c>
      <c r="M532" s="116"/>
      <c r="N532" s="116">
        <v>200</v>
      </c>
      <c r="O532" s="116">
        <v>177.44</v>
      </c>
      <c r="P532" s="116"/>
      <c r="Q532" s="116"/>
      <c r="R532" s="116"/>
      <c r="S532" s="46">
        <v>645.79999999999995</v>
      </c>
      <c r="T532" s="117"/>
      <c r="U532" s="56" t="s">
        <v>949</v>
      </c>
      <c r="V532" s="105" t="s">
        <v>571</v>
      </c>
    </row>
    <row r="533" spans="1:22" s="18" customFormat="1" ht="17.25" x14ac:dyDescent="0.3">
      <c r="A533" s="39">
        <v>14123568</v>
      </c>
      <c r="B533" s="48" t="s">
        <v>533</v>
      </c>
      <c r="C533" s="41" t="s">
        <v>894</v>
      </c>
      <c r="D533" s="42" t="s">
        <v>3</v>
      </c>
      <c r="E533" s="43" t="s">
        <v>567</v>
      </c>
      <c r="F533" s="43" t="s">
        <v>568</v>
      </c>
      <c r="G533" s="44">
        <v>92</v>
      </c>
      <c r="H533" s="43" t="s">
        <v>569</v>
      </c>
      <c r="I533" s="45" t="s">
        <v>571</v>
      </c>
      <c r="J533" s="45" t="s">
        <v>546</v>
      </c>
      <c r="K533" s="116">
        <v>134.18</v>
      </c>
      <c r="L533" s="116">
        <v>134.18</v>
      </c>
      <c r="M533" s="116"/>
      <c r="N533" s="116">
        <v>0</v>
      </c>
      <c r="O533" s="116">
        <v>0</v>
      </c>
      <c r="P533" s="116"/>
      <c r="Q533" s="116"/>
      <c r="R533" s="116"/>
      <c r="S533" s="46">
        <v>268.36</v>
      </c>
      <c r="T533" s="117"/>
      <c r="U533" s="56" t="s">
        <v>949</v>
      </c>
      <c r="V533" s="105" t="s">
        <v>571</v>
      </c>
    </row>
    <row r="534" spans="1:22" s="18" customFormat="1" ht="17.25" x14ac:dyDescent="0.3">
      <c r="A534" s="39">
        <v>14123569</v>
      </c>
      <c r="B534" s="40" t="s">
        <v>534</v>
      </c>
      <c r="C534" s="41" t="s">
        <v>894</v>
      </c>
      <c r="D534" s="42" t="s">
        <v>3</v>
      </c>
      <c r="E534" s="43" t="s">
        <v>567</v>
      </c>
      <c r="F534" s="43" t="s">
        <v>568</v>
      </c>
      <c r="G534" s="44">
        <v>92</v>
      </c>
      <c r="H534" s="43" t="s">
        <v>569</v>
      </c>
      <c r="I534" s="45" t="s">
        <v>569</v>
      </c>
      <c r="J534" s="45" t="s">
        <v>546</v>
      </c>
      <c r="K534" s="116">
        <v>134.18</v>
      </c>
      <c r="L534" s="116">
        <v>134.18</v>
      </c>
      <c r="M534" s="116"/>
      <c r="N534" s="116">
        <v>200</v>
      </c>
      <c r="O534" s="116">
        <v>177.44</v>
      </c>
      <c r="P534" s="116"/>
      <c r="Q534" s="116"/>
      <c r="R534" s="116"/>
      <c r="S534" s="46">
        <v>645.79999999999995</v>
      </c>
      <c r="T534" s="117"/>
      <c r="U534" s="56" t="s">
        <v>949</v>
      </c>
      <c r="V534" s="105" t="s">
        <v>571</v>
      </c>
    </row>
    <row r="535" spans="1:22" s="18" customFormat="1" ht="17.25" x14ac:dyDescent="0.3">
      <c r="A535" s="39">
        <v>14123570</v>
      </c>
      <c r="B535" s="48" t="s">
        <v>535</v>
      </c>
      <c r="C535" s="41" t="s">
        <v>894</v>
      </c>
      <c r="D535" s="42" t="s">
        <v>3</v>
      </c>
      <c r="E535" s="43" t="s">
        <v>567</v>
      </c>
      <c r="F535" s="43" t="s">
        <v>568</v>
      </c>
      <c r="G535" s="44">
        <v>93</v>
      </c>
      <c r="H535" s="43" t="s">
        <v>569</v>
      </c>
      <c r="I535" s="45" t="s">
        <v>569</v>
      </c>
      <c r="J535" s="45" t="s">
        <v>546</v>
      </c>
      <c r="K535" s="116">
        <v>134.18</v>
      </c>
      <c r="L535" s="116">
        <v>134.18</v>
      </c>
      <c r="M535" s="116"/>
      <c r="N535" s="116">
        <v>200</v>
      </c>
      <c r="O535" s="116">
        <v>177.44</v>
      </c>
      <c r="P535" s="116"/>
      <c r="Q535" s="116"/>
      <c r="R535" s="116"/>
      <c r="S535" s="46">
        <v>645.79999999999995</v>
      </c>
      <c r="T535" s="117"/>
      <c r="U535" s="56" t="s">
        <v>949</v>
      </c>
      <c r="V535" s="105" t="s">
        <v>571</v>
      </c>
    </row>
    <row r="536" spans="1:22" s="18" customFormat="1" ht="17.25" x14ac:dyDescent="0.3">
      <c r="A536" s="39">
        <v>14123571</v>
      </c>
      <c r="B536" s="48" t="s">
        <v>536</v>
      </c>
      <c r="C536" s="41" t="s">
        <v>894</v>
      </c>
      <c r="D536" s="42" t="s">
        <v>3</v>
      </c>
      <c r="E536" s="43" t="s">
        <v>567</v>
      </c>
      <c r="F536" s="43" t="s">
        <v>568</v>
      </c>
      <c r="G536" s="44">
        <v>95</v>
      </c>
      <c r="H536" s="43" t="s">
        <v>569</v>
      </c>
      <c r="I536" s="45" t="s">
        <v>571</v>
      </c>
      <c r="J536" s="45" t="s">
        <v>546</v>
      </c>
      <c r="K536" s="116">
        <v>134.18</v>
      </c>
      <c r="L536" s="116">
        <v>134.18</v>
      </c>
      <c r="M536" s="116"/>
      <c r="N536" s="116">
        <v>0</v>
      </c>
      <c r="O536" s="116">
        <v>0</v>
      </c>
      <c r="P536" s="116"/>
      <c r="Q536" s="116"/>
      <c r="R536" s="116"/>
      <c r="S536" s="46">
        <v>268.36</v>
      </c>
      <c r="T536" s="117"/>
      <c r="U536" s="56" t="s">
        <v>949</v>
      </c>
      <c r="V536" s="105" t="s">
        <v>571</v>
      </c>
    </row>
    <row r="537" spans="1:22" s="18" customFormat="1" ht="17.25" x14ac:dyDescent="0.3">
      <c r="A537" s="39">
        <v>14123572</v>
      </c>
      <c r="B537" s="48" t="s">
        <v>537</v>
      </c>
      <c r="C537" s="41" t="s">
        <v>895</v>
      </c>
      <c r="D537" s="42" t="s">
        <v>3</v>
      </c>
      <c r="E537" s="43" t="s">
        <v>567</v>
      </c>
      <c r="F537" s="43" t="s">
        <v>568</v>
      </c>
      <c r="G537" s="44"/>
      <c r="H537" s="43" t="s">
        <v>571</v>
      </c>
      <c r="I537" s="45" t="s">
        <v>569</v>
      </c>
      <c r="J537" s="45" t="s">
        <v>573</v>
      </c>
      <c r="K537" s="116">
        <v>0</v>
      </c>
      <c r="L537" s="116">
        <v>0</v>
      </c>
      <c r="M537" s="116"/>
      <c r="N537" s="116">
        <v>0</v>
      </c>
      <c r="O537" s="116">
        <v>0</v>
      </c>
      <c r="P537" s="116"/>
      <c r="Q537" s="116"/>
      <c r="R537" s="116"/>
      <c r="S537" s="46">
        <v>0</v>
      </c>
      <c r="T537" s="117"/>
      <c r="U537" s="56" t="s">
        <v>571</v>
      </c>
      <c r="V537" s="105" t="s">
        <v>571</v>
      </c>
    </row>
    <row r="538" spans="1:22" s="18" customFormat="1" ht="17.25" x14ac:dyDescent="0.3">
      <c r="A538" s="39">
        <v>14123573</v>
      </c>
      <c r="B538" s="48" t="s">
        <v>538</v>
      </c>
      <c r="C538" s="41" t="s">
        <v>895</v>
      </c>
      <c r="D538" s="42" t="s">
        <v>3</v>
      </c>
      <c r="E538" s="43" t="s">
        <v>567</v>
      </c>
      <c r="F538" s="43" t="s">
        <v>568</v>
      </c>
      <c r="G538" s="44">
        <v>84</v>
      </c>
      <c r="H538" s="43" t="s">
        <v>571</v>
      </c>
      <c r="I538" s="45" t="s">
        <v>571</v>
      </c>
      <c r="J538" s="45" t="s">
        <v>546</v>
      </c>
      <c r="K538" s="116">
        <v>134.18</v>
      </c>
      <c r="L538" s="116">
        <v>134.18</v>
      </c>
      <c r="M538" s="116"/>
      <c r="N538" s="116">
        <v>0</v>
      </c>
      <c r="O538" s="116">
        <v>0</v>
      </c>
      <c r="P538" s="116"/>
      <c r="Q538" s="116"/>
      <c r="R538" s="116"/>
      <c r="S538" s="46">
        <v>268.36</v>
      </c>
      <c r="T538" s="117"/>
      <c r="U538" s="56" t="s">
        <v>949</v>
      </c>
      <c r="V538" s="105" t="s">
        <v>571</v>
      </c>
    </row>
    <row r="539" spans="1:22" s="18" customFormat="1" ht="17.25" x14ac:dyDescent="0.3">
      <c r="A539" s="40">
        <v>14123591</v>
      </c>
      <c r="B539" s="48" t="s">
        <v>539</v>
      </c>
      <c r="C539" s="41" t="s">
        <v>589</v>
      </c>
      <c r="D539" s="42" t="s">
        <v>3</v>
      </c>
      <c r="E539" s="43" t="s">
        <v>567</v>
      </c>
      <c r="F539" s="43" t="s">
        <v>568</v>
      </c>
      <c r="G539" s="44">
        <v>94</v>
      </c>
      <c r="H539" s="43" t="s">
        <v>569</v>
      </c>
      <c r="I539" s="45" t="s">
        <v>569</v>
      </c>
      <c r="J539" s="45" t="s">
        <v>546</v>
      </c>
      <c r="K539" s="116">
        <v>134.18</v>
      </c>
      <c r="L539" s="116">
        <v>134.18</v>
      </c>
      <c r="M539" s="116"/>
      <c r="N539" s="116">
        <v>200</v>
      </c>
      <c r="O539" s="116">
        <v>177.44</v>
      </c>
      <c r="P539" s="116"/>
      <c r="Q539" s="116"/>
      <c r="R539" s="116"/>
      <c r="S539" s="46">
        <v>645.79999999999995</v>
      </c>
      <c r="T539" s="117"/>
      <c r="U539" s="56" t="s">
        <v>949</v>
      </c>
      <c r="V539" s="105" t="s">
        <v>571</v>
      </c>
    </row>
    <row r="540" spans="1:22" s="18" customFormat="1" ht="17.25" x14ac:dyDescent="0.3">
      <c r="A540" s="39">
        <v>14123599</v>
      </c>
      <c r="B540" s="48" t="s">
        <v>540</v>
      </c>
      <c r="C540" s="41" t="s">
        <v>589</v>
      </c>
      <c r="D540" s="42" t="s">
        <v>3</v>
      </c>
      <c r="E540" s="43" t="s">
        <v>567</v>
      </c>
      <c r="F540" s="43" t="s">
        <v>568</v>
      </c>
      <c r="G540" s="44">
        <v>73</v>
      </c>
      <c r="H540" s="43" t="s">
        <v>571</v>
      </c>
      <c r="I540" s="45" t="s">
        <v>569</v>
      </c>
      <c r="J540" s="45" t="s">
        <v>573</v>
      </c>
      <c r="K540" s="116">
        <v>0</v>
      </c>
      <c r="L540" s="116">
        <v>0</v>
      </c>
      <c r="M540" s="116"/>
      <c r="N540" s="116">
        <v>0</v>
      </c>
      <c r="O540" s="116">
        <v>0</v>
      </c>
      <c r="P540" s="116"/>
      <c r="Q540" s="116"/>
      <c r="R540" s="116"/>
      <c r="S540" s="46">
        <v>0</v>
      </c>
      <c r="T540" s="117"/>
      <c r="U540" s="56" t="s">
        <v>571</v>
      </c>
      <c r="V540" s="105" t="s">
        <v>571</v>
      </c>
    </row>
    <row r="541" spans="1:22" s="18" customFormat="1" ht="17.25" x14ac:dyDescent="0.3">
      <c r="A541" s="39">
        <v>14123629</v>
      </c>
      <c r="B541" s="48" t="s">
        <v>541</v>
      </c>
      <c r="C541" s="41" t="s">
        <v>896</v>
      </c>
      <c r="D541" s="42" t="s">
        <v>3</v>
      </c>
      <c r="E541" s="43" t="s">
        <v>567</v>
      </c>
      <c r="F541" s="43" t="s">
        <v>730</v>
      </c>
      <c r="G541" s="44">
        <v>86</v>
      </c>
      <c r="H541" s="43" t="s">
        <v>571</v>
      </c>
      <c r="I541" s="45" t="s">
        <v>569</v>
      </c>
      <c r="J541" s="45" t="s">
        <v>573</v>
      </c>
      <c r="K541" s="116">
        <v>134.18</v>
      </c>
      <c r="L541" s="116">
        <v>0</v>
      </c>
      <c r="M541" s="116"/>
      <c r="N541" s="116">
        <v>0</v>
      </c>
      <c r="O541" s="116">
        <v>0</v>
      </c>
      <c r="P541" s="116"/>
      <c r="Q541" s="116"/>
      <c r="R541" s="116"/>
      <c r="S541" s="46">
        <v>134.18</v>
      </c>
      <c r="T541" s="117"/>
      <c r="U541" s="56" t="s">
        <v>949</v>
      </c>
      <c r="V541" s="105" t="s">
        <v>571</v>
      </c>
    </row>
    <row r="542" spans="1:22" s="18" customFormat="1" ht="17.25" x14ac:dyDescent="0.3">
      <c r="A542" s="40">
        <v>14123634</v>
      </c>
      <c r="B542" s="48" t="s">
        <v>897</v>
      </c>
      <c r="C542" s="41" t="s">
        <v>898</v>
      </c>
      <c r="D542" s="42" t="s">
        <v>3</v>
      </c>
      <c r="E542" s="43" t="s">
        <v>567</v>
      </c>
      <c r="F542" s="43" t="s">
        <v>568</v>
      </c>
      <c r="G542" s="44">
        <v>64</v>
      </c>
      <c r="H542" s="43" t="s">
        <v>571</v>
      </c>
      <c r="I542" s="45" t="s">
        <v>569</v>
      </c>
      <c r="J542" s="45" t="s">
        <v>546</v>
      </c>
      <c r="K542" s="116">
        <v>134.18</v>
      </c>
      <c r="L542" s="116">
        <v>134.18</v>
      </c>
      <c r="M542" s="116"/>
      <c r="N542" s="116">
        <v>0</v>
      </c>
      <c r="O542" s="116">
        <v>177.44</v>
      </c>
      <c r="P542" s="116"/>
      <c r="Q542" s="116"/>
      <c r="R542" s="116"/>
      <c r="S542" s="46">
        <v>445.8</v>
      </c>
      <c r="T542" s="117"/>
      <c r="U542" s="56" t="s">
        <v>949</v>
      </c>
      <c r="V542" s="105" t="s">
        <v>571</v>
      </c>
    </row>
    <row r="543" spans="1:22" s="18" customFormat="1" ht="17.25" x14ac:dyDescent="0.3">
      <c r="A543" s="39">
        <v>14123635</v>
      </c>
      <c r="B543" s="48" t="s">
        <v>899</v>
      </c>
      <c r="C543" s="41" t="s">
        <v>898</v>
      </c>
      <c r="D543" s="42" t="s">
        <v>3</v>
      </c>
      <c r="E543" s="43" t="s">
        <v>567</v>
      </c>
      <c r="F543" s="43" t="s">
        <v>568</v>
      </c>
      <c r="G543" s="44">
        <v>93</v>
      </c>
      <c r="H543" s="43" t="s">
        <v>569</v>
      </c>
      <c r="I543" s="45" t="s">
        <v>571</v>
      </c>
      <c r="J543" s="45" t="s">
        <v>546</v>
      </c>
      <c r="K543" s="116">
        <v>134.18</v>
      </c>
      <c r="L543" s="116">
        <v>134.18</v>
      </c>
      <c r="M543" s="116"/>
      <c r="N543" s="116">
        <v>0</v>
      </c>
      <c r="O543" s="116">
        <v>0</v>
      </c>
      <c r="P543" s="116"/>
      <c r="Q543" s="116"/>
      <c r="R543" s="116"/>
      <c r="S543" s="46">
        <v>268.36</v>
      </c>
      <c r="T543" s="117"/>
      <c r="U543" s="56" t="s">
        <v>949</v>
      </c>
      <c r="V543" s="105" t="s">
        <v>571</v>
      </c>
    </row>
    <row r="544" spans="1:22" s="18" customFormat="1" ht="17.25" x14ac:dyDescent="0.3">
      <c r="A544" s="40">
        <v>14123640</v>
      </c>
      <c r="B544" s="48" t="s">
        <v>900</v>
      </c>
      <c r="C544" s="41" t="s">
        <v>898</v>
      </c>
      <c r="D544" s="42" t="s">
        <v>3</v>
      </c>
      <c r="E544" s="43" t="s">
        <v>567</v>
      </c>
      <c r="F544" s="43" t="s">
        <v>568</v>
      </c>
      <c r="G544" s="44">
        <v>94</v>
      </c>
      <c r="H544" s="43" t="s">
        <v>569</v>
      </c>
      <c r="I544" s="45" t="s">
        <v>569</v>
      </c>
      <c r="J544" s="45" t="s">
        <v>546</v>
      </c>
      <c r="K544" s="116">
        <v>134.18</v>
      </c>
      <c r="L544" s="116">
        <v>134.18</v>
      </c>
      <c r="M544" s="116"/>
      <c r="N544" s="116">
        <v>200</v>
      </c>
      <c r="O544" s="116">
        <v>177.44</v>
      </c>
      <c r="P544" s="116"/>
      <c r="Q544" s="116"/>
      <c r="R544" s="116"/>
      <c r="S544" s="46">
        <v>645.79999999999995</v>
      </c>
      <c r="T544" s="117"/>
      <c r="U544" s="56" t="s">
        <v>949</v>
      </c>
      <c r="V544" s="105" t="s">
        <v>571</v>
      </c>
    </row>
    <row r="545" spans="1:22" s="18" customFormat="1" ht="17.25" x14ac:dyDescent="0.3">
      <c r="A545" s="39">
        <v>14123642</v>
      </c>
      <c r="B545" s="48" t="s">
        <v>901</v>
      </c>
      <c r="C545" s="41" t="s">
        <v>898</v>
      </c>
      <c r="D545" s="42" t="s">
        <v>3</v>
      </c>
      <c r="E545" s="43" t="s">
        <v>567</v>
      </c>
      <c r="F545" s="43" t="s">
        <v>568</v>
      </c>
      <c r="G545" s="44">
        <v>89</v>
      </c>
      <c r="H545" s="43" t="s">
        <v>571</v>
      </c>
      <c r="I545" s="45" t="s">
        <v>569</v>
      </c>
      <c r="J545" s="45" t="s">
        <v>546</v>
      </c>
      <c r="K545" s="116">
        <v>134.18</v>
      </c>
      <c r="L545" s="116">
        <v>134.18</v>
      </c>
      <c r="M545" s="116"/>
      <c r="N545" s="116">
        <v>0</v>
      </c>
      <c r="O545" s="116">
        <v>177.44</v>
      </c>
      <c r="P545" s="116"/>
      <c r="Q545" s="116"/>
      <c r="R545" s="116"/>
      <c r="S545" s="46">
        <v>445.8</v>
      </c>
      <c r="T545" s="117"/>
      <c r="U545" s="56" t="s">
        <v>949</v>
      </c>
      <c r="V545" s="105" t="s">
        <v>571</v>
      </c>
    </row>
    <row r="546" spans="1:22" s="18" customFormat="1" ht="17.25" x14ac:dyDescent="0.3">
      <c r="A546" s="39">
        <v>14123649</v>
      </c>
      <c r="B546" s="40" t="s">
        <v>902</v>
      </c>
      <c r="C546" s="41" t="s">
        <v>903</v>
      </c>
      <c r="D546" s="42" t="s">
        <v>3</v>
      </c>
      <c r="E546" s="43" t="s">
        <v>567</v>
      </c>
      <c r="F546" s="43" t="s">
        <v>568</v>
      </c>
      <c r="G546" s="44">
        <v>22</v>
      </c>
      <c r="H546" s="43" t="s">
        <v>571</v>
      </c>
      <c r="I546" s="45" t="s">
        <v>571</v>
      </c>
      <c r="J546" s="45" t="s">
        <v>546</v>
      </c>
      <c r="K546" s="116">
        <v>134.18</v>
      </c>
      <c r="L546" s="116">
        <v>134.18</v>
      </c>
      <c r="M546" s="116"/>
      <c r="N546" s="116">
        <v>0</v>
      </c>
      <c r="O546" s="116">
        <v>0</v>
      </c>
      <c r="P546" s="116"/>
      <c r="Q546" s="116"/>
      <c r="R546" s="116"/>
      <c r="S546" s="46">
        <v>268.36</v>
      </c>
      <c r="T546" s="117"/>
      <c r="U546" s="56" t="s">
        <v>949</v>
      </c>
      <c r="V546" s="105" t="s">
        <v>571</v>
      </c>
    </row>
    <row r="547" spans="1:22" s="18" customFormat="1" ht="17.25" x14ac:dyDescent="0.3">
      <c r="A547" s="40">
        <v>14123651</v>
      </c>
      <c r="B547" s="48" t="s">
        <v>904</v>
      </c>
      <c r="C547" s="41" t="s">
        <v>903</v>
      </c>
      <c r="D547" s="42" t="s">
        <v>3</v>
      </c>
      <c r="E547" s="43" t="s">
        <v>567</v>
      </c>
      <c r="F547" s="43" t="s">
        <v>568</v>
      </c>
      <c r="G547" s="44">
        <v>87</v>
      </c>
      <c r="H547" s="43" t="s">
        <v>571</v>
      </c>
      <c r="I547" s="45" t="s">
        <v>571</v>
      </c>
      <c r="J547" s="45" t="s">
        <v>546</v>
      </c>
      <c r="K547" s="116">
        <v>134.18</v>
      </c>
      <c r="L547" s="116">
        <v>134.18</v>
      </c>
      <c r="M547" s="116"/>
      <c r="N547" s="116">
        <v>0</v>
      </c>
      <c r="O547" s="116">
        <v>0</v>
      </c>
      <c r="P547" s="116"/>
      <c r="Q547" s="116"/>
      <c r="R547" s="116"/>
      <c r="S547" s="46">
        <v>268.36</v>
      </c>
      <c r="T547" s="117"/>
      <c r="U547" s="56" t="s">
        <v>949</v>
      </c>
      <c r="V547" s="105" t="s">
        <v>571</v>
      </c>
    </row>
    <row r="548" spans="1:22" s="18" customFormat="1" ht="17.25" x14ac:dyDescent="0.3">
      <c r="A548" s="40">
        <v>14123652</v>
      </c>
      <c r="B548" s="48" t="s">
        <v>905</v>
      </c>
      <c r="C548" s="41" t="s">
        <v>903</v>
      </c>
      <c r="D548" s="42" t="s">
        <v>3</v>
      </c>
      <c r="E548" s="43" t="s">
        <v>567</v>
      </c>
      <c r="F548" s="43" t="s">
        <v>568</v>
      </c>
      <c r="G548" s="44">
        <v>94</v>
      </c>
      <c r="H548" s="43" t="s">
        <v>569</v>
      </c>
      <c r="I548" s="45" t="s">
        <v>569</v>
      </c>
      <c r="J548" s="45" t="s">
        <v>546</v>
      </c>
      <c r="K548" s="116">
        <v>134.18</v>
      </c>
      <c r="L548" s="116">
        <v>134.18</v>
      </c>
      <c r="M548" s="116"/>
      <c r="N548" s="116">
        <v>200</v>
      </c>
      <c r="O548" s="116">
        <v>177.44</v>
      </c>
      <c r="P548" s="116"/>
      <c r="Q548" s="116"/>
      <c r="R548" s="116"/>
      <c r="S548" s="46">
        <v>645.79999999999995</v>
      </c>
      <c r="T548" s="117"/>
      <c r="U548" s="56" t="s">
        <v>949</v>
      </c>
      <c r="V548" s="105" t="s">
        <v>571</v>
      </c>
    </row>
    <row r="549" spans="1:22" s="18" customFormat="1" ht="17.25" x14ac:dyDescent="0.3">
      <c r="A549" s="40">
        <v>14123654</v>
      </c>
      <c r="B549" s="48" t="s">
        <v>934</v>
      </c>
      <c r="C549" s="41" t="s">
        <v>932</v>
      </c>
      <c r="D549" s="42" t="s">
        <v>3</v>
      </c>
      <c r="E549" s="43" t="s">
        <v>567</v>
      </c>
      <c r="F549" s="43" t="s">
        <v>568</v>
      </c>
      <c r="G549" s="44">
        <v>94</v>
      </c>
      <c r="H549" s="43" t="s">
        <v>569</v>
      </c>
      <c r="I549" s="45" t="s">
        <v>571</v>
      </c>
      <c r="J549" s="45" t="s">
        <v>546</v>
      </c>
      <c r="K549" s="116">
        <v>134.18</v>
      </c>
      <c r="L549" s="116">
        <v>134.18</v>
      </c>
      <c r="M549" s="116"/>
      <c r="N549" s="116">
        <v>0</v>
      </c>
      <c r="O549" s="116">
        <v>0</v>
      </c>
      <c r="P549" s="116"/>
      <c r="Q549" s="116"/>
      <c r="R549" s="116"/>
      <c r="S549" s="46">
        <v>268.36</v>
      </c>
      <c r="T549" s="117"/>
      <c r="U549" s="56" t="s">
        <v>949</v>
      </c>
      <c r="V549" s="105" t="s">
        <v>571</v>
      </c>
    </row>
    <row r="550" spans="1:22" s="18" customFormat="1" ht="17.25" x14ac:dyDescent="0.3">
      <c r="A550" s="40">
        <v>14123655</v>
      </c>
      <c r="B550" s="48" t="s">
        <v>935</v>
      </c>
      <c r="C550" s="41" t="s">
        <v>932</v>
      </c>
      <c r="D550" s="42" t="s">
        <v>3</v>
      </c>
      <c r="E550" s="43" t="s">
        <v>567</v>
      </c>
      <c r="F550" s="43" t="s">
        <v>568</v>
      </c>
      <c r="G550" s="44"/>
      <c r="H550" s="43" t="s">
        <v>571</v>
      </c>
      <c r="I550" s="45" t="s">
        <v>569</v>
      </c>
      <c r="J550" s="45" t="s">
        <v>573</v>
      </c>
      <c r="K550" s="116">
        <v>0</v>
      </c>
      <c r="L550" s="116">
        <v>0</v>
      </c>
      <c r="M550" s="116"/>
      <c r="N550" s="116">
        <v>0</v>
      </c>
      <c r="O550" s="116">
        <v>0</v>
      </c>
      <c r="P550" s="116"/>
      <c r="Q550" s="116"/>
      <c r="R550" s="116"/>
      <c r="S550" s="46">
        <v>0</v>
      </c>
      <c r="T550" s="117"/>
      <c r="U550" s="56" t="s">
        <v>571</v>
      </c>
      <c r="V550" s="105" t="s">
        <v>571</v>
      </c>
    </row>
    <row r="551" spans="1:22" s="18" customFormat="1" ht="17.25" x14ac:dyDescent="0.3">
      <c r="A551" s="39">
        <v>14123656</v>
      </c>
      <c r="B551" s="48" t="s">
        <v>936</v>
      </c>
      <c r="C551" s="41" t="s">
        <v>932</v>
      </c>
      <c r="D551" s="42" t="s">
        <v>3</v>
      </c>
      <c r="E551" s="43" t="s">
        <v>567</v>
      </c>
      <c r="F551" s="43" t="s">
        <v>568</v>
      </c>
      <c r="G551" s="44">
        <v>93</v>
      </c>
      <c r="H551" s="43" t="s">
        <v>569</v>
      </c>
      <c r="I551" s="45" t="s">
        <v>569</v>
      </c>
      <c r="J551" s="45" t="s">
        <v>546</v>
      </c>
      <c r="K551" s="116">
        <v>134.18</v>
      </c>
      <c r="L551" s="116">
        <v>134.18</v>
      </c>
      <c r="M551" s="116"/>
      <c r="N551" s="116">
        <v>200</v>
      </c>
      <c r="O551" s="116">
        <v>177.44</v>
      </c>
      <c r="P551" s="116"/>
      <c r="Q551" s="116"/>
      <c r="R551" s="116"/>
      <c r="S551" s="46">
        <v>645.79999999999995</v>
      </c>
      <c r="T551" s="117"/>
      <c r="U551" s="56" t="s">
        <v>949</v>
      </c>
      <c r="V551" s="105" t="s">
        <v>571</v>
      </c>
    </row>
    <row r="552" spans="1:22" s="18" customFormat="1" ht="17.25" x14ac:dyDescent="0.3">
      <c r="A552" s="39">
        <v>14123657</v>
      </c>
      <c r="B552" s="48" t="s">
        <v>937</v>
      </c>
      <c r="C552" s="41" t="s">
        <v>932</v>
      </c>
      <c r="D552" s="42" t="s">
        <v>3</v>
      </c>
      <c r="E552" s="43" t="s">
        <v>567</v>
      </c>
      <c r="F552" s="43" t="s">
        <v>568</v>
      </c>
      <c r="G552" s="44">
        <v>94</v>
      </c>
      <c r="H552" s="43" t="s">
        <v>569</v>
      </c>
      <c r="I552" s="45" t="s">
        <v>569</v>
      </c>
      <c r="J552" s="45" t="s">
        <v>546</v>
      </c>
      <c r="K552" s="116">
        <v>134.18</v>
      </c>
      <c r="L552" s="116">
        <v>134.18</v>
      </c>
      <c r="M552" s="116"/>
      <c r="N552" s="116">
        <v>200</v>
      </c>
      <c r="O552" s="116">
        <v>177.44</v>
      </c>
      <c r="P552" s="116"/>
      <c r="Q552" s="116"/>
      <c r="R552" s="116"/>
      <c r="S552" s="46">
        <v>645.79999999999995</v>
      </c>
      <c r="T552" s="117"/>
      <c r="U552" s="56" t="s">
        <v>949</v>
      </c>
      <c r="V552" s="105" t="s">
        <v>571</v>
      </c>
    </row>
    <row r="553" spans="1:22" s="18" customFormat="1" ht="17.25" x14ac:dyDescent="0.3">
      <c r="A553" s="39">
        <v>14123696</v>
      </c>
      <c r="B553" s="48" t="s">
        <v>938</v>
      </c>
      <c r="C553" s="41" t="s">
        <v>939</v>
      </c>
      <c r="D553" s="42" t="s">
        <v>3</v>
      </c>
      <c r="E553" s="43" t="s">
        <v>567</v>
      </c>
      <c r="F553" s="43" t="s">
        <v>568</v>
      </c>
      <c r="G553" s="44">
        <v>89</v>
      </c>
      <c r="H553" s="43" t="s">
        <v>571</v>
      </c>
      <c r="I553" s="45" t="s">
        <v>569</v>
      </c>
      <c r="J553" s="45" t="s">
        <v>546</v>
      </c>
      <c r="K553" s="116">
        <v>134.18</v>
      </c>
      <c r="L553" s="116">
        <v>134.18</v>
      </c>
      <c r="M553" s="116"/>
      <c r="N553" s="116">
        <v>0</v>
      </c>
      <c r="O553" s="116">
        <v>177.44</v>
      </c>
      <c r="P553" s="116"/>
      <c r="Q553" s="116"/>
      <c r="R553" s="116"/>
      <c r="S553" s="46">
        <v>445.8</v>
      </c>
      <c r="T553" s="117"/>
      <c r="U553" s="56" t="s">
        <v>949</v>
      </c>
      <c r="V553" s="105" t="s">
        <v>571</v>
      </c>
    </row>
    <row r="554" spans="1:22" s="18" customFormat="1" ht="17.25" x14ac:dyDescent="0.3">
      <c r="A554" s="39">
        <v>14123702</v>
      </c>
      <c r="B554" s="48" t="s">
        <v>940</v>
      </c>
      <c r="C554" s="41" t="s">
        <v>941</v>
      </c>
      <c r="D554" s="42" t="s">
        <v>3</v>
      </c>
      <c r="E554" s="43" t="s">
        <v>567</v>
      </c>
      <c r="F554" s="43" t="s">
        <v>568</v>
      </c>
      <c r="G554" s="44">
        <v>95</v>
      </c>
      <c r="H554" s="43" t="s">
        <v>569</v>
      </c>
      <c r="I554" s="45" t="s">
        <v>569</v>
      </c>
      <c r="J554" s="45" t="s">
        <v>546</v>
      </c>
      <c r="K554" s="116">
        <v>134.18</v>
      </c>
      <c r="L554" s="116">
        <v>134.18</v>
      </c>
      <c r="M554" s="116"/>
      <c r="N554" s="116">
        <v>200</v>
      </c>
      <c r="O554" s="116">
        <v>177.44</v>
      </c>
      <c r="P554" s="116"/>
      <c r="Q554" s="116"/>
      <c r="R554" s="116"/>
      <c r="S554" s="46">
        <v>645.79999999999995</v>
      </c>
      <c r="T554" s="117"/>
      <c r="U554" s="56" t="s">
        <v>949</v>
      </c>
      <c r="V554" s="105" t="s">
        <v>571</v>
      </c>
    </row>
    <row r="555" spans="1:22" s="18" customFormat="1" ht="17.25" x14ac:dyDescent="0.3">
      <c r="A555" s="39">
        <v>14123704</v>
      </c>
      <c r="B555" s="48" t="s">
        <v>942</v>
      </c>
      <c r="C555" s="41" t="s">
        <v>943</v>
      </c>
      <c r="D555" s="42" t="s">
        <v>3</v>
      </c>
      <c r="E555" s="43" t="s">
        <v>567</v>
      </c>
      <c r="F555" s="43" t="s">
        <v>568</v>
      </c>
      <c r="G555" s="44">
        <v>85</v>
      </c>
      <c r="H555" s="43" t="s">
        <v>571</v>
      </c>
      <c r="I555" s="45" t="s">
        <v>569</v>
      </c>
      <c r="J555" s="45" t="s">
        <v>546</v>
      </c>
      <c r="K555" s="116">
        <v>134.18</v>
      </c>
      <c r="L555" s="116">
        <v>134.18</v>
      </c>
      <c r="M555" s="116"/>
      <c r="N555" s="116">
        <v>0</v>
      </c>
      <c r="O555" s="116">
        <v>177.44</v>
      </c>
      <c r="P555" s="116"/>
      <c r="Q555" s="116"/>
      <c r="R555" s="116"/>
      <c r="S555" s="46">
        <v>445.8</v>
      </c>
      <c r="T555" s="117"/>
      <c r="U555" s="56" t="s">
        <v>949</v>
      </c>
      <c r="V555" s="105" t="s">
        <v>571</v>
      </c>
    </row>
    <row r="556" spans="1:22" s="18" customFormat="1" ht="17.25" x14ac:dyDescent="0.3">
      <c r="A556" s="39">
        <v>14123708</v>
      </c>
      <c r="B556" s="48" t="s">
        <v>945</v>
      </c>
      <c r="C556" s="41" t="s">
        <v>944</v>
      </c>
      <c r="D556" s="42" t="s">
        <v>3</v>
      </c>
      <c r="E556" s="43" t="s">
        <v>567</v>
      </c>
      <c r="F556" s="43" t="s">
        <v>568</v>
      </c>
      <c r="G556" s="44">
        <v>94</v>
      </c>
      <c r="H556" s="43" t="s">
        <v>569</v>
      </c>
      <c r="I556" s="45" t="s">
        <v>571</v>
      </c>
      <c r="J556" s="45" t="s">
        <v>546</v>
      </c>
      <c r="K556" s="116">
        <v>134.18</v>
      </c>
      <c r="L556" s="116">
        <v>134.18</v>
      </c>
      <c r="M556" s="116"/>
      <c r="N556" s="116">
        <v>0</v>
      </c>
      <c r="O556" s="116">
        <v>0</v>
      </c>
      <c r="P556" s="116"/>
      <c r="Q556" s="116"/>
      <c r="R556" s="116"/>
      <c r="S556" s="46">
        <v>268.36</v>
      </c>
      <c r="T556" s="117"/>
      <c r="U556" s="56" t="s">
        <v>949</v>
      </c>
      <c r="V556" s="105" t="s">
        <v>571</v>
      </c>
    </row>
    <row r="557" spans="1:22" s="18" customFormat="1" ht="17.25" x14ac:dyDescent="0.3">
      <c r="A557" s="40">
        <v>14123709</v>
      </c>
      <c r="B557" s="48" t="s">
        <v>946</v>
      </c>
      <c r="C557" s="41" t="s">
        <v>944</v>
      </c>
      <c r="D557" s="42" t="s">
        <v>3</v>
      </c>
      <c r="E557" s="43" t="s">
        <v>567</v>
      </c>
      <c r="F557" s="43" t="s">
        <v>568</v>
      </c>
      <c r="G557" s="44">
        <v>94</v>
      </c>
      <c r="H557" s="43" t="s">
        <v>569</v>
      </c>
      <c r="I557" s="45" t="s">
        <v>571</v>
      </c>
      <c r="J557" s="45" t="s">
        <v>546</v>
      </c>
      <c r="K557" s="116">
        <v>134.18</v>
      </c>
      <c r="L557" s="116">
        <v>134.18</v>
      </c>
      <c r="M557" s="116"/>
      <c r="N557" s="116">
        <v>0</v>
      </c>
      <c r="O557" s="116">
        <v>0</v>
      </c>
      <c r="P557" s="116"/>
      <c r="Q557" s="116"/>
      <c r="R557" s="116"/>
      <c r="S557" s="46">
        <v>268.36</v>
      </c>
      <c r="T557" s="117"/>
      <c r="U557" s="56" t="s">
        <v>949</v>
      </c>
      <c r="V557" s="105" t="s">
        <v>571</v>
      </c>
    </row>
    <row r="558" spans="1:22" s="18" customFormat="1" ht="17.25" x14ac:dyDescent="0.3">
      <c r="A558" s="40">
        <v>14123719</v>
      </c>
      <c r="B558" s="40" t="s">
        <v>953</v>
      </c>
      <c r="C558" s="41" t="s">
        <v>954</v>
      </c>
      <c r="D558" s="42" t="s">
        <v>3</v>
      </c>
      <c r="E558" s="43" t="s">
        <v>567</v>
      </c>
      <c r="F558" s="43" t="s">
        <v>568</v>
      </c>
      <c r="G558" s="44">
        <v>91</v>
      </c>
      <c r="H558" s="43" t="s">
        <v>569</v>
      </c>
      <c r="I558" s="45" t="s">
        <v>571</v>
      </c>
      <c r="J558" s="45" t="s">
        <v>546</v>
      </c>
      <c r="K558" s="116">
        <v>134.18</v>
      </c>
      <c r="L558" s="116">
        <v>134.18</v>
      </c>
      <c r="M558" s="116"/>
      <c r="N558" s="116">
        <v>0</v>
      </c>
      <c r="O558" s="116">
        <v>0</v>
      </c>
      <c r="P558" s="116"/>
      <c r="Q558" s="116"/>
      <c r="R558" s="116"/>
      <c r="S558" s="46">
        <v>268.36</v>
      </c>
      <c r="T558" s="117"/>
      <c r="U558" s="56" t="s">
        <v>949</v>
      </c>
      <c r="V558" s="105" t="s">
        <v>571</v>
      </c>
    </row>
    <row r="559" spans="1:22" s="18" customFormat="1" ht="17.25" x14ac:dyDescent="0.3">
      <c r="A559" s="40">
        <v>14123720</v>
      </c>
      <c r="B559" s="40" t="s">
        <v>955</v>
      </c>
      <c r="C559" s="41" t="s">
        <v>954</v>
      </c>
      <c r="D559" s="42" t="s">
        <v>3</v>
      </c>
      <c r="E559" s="43" t="s">
        <v>567</v>
      </c>
      <c r="F559" s="43" t="s">
        <v>568</v>
      </c>
      <c r="G559" s="44">
        <v>95</v>
      </c>
      <c r="H559" s="43" t="s">
        <v>569</v>
      </c>
      <c r="I559" s="45" t="s">
        <v>569</v>
      </c>
      <c r="J559" s="45" t="s">
        <v>546</v>
      </c>
      <c r="K559" s="116">
        <v>134.18</v>
      </c>
      <c r="L559" s="116">
        <v>134.18</v>
      </c>
      <c r="M559" s="116"/>
      <c r="N559" s="116">
        <v>200</v>
      </c>
      <c r="O559" s="116">
        <v>177.44</v>
      </c>
      <c r="P559" s="116"/>
      <c r="Q559" s="116"/>
      <c r="R559" s="116"/>
      <c r="S559" s="46">
        <v>645.79999999999995</v>
      </c>
      <c r="T559" s="117"/>
      <c r="U559" s="56" t="s">
        <v>949</v>
      </c>
      <c r="V559" s="105" t="s">
        <v>571</v>
      </c>
    </row>
    <row r="560" spans="1:22" s="18" customFormat="1" ht="17.25" x14ac:dyDescent="0.3">
      <c r="A560" s="39">
        <v>14123725</v>
      </c>
      <c r="B560" s="48" t="s">
        <v>956</v>
      </c>
      <c r="C560" s="41" t="s">
        <v>954</v>
      </c>
      <c r="D560" s="42" t="s">
        <v>3</v>
      </c>
      <c r="E560" s="43" t="s">
        <v>567</v>
      </c>
      <c r="F560" s="43" t="s">
        <v>568</v>
      </c>
      <c r="G560" s="44">
        <v>94</v>
      </c>
      <c r="H560" s="43" t="s">
        <v>569</v>
      </c>
      <c r="I560" s="45" t="s">
        <v>571</v>
      </c>
      <c r="J560" s="45" t="s">
        <v>546</v>
      </c>
      <c r="K560" s="116">
        <v>134.18</v>
      </c>
      <c r="L560" s="116">
        <v>134.18</v>
      </c>
      <c r="M560" s="116"/>
      <c r="N560" s="116">
        <v>0</v>
      </c>
      <c r="O560" s="116">
        <v>0</v>
      </c>
      <c r="P560" s="116"/>
      <c r="Q560" s="116"/>
      <c r="R560" s="116"/>
      <c r="S560" s="46">
        <v>268.36</v>
      </c>
      <c r="T560" s="117"/>
      <c r="U560" s="56" t="s">
        <v>949</v>
      </c>
      <c r="V560" s="105" t="s">
        <v>571</v>
      </c>
    </row>
    <row r="561" spans="1:22" s="18" customFormat="1" ht="17.25" x14ac:dyDescent="0.3">
      <c r="A561" s="39">
        <v>14123754</v>
      </c>
      <c r="B561" s="48" t="s">
        <v>957</v>
      </c>
      <c r="C561" s="41" t="s">
        <v>958</v>
      </c>
      <c r="D561" s="42" t="s">
        <v>3</v>
      </c>
      <c r="E561" s="43" t="s">
        <v>567</v>
      </c>
      <c r="F561" s="43" t="s">
        <v>568</v>
      </c>
      <c r="G561" s="44">
        <v>93</v>
      </c>
      <c r="H561" s="43" t="s">
        <v>569</v>
      </c>
      <c r="I561" s="45" t="s">
        <v>569</v>
      </c>
      <c r="J561" s="45" t="s">
        <v>573</v>
      </c>
      <c r="K561" s="116">
        <v>134.18</v>
      </c>
      <c r="L561" s="116">
        <v>134.18</v>
      </c>
      <c r="M561" s="116"/>
      <c r="N561" s="116">
        <v>200</v>
      </c>
      <c r="O561" s="116">
        <v>0</v>
      </c>
      <c r="P561" s="116"/>
      <c r="Q561" s="116"/>
      <c r="R561" s="116"/>
      <c r="S561" s="46">
        <v>468.36</v>
      </c>
      <c r="T561" s="117"/>
      <c r="U561" s="56" t="s">
        <v>949</v>
      </c>
      <c r="V561" s="105" t="s">
        <v>571</v>
      </c>
    </row>
    <row r="562" spans="1:22" s="18" customFormat="1" ht="17.25" x14ac:dyDescent="0.3">
      <c r="A562" s="39">
        <v>14123770</v>
      </c>
      <c r="B562" s="48" t="s">
        <v>959</v>
      </c>
      <c r="C562" s="41" t="s">
        <v>952</v>
      </c>
      <c r="D562" s="42" t="s">
        <v>3</v>
      </c>
      <c r="E562" s="43" t="s">
        <v>567</v>
      </c>
      <c r="F562" s="43" t="s">
        <v>568</v>
      </c>
      <c r="G562" s="44">
        <v>94</v>
      </c>
      <c r="H562" s="43" t="s">
        <v>569</v>
      </c>
      <c r="I562" s="45" t="s">
        <v>569</v>
      </c>
      <c r="J562" s="45" t="s">
        <v>546</v>
      </c>
      <c r="K562" s="116">
        <v>134.18</v>
      </c>
      <c r="L562" s="116">
        <v>134.18</v>
      </c>
      <c r="M562" s="116"/>
      <c r="N562" s="116">
        <v>200</v>
      </c>
      <c r="O562" s="116">
        <v>177.44</v>
      </c>
      <c r="P562" s="116"/>
      <c r="Q562" s="116"/>
      <c r="R562" s="116"/>
      <c r="S562" s="46">
        <v>645.79999999999995</v>
      </c>
      <c r="T562" s="117"/>
      <c r="U562" s="56" t="s">
        <v>949</v>
      </c>
      <c r="V562" s="105" t="s">
        <v>571</v>
      </c>
    </row>
    <row r="563" spans="1:22" s="18" customFormat="1" ht="17.25" x14ac:dyDescent="0.3">
      <c r="A563" s="39">
        <v>14123771</v>
      </c>
      <c r="B563" s="48" t="s">
        <v>960</v>
      </c>
      <c r="C563" s="41" t="s">
        <v>952</v>
      </c>
      <c r="D563" s="42" t="s">
        <v>3</v>
      </c>
      <c r="E563" s="43" t="s">
        <v>567</v>
      </c>
      <c r="F563" s="43" t="s">
        <v>568</v>
      </c>
      <c r="G563" s="44">
        <v>94</v>
      </c>
      <c r="H563" s="43" t="s">
        <v>569</v>
      </c>
      <c r="I563" s="45" t="s">
        <v>569</v>
      </c>
      <c r="J563" s="45" t="s">
        <v>546</v>
      </c>
      <c r="K563" s="116">
        <v>134.18</v>
      </c>
      <c r="L563" s="116">
        <v>134.18</v>
      </c>
      <c r="M563" s="116"/>
      <c r="N563" s="116">
        <v>200</v>
      </c>
      <c r="O563" s="116">
        <v>177.44</v>
      </c>
      <c r="P563" s="116"/>
      <c r="Q563" s="116"/>
      <c r="R563" s="116"/>
      <c r="S563" s="46">
        <v>645.79999999999995</v>
      </c>
      <c r="T563" s="117"/>
      <c r="U563" s="56" t="s">
        <v>949</v>
      </c>
      <c r="V563" s="105" t="s">
        <v>571</v>
      </c>
    </row>
    <row r="564" spans="1:22" s="18" customFormat="1" ht="17.25" x14ac:dyDescent="0.3">
      <c r="A564" s="39">
        <v>14123786</v>
      </c>
      <c r="B564" s="48" t="s">
        <v>961</v>
      </c>
      <c r="C564" s="41" t="s">
        <v>962</v>
      </c>
      <c r="D564" s="42" t="s">
        <v>3</v>
      </c>
      <c r="E564" s="43" t="s">
        <v>567</v>
      </c>
      <c r="F564" s="43" t="s">
        <v>568</v>
      </c>
      <c r="G564" s="44">
        <v>87</v>
      </c>
      <c r="H564" s="43" t="s">
        <v>571</v>
      </c>
      <c r="I564" s="45" t="s">
        <v>569</v>
      </c>
      <c r="J564" s="45" t="s">
        <v>546</v>
      </c>
      <c r="K564" s="116">
        <v>134.18</v>
      </c>
      <c r="L564" s="116">
        <v>134.18</v>
      </c>
      <c r="M564" s="116"/>
      <c r="N564" s="116">
        <v>0</v>
      </c>
      <c r="O564" s="116">
        <v>177.44</v>
      </c>
      <c r="P564" s="116"/>
      <c r="Q564" s="116"/>
      <c r="R564" s="116"/>
      <c r="S564" s="46">
        <v>445.8</v>
      </c>
      <c r="T564" s="117"/>
      <c r="U564" s="56" t="s">
        <v>949</v>
      </c>
      <c r="V564" s="105" t="s">
        <v>571</v>
      </c>
    </row>
    <row r="565" spans="1:22" s="18" customFormat="1" ht="17.25" x14ac:dyDescent="0.3">
      <c r="A565" s="39">
        <v>14123787</v>
      </c>
      <c r="B565" s="48" t="s">
        <v>963</v>
      </c>
      <c r="C565" s="41" t="s">
        <v>962</v>
      </c>
      <c r="D565" s="42" t="s">
        <v>3</v>
      </c>
      <c r="E565" s="43" t="s">
        <v>567</v>
      </c>
      <c r="F565" s="43" t="s">
        <v>568</v>
      </c>
      <c r="G565" s="44">
        <v>88</v>
      </c>
      <c r="H565" s="43" t="s">
        <v>571</v>
      </c>
      <c r="I565" s="45" t="s">
        <v>569</v>
      </c>
      <c r="J565" s="45" t="s">
        <v>573</v>
      </c>
      <c r="K565" s="116">
        <v>0</v>
      </c>
      <c r="L565" s="116">
        <v>0</v>
      </c>
      <c r="M565" s="116"/>
      <c r="N565" s="116">
        <v>0</v>
      </c>
      <c r="O565" s="116">
        <v>0</v>
      </c>
      <c r="P565" s="116"/>
      <c r="Q565" s="116"/>
      <c r="R565" s="116"/>
      <c r="S565" s="46">
        <v>0</v>
      </c>
      <c r="T565" s="117"/>
      <c r="U565" s="56" t="s">
        <v>571</v>
      </c>
      <c r="V565" s="105" t="s">
        <v>571</v>
      </c>
    </row>
    <row r="566" spans="1:22" s="18" customFormat="1" ht="17.25" x14ac:dyDescent="0.3">
      <c r="A566" s="39">
        <v>14123789</v>
      </c>
      <c r="B566" s="48" t="s">
        <v>964</v>
      </c>
      <c r="C566" s="41" t="s">
        <v>962</v>
      </c>
      <c r="D566" s="42" t="s">
        <v>3</v>
      </c>
      <c r="E566" s="43" t="s">
        <v>567</v>
      </c>
      <c r="F566" s="43" t="s">
        <v>568</v>
      </c>
      <c r="G566" s="44">
        <v>93</v>
      </c>
      <c r="H566" s="43" t="s">
        <v>569</v>
      </c>
      <c r="I566" s="45" t="s">
        <v>571</v>
      </c>
      <c r="J566" s="45" t="s">
        <v>546</v>
      </c>
      <c r="K566" s="116">
        <v>134.18</v>
      </c>
      <c r="L566" s="116">
        <v>134.18</v>
      </c>
      <c r="M566" s="116"/>
      <c r="N566" s="116">
        <v>0</v>
      </c>
      <c r="O566" s="116">
        <v>0</v>
      </c>
      <c r="P566" s="116"/>
      <c r="Q566" s="116"/>
      <c r="R566" s="116"/>
      <c r="S566" s="46">
        <v>268.36</v>
      </c>
      <c r="T566" s="117"/>
      <c r="U566" s="56" t="s">
        <v>949</v>
      </c>
      <c r="V566" s="105" t="s">
        <v>571</v>
      </c>
    </row>
    <row r="567" spans="1:22" s="18" customFormat="1" ht="17.25" x14ac:dyDescent="0.3">
      <c r="A567" s="39">
        <v>14123808</v>
      </c>
      <c r="B567" s="48" t="s">
        <v>965</v>
      </c>
      <c r="C567" s="41" t="s">
        <v>966</v>
      </c>
      <c r="D567" s="42" t="s">
        <v>3</v>
      </c>
      <c r="E567" s="43" t="s">
        <v>567</v>
      </c>
      <c r="F567" s="43" t="s">
        <v>568</v>
      </c>
      <c r="G567" s="44">
        <v>95</v>
      </c>
      <c r="H567" s="43" t="s">
        <v>569</v>
      </c>
      <c r="I567" s="45" t="s">
        <v>569</v>
      </c>
      <c r="J567" s="45" t="s">
        <v>546</v>
      </c>
      <c r="K567" s="116">
        <v>134.18</v>
      </c>
      <c r="L567" s="116">
        <v>134.18</v>
      </c>
      <c r="M567" s="116"/>
      <c r="N567" s="116">
        <v>200</v>
      </c>
      <c r="O567" s="116">
        <v>177.44</v>
      </c>
      <c r="P567" s="116"/>
      <c r="Q567" s="116"/>
      <c r="R567" s="116"/>
      <c r="S567" s="46">
        <v>645.79999999999995</v>
      </c>
      <c r="T567" s="117"/>
      <c r="U567" s="56" t="s">
        <v>949</v>
      </c>
      <c r="V567" s="105" t="s">
        <v>571</v>
      </c>
    </row>
    <row r="568" spans="1:22" s="18" customFormat="1" ht="17.25" x14ac:dyDescent="0.3">
      <c r="A568" s="39">
        <v>14123819</v>
      </c>
      <c r="B568" s="48" t="s">
        <v>967</v>
      </c>
      <c r="C568" s="41" t="s">
        <v>968</v>
      </c>
      <c r="D568" s="42" t="s">
        <v>3</v>
      </c>
      <c r="E568" s="43" t="s">
        <v>567</v>
      </c>
      <c r="F568" s="43" t="s">
        <v>730</v>
      </c>
      <c r="G568" s="44">
        <v>95</v>
      </c>
      <c r="H568" s="43" t="s">
        <v>569</v>
      </c>
      <c r="I568" s="45" t="s">
        <v>569</v>
      </c>
      <c r="J568" s="45" t="s">
        <v>546</v>
      </c>
      <c r="K568" s="116">
        <v>134.18</v>
      </c>
      <c r="L568" s="116">
        <v>0</v>
      </c>
      <c r="M568" s="116"/>
      <c r="N568" s="116">
        <v>200</v>
      </c>
      <c r="O568" s="116">
        <v>177.44</v>
      </c>
      <c r="P568" s="116"/>
      <c r="Q568" s="116"/>
      <c r="R568" s="116"/>
      <c r="S568" s="46">
        <v>511.62</v>
      </c>
      <c r="T568" s="117"/>
      <c r="U568" s="56" t="s">
        <v>949</v>
      </c>
      <c r="V568" s="105" t="s">
        <v>571</v>
      </c>
    </row>
    <row r="569" spans="1:22" s="18" customFormat="1" ht="17.25" x14ac:dyDescent="0.3">
      <c r="A569" s="40">
        <v>14123843</v>
      </c>
      <c r="B569" s="40" t="s">
        <v>970</v>
      </c>
      <c r="C569" s="41" t="s">
        <v>971</v>
      </c>
      <c r="D569" s="42" t="s">
        <v>3</v>
      </c>
      <c r="E569" s="43" t="s">
        <v>567</v>
      </c>
      <c r="F569" s="43" t="s">
        <v>568</v>
      </c>
      <c r="G569" s="44">
        <v>94</v>
      </c>
      <c r="H569" s="43" t="s">
        <v>569</v>
      </c>
      <c r="I569" s="45" t="s">
        <v>569</v>
      </c>
      <c r="J569" s="45" t="s">
        <v>573</v>
      </c>
      <c r="K569" s="116">
        <v>134.18</v>
      </c>
      <c r="L569" s="116">
        <v>134.18</v>
      </c>
      <c r="M569" s="116"/>
      <c r="N569" s="116">
        <v>200</v>
      </c>
      <c r="O569" s="116">
        <v>0</v>
      </c>
      <c r="P569" s="116"/>
      <c r="Q569" s="116"/>
      <c r="R569" s="116"/>
      <c r="S569" s="46">
        <v>468.36</v>
      </c>
      <c r="T569" s="117"/>
      <c r="U569" s="56" t="s">
        <v>949</v>
      </c>
      <c r="V569" s="105" t="s">
        <v>571</v>
      </c>
    </row>
    <row r="570" spans="1:22" s="18" customFormat="1" ht="17.25" x14ac:dyDescent="0.3">
      <c r="A570" s="39">
        <v>14123844</v>
      </c>
      <c r="B570" s="48" t="s">
        <v>972</v>
      </c>
      <c r="C570" s="41" t="s">
        <v>971</v>
      </c>
      <c r="D570" s="42" t="s">
        <v>3</v>
      </c>
      <c r="E570" s="43" t="s">
        <v>567</v>
      </c>
      <c r="F570" s="43" t="s">
        <v>568</v>
      </c>
      <c r="G570" s="44">
        <v>91</v>
      </c>
      <c r="H570" s="43" t="s">
        <v>569</v>
      </c>
      <c r="I570" s="45" t="s">
        <v>569</v>
      </c>
      <c r="J570" s="45" t="s">
        <v>573</v>
      </c>
      <c r="K570" s="116">
        <v>134.18</v>
      </c>
      <c r="L570" s="116">
        <v>134.18</v>
      </c>
      <c r="M570" s="116"/>
      <c r="N570" s="116">
        <v>200</v>
      </c>
      <c r="O570" s="116">
        <v>0</v>
      </c>
      <c r="P570" s="116"/>
      <c r="Q570" s="116"/>
      <c r="R570" s="116"/>
      <c r="S570" s="46">
        <v>468.36</v>
      </c>
      <c r="T570" s="117"/>
      <c r="U570" s="56" t="s">
        <v>949</v>
      </c>
      <c r="V570" s="105" t="s">
        <v>571</v>
      </c>
    </row>
    <row r="571" spans="1:22" s="18" customFormat="1" ht="17.25" x14ac:dyDescent="0.3">
      <c r="A571" s="40">
        <v>14123845</v>
      </c>
      <c r="B571" s="48" t="s">
        <v>973</v>
      </c>
      <c r="C571" s="41" t="s">
        <v>971</v>
      </c>
      <c r="D571" s="42" t="s">
        <v>3</v>
      </c>
      <c r="E571" s="43" t="s">
        <v>567</v>
      </c>
      <c r="F571" s="43" t="s">
        <v>568</v>
      </c>
      <c r="G571" s="44">
        <v>95</v>
      </c>
      <c r="H571" s="43" t="s">
        <v>569</v>
      </c>
      <c r="I571" s="45" t="s">
        <v>571</v>
      </c>
      <c r="J571" s="45" t="s">
        <v>546</v>
      </c>
      <c r="K571" s="116">
        <v>134.18</v>
      </c>
      <c r="L571" s="116">
        <v>134.18</v>
      </c>
      <c r="M571" s="116"/>
      <c r="N571" s="116">
        <v>0</v>
      </c>
      <c r="O571" s="116">
        <v>0</v>
      </c>
      <c r="P571" s="116"/>
      <c r="Q571" s="116"/>
      <c r="R571" s="116"/>
      <c r="S571" s="46">
        <v>268.36</v>
      </c>
      <c r="T571" s="117"/>
      <c r="U571" s="56" t="s">
        <v>949</v>
      </c>
      <c r="V571" s="105" t="s">
        <v>571</v>
      </c>
    </row>
    <row r="572" spans="1:22" s="18" customFormat="1" ht="17.25" x14ac:dyDescent="0.3">
      <c r="A572" s="39">
        <v>14123846</v>
      </c>
      <c r="B572" s="40" t="s">
        <v>974</v>
      </c>
      <c r="C572" s="41" t="s">
        <v>971</v>
      </c>
      <c r="D572" s="42" t="s">
        <v>3</v>
      </c>
      <c r="E572" s="43" t="s">
        <v>567</v>
      </c>
      <c r="F572" s="43" t="s">
        <v>568</v>
      </c>
      <c r="G572" s="44">
        <v>94</v>
      </c>
      <c r="H572" s="43" t="s">
        <v>569</v>
      </c>
      <c r="I572" s="45" t="s">
        <v>569</v>
      </c>
      <c r="J572" s="45" t="s">
        <v>546</v>
      </c>
      <c r="K572" s="116">
        <v>134.18</v>
      </c>
      <c r="L572" s="116">
        <v>134.18</v>
      </c>
      <c r="M572" s="116"/>
      <c r="N572" s="116">
        <v>200</v>
      </c>
      <c r="O572" s="116">
        <v>177.44</v>
      </c>
      <c r="P572" s="116"/>
      <c r="Q572" s="116"/>
      <c r="R572" s="116"/>
      <c r="S572" s="46">
        <v>645.79999999999995</v>
      </c>
      <c r="T572" s="117"/>
      <c r="U572" s="56" t="s">
        <v>949</v>
      </c>
      <c r="V572" s="105" t="s">
        <v>571</v>
      </c>
    </row>
    <row r="573" spans="1:22" s="18" customFormat="1" ht="17.25" x14ac:dyDescent="0.3">
      <c r="A573" s="39">
        <v>14123855</v>
      </c>
      <c r="B573" s="48" t="s">
        <v>975</v>
      </c>
      <c r="C573" s="41" t="s">
        <v>971</v>
      </c>
      <c r="D573" s="42" t="s">
        <v>3</v>
      </c>
      <c r="E573" s="43" t="s">
        <v>567</v>
      </c>
      <c r="F573" s="43" t="s">
        <v>568</v>
      </c>
      <c r="G573" s="44">
        <v>95</v>
      </c>
      <c r="H573" s="43" t="s">
        <v>569</v>
      </c>
      <c r="I573" s="45" t="s">
        <v>569</v>
      </c>
      <c r="J573" s="45" t="s">
        <v>546</v>
      </c>
      <c r="K573" s="116">
        <v>134.18</v>
      </c>
      <c r="L573" s="116">
        <v>134.18</v>
      </c>
      <c r="M573" s="116"/>
      <c r="N573" s="116">
        <v>200</v>
      </c>
      <c r="O573" s="116">
        <v>177.44</v>
      </c>
      <c r="P573" s="116"/>
      <c r="Q573" s="116"/>
      <c r="R573" s="116"/>
      <c r="S573" s="46">
        <v>645.79999999999995</v>
      </c>
      <c r="T573" s="117"/>
      <c r="U573" s="56" t="s">
        <v>949</v>
      </c>
      <c r="V573" s="105" t="s">
        <v>571</v>
      </c>
    </row>
    <row r="574" spans="1:22" s="18" customFormat="1" ht="17.25" x14ac:dyDescent="0.3">
      <c r="A574" s="39">
        <v>14123884</v>
      </c>
      <c r="B574" s="48" t="s">
        <v>976</v>
      </c>
      <c r="C574" s="41" t="s">
        <v>977</v>
      </c>
      <c r="D574" s="42" t="s">
        <v>3</v>
      </c>
      <c r="E574" s="43" t="s">
        <v>567</v>
      </c>
      <c r="F574" s="43" t="s">
        <v>568</v>
      </c>
      <c r="G574" s="44">
        <v>95</v>
      </c>
      <c r="H574" s="43" t="s">
        <v>569</v>
      </c>
      <c r="I574" s="45" t="s">
        <v>569</v>
      </c>
      <c r="J574" s="45" t="s">
        <v>546</v>
      </c>
      <c r="K574" s="116">
        <v>134.18</v>
      </c>
      <c r="L574" s="116">
        <v>134.18</v>
      </c>
      <c r="M574" s="116"/>
      <c r="N574" s="116">
        <v>200</v>
      </c>
      <c r="O574" s="116">
        <v>177.44</v>
      </c>
      <c r="P574" s="116"/>
      <c r="Q574" s="116"/>
      <c r="R574" s="116"/>
      <c r="S574" s="46">
        <v>645.79999999999995</v>
      </c>
      <c r="T574" s="117"/>
      <c r="U574" s="56" t="s">
        <v>949</v>
      </c>
      <c r="V574" s="105" t="s">
        <v>571</v>
      </c>
    </row>
    <row r="575" spans="1:22" s="18" customFormat="1" ht="17.25" x14ac:dyDescent="0.3">
      <c r="A575" s="39">
        <v>14123885</v>
      </c>
      <c r="B575" s="48" t="s">
        <v>978</v>
      </c>
      <c r="C575" s="41" t="s">
        <v>977</v>
      </c>
      <c r="D575" s="42" t="s">
        <v>3</v>
      </c>
      <c r="E575" s="43" t="s">
        <v>567</v>
      </c>
      <c r="F575" s="43" t="s">
        <v>568</v>
      </c>
      <c r="G575" s="44">
        <v>95</v>
      </c>
      <c r="H575" s="43" t="s">
        <v>569</v>
      </c>
      <c r="I575" s="45" t="s">
        <v>569</v>
      </c>
      <c r="J575" s="45" t="s">
        <v>546</v>
      </c>
      <c r="K575" s="116">
        <v>134.18</v>
      </c>
      <c r="L575" s="116">
        <v>134.18</v>
      </c>
      <c r="M575" s="116"/>
      <c r="N575" s="116">
        <v>200</v>
      </c>
      <c r="O575" s="116">
        <v>177.44</v>
      </c>
      <c r="P575" s="116"/>
      <c r="Q575" s="116"/>
      <c r="R575" s="116"/>
      <c r="S575" s="46">
        <v>645.79999999999995</v>
      </c>
      <c r="T575" s="117"/>
      <c r="U575" s="56" t="s">
        <v>949</v>
      </c>
      <c r="V575" s="105" t="s">
        <v>571</v>
      </c>
    </row>
    <row r="576" spans="1:22" s="18" customFormat="1" ht="17.25" x14ac:dyDescent="0.3">
      <c r="A576" s="39">
        <v>14123893</v>
      </c>
      <c r="B576" s="48" t="s">
        <v>979</v>
      </c>
      <c r="C576" s="41" t="s">
        <v>980</v>
      </c>
      <c r="D576" s="42" t="s">
        <v>3</v>
      </c>
      <c r="E576" s="43" t="s">
        <v>567</v>
      </c>
      <c r="F576" s="43" t="s">
        <v>568</v>
      </c>
      <c r="G576" s="44">
        <v>95</v>
      </c>
      <c r="H576" s="43" t="s">
        <v>569</v>
      </c>
      <c r="I576" s="45" t="s">
        <v>571</v>
      </c>
      <c r="J576" s="45" t="s">
        <v>546</v>
      </c>
      <c r="K576" s="116">
        <v>134.18</v>
      </c>
      <c r="L576" s="116">
        <v>134.18</v>
      </c>
      <c r="M576" s="116"/>
      <c r="N576" s="116">
        <v>0</v>
      </c>
      <c r="O576" s="116">
        <v>0</v>
      </c>
      <c r="P576" s="116"/>
      <c r="Q576" s="116"/>
      <c r="R576" s="116"/>
      <c r="S576" s="46">
        <v>268.36</v>
      </c>
      <c r="T576" s="117"/>
      <c r="U576" s="56" t="s">
        <v>949</v>
      </c>
      <c r="V576" s="105" t="s">
        <v>571</v>
      </c>
    </row>
    <row r="577" spans="1:22" s="18" customFormat="1" ht="17.25" x14ac:dyDescent="0.3">
      <c r="A577" s="48">
        <v>14123894</v>
      </c>
      <c r="B577" s="40" t="s">
        <v>981</v>
      </c>
      <c r="C577" s="41" t="s">
        <v>980</v>
      </c>
      <c r="D577" s="42" t="s">
        <v>3</v>
      </c>
      <c r="E577" s="43" t="s">
        <v>567</v>
      </c>
      <c r="F577" s="43" t="s">
        <v>568</v>
      </c>
      <c r="G577" s="44">
        <v>94</v>
      </c>
      <c r="H577" s="43" t="s">
        <v>569</v>
      </c>
      <c r="I577" s="45" t="s">
        <v>571</v>
      </c>
      <c r="J577" s="45" t="s">
        <v>546</v>
      </c>
      <c r="K577" s="116">
        <v>134.18</v>
      </c>
      <c r="L577" s="116">
        <v>134.18</v>
      </c>
      <c r="M577" s="116"/>
      <c r="N577" s="116">
        <v>0</v>
      </c>
      <c r="O577" s="116">
        <v>0</v>
      </c>
      <c r="P577" s="116"/>
      <c r="Q577" s="116"/>
      <c r="R577" s="116"/>
      <c r="S577" s="46">
        <v>268.36</v>
      </c>
      <c r="T577" s="117"/>
      <c r="U577" s="56" t="s">
        <v>949</v>
      </c>
      <c r="V577" s="105" t="s">
        <v>571</v>
      </c>
    </row>
    <row r="578" spans="1:22" s="18" customFormat="1" ht="17.25" x14ac:dyDescent="0.3">
      <c r="A578" s="48">
        <v>14123917</v>
      </c>
      <c r="B578" s="40" t="s">
        <v>989</v>
      </c>
      <c r="C578" s="41" t="s">
        <v>990</v>
      </c>
      <c r="D578" s="42" t="s">
        <v>3</v>
      </c>
      <c r="E578" s="43" t="s">
        <v>567</v>
      </c>
      <c r="F578" s="43" t="s">
        <v>568</v>
      </c>
      <c r="G578" s="44">
        <v>95</v>
      </c>
      <c r="H578" s="43" t="s">
        <v>569</v>
      </c>
      <c r="I578" s="45" t="s">
        <v>569</v>
      </c>
      <c r="J578" s="45" t="s">
        <v>546</v>
      </c>
      <c r="K578" s="116">
        <v>134.18</v>
      </c>
      <c r="L578" s="116">
        <v>134.18</v>
      </c>
      <c r="M578" s="116"/>
      <c r="N578" s="116">
        <v>200</v>
      </c>
      <c r="O578" s="116">
        <v>177.44</v>
      </c>
      <c r="P578" s="116"/>
      <c r="Q578" s="116"/>
      <c r="R578" s="116"/>
      <c r="S578" s="46">
        <v>645.79999999999995</v>
      </c>
      <c r="T578" s="117"/>
      <c r="U578" s="56" t="s">
        <v>949</v>
      </c>
      <c r="V578" s="105" t="s">
        <v>571</v>
      </c>
    </row>
    <row r="579" spans="1:22" s="18" customFormat="1" ht="17.25" x14ac:dyDescent="0.3">
      <c r="A579" s="40">
        <v>14123918</v>
      </c>
      <c r="B579" s="40" t="s">
        <v>991</v>
      </c>
      <c r="C579" s="41" t="s">
        <v>990</v>
      </c>
      <c r="D579" s="42" t="s">
        <v>3</v>
      </c>
      <c r="E579" s="43" t="s">
        <v>567</v>
      </c>
      <c r="F579" s="43" t="s">
        <v>568</v>
      </c>
      <c r="G579" s="44"/>
      <c r="H579" s="43" t="s">
        <v>571</v>
      </c>
      <c r="I579" s="45" t="s">
        <v>569</v>
      </c>
      <c r="J579" s="45" t="s">
        <v>573</v>
      </c>
      <c r="K579" s="116">
        <v>0</v>
      </c>
      <c r="L579" s="116">
        <v>0</v>
      </c>
      <c r="M579" s="116"/>
      <c r="N579" s="116">
        <v>0</v>
      </c>
      <c r="O579" s="116">
        <v>0</v>
      </c>
      <c r="P579" s="116"/>
      <c r="Q579" s="116"/>
      <c r="R579" s="116"/>
      <c r="S579" s="46">
        <v>0</v>
      </c>
      <c r="T579" s="117"/>
      <c r="U579" s="56" t="s">
        <v>571</v>
      </c>
      <c r="V579" s="105" t="s">
        <v>571</v>
      </c>
    </row>
    <row r="580" spans="1:22" s="18" customFormat="1" ht="17.25" x14ac:dyDescent="0.3">
      <c r="A580" s="40">
        <v>14123919</v>
      </c>
      <c r="B580" s="48" t="s">
        <v>992</v>
      </c>
      <c r="C580" s="41" t="s">
        <v>990</v>
      </c>
      <c r="D580" s="42" t="s">
        <v>3</v>
      </c>
      <c r="E580" s="43" t="s">
        <v>567</v>
      </c>
      <c r="F580" s="43" t="s">
        <v>568</v>
      </c>
      <c r="G580" s="44">
        <v>90</v>
      </c>
      <c r="H580" s="43" t="s">
        <v>569</v>
      </c>
      <c r="I580" s="45" t="s">
        <v>569</v>
      </c>
      <c r="J580" s="45" t="s">
        <v>573</v>
      </c>
      <c r="K580" s="116">
        <v>134.18</v>
      </c>
      <c r="L580" s="116">
        <v>134.18</v>
      </c>
      <c r="M580" s="116"/>
      <c r="N580" s="116">
        <v>200</v>
      </c>
      <c r="O580" s="116">
        <v>0</v>
      </c>
      <c r="P580" s="116"/>
      <c r="Q580" s="116"/>
      <c r="R580" s="116"/>
      <c r="S580" s="46">
        <v>468.36</v>
      </c>
      <c r="T580" s="117"/>
      <c r="U580" s="56" t="s">
        <v>949</v>
      </c>
      <c r="V580" s="105" t="s">
        <v>571</v>
      </c>
    </row>
    <row r="581" spans="1:22" s="18" customFormat="1" ht="17.25" x14ac:dyDescent="0.3">
      <c r="A581" s="40">
        <v>14123920</v>
      </c>
      <c r="B581" s="48" t="s">
        <v>993</v>
      </c>
      <c r="C581" s="41" t="s">
        <v>990</v>
      </c>
      <c r="D581" s="42" t="s">
        <v>3</v>
      </c>
      <c r="E581" s="43" t="s">
        <v>567</v>
      </c>
      <c r="F581" s="43" t="s">
        <v>568</v>
      </c>
      <c r="G581" s="44">
        <v>94</v>
      </c>
      <c r="H581" s="43" t="s">
        <v>569</v>
      </c>
      <c r="I581" s="45" t="s">
        <v>571</v>
      </c>
      <c r="J581" s="45" t="s">
        <v>546</v>
      </c>
      <c r="K581" s="116">
        <v>134.18</v>
      </c>
      <c r="L581" s="116">
        <v>134.18</v>
      </c>
      <c r="M581" s="116"/>
      <c r="N581" s="116">
        <v>0</v>
      </c>
      <c r="O581" s="116">
        <v>0</v>
      </c>
      <c r="P581" s="116"/>
      <c r="Q581" s="116"/>
      <c r="R581" s="116"/>
      <c r="S581" s="46">
        <v>268.36</v>
      </c>
      <c r="T581" s="117"/>
      <c r="U581" s="56" t="s">
        <v>949</v>
      </c>
      <c r="V581" s="105" t="s">
        <v>571</v>
      </c>
    </row>
    <row r="582" spans="1:22" s="18" customFormat="1" ht="17.25" x14ac:dyDescent="0.3">
      <c r="A582" s="40">
        <v>14123925</v>
      </c>
      <c r="B582" s="40" t="s">
        <v>994</v>
      </c>
      <c r="C582" s="41" t="s">
        <v>986</v>
      </c>
      <c r="D582" s="42" t="s">
        <v>3</v>
      </c>
      <c r="E582" s="43" t="s">
        <v>567</v>
      </c>
      <c r="F582" s="43" t="s">
        <v>568</v>
      </c>
      <c r="G582" s="44">
        <v>94</v>
      </c>
      <c r="H582" s="43" t="s">
        <v>569</v>
      </c>
      <c r="I582" s="45" t="s">
        <v>571</v>
      </c>
      <c r="J582" s="45" t="s">
        <v>546</v>
      </c>
      <c r="K582" s="116">
        <v>134.18</v>
      </c>
      <c r="L582" s="116">
        <v>134.18</v>
      </c>
      <c r="M582" s="116"/>
      <c r="N582" s="116">
        <v>0</v>
      </c>
      <c r="O582" s="116">
        <v>0</v>
      </c>
      <c r="P582" s="116"/>
      <c r="Q582" s="116"/>
      <c r="R582" s="116"/>
      <c r="S582" s="46">
        <v>268.36</v>
      </c>
      <c r="T582" s="117"/>
      <c r="U582" s="56" t="s">
        <v>949</v>
      </c>
      <c r="V582" s="105" t="s">
        <v>571</v>
      </c>
    </row>
    <row r="583" spans="1:22" ht="17.25" x14ac:dyDescent="0.3">
      <c r="A583" s="48">
        <v>14123926</v>
      </c>
      <c r="B583" s="48" t="s">
        <v>995</v>
      </c>
      <c r="C583" s="41" t="s">
        <v>986</v>
      </c>
      <c r="D583" s="42" t="s">
        <v>3</v>
      </c>
      <c r="E583" s="43" t="s">
        <v>567</v>
      </c>
      <c r="F583" s="43" t="s">
        <v>568</v>
      </c>
      <c r="G583" s="44">
        <v>89</v>
      </c>
      <c r="H583" s="43" t="s">
        <v>571</v>
      </c>
      <c r="I583" s="45" t="s">
        <v>569</v>
      </c>
      <c r="J583" s="45" t="s">
        <v>573</v>
      </c>
      <c r="K583" s="116">
        <v>134.18</v>
      </c>
      <c r="L583" s="116">
        <v>134.18</v>
      </c>
      <c r="M583" s="116"/>
      <c r="N583" s="116">
        <v>0</v>
      </c>
      <c r="O583" s="116">
        <v>0</v>
      </c>
      <c r="P583" s="116"/>
      <c r="Q583" s="116"/>
      <c r="R583" s="116"/>
      <c r="S583" s="46">
        <v>268.36</v>
      </c>
      <c r="T583" s="117"/>
      <c r="U583" s="56" t="s">
        <v>949</v>
      </c>
      <c r="V583" s="105" t="s">
        <v>571</v>
      </c>
    </row>
    <row r="584" spans="1:22" ht="17.25" x14ac:dyDescent="0.3">
      <c r="A584" s="48">
        <v>14123927</v>
      </c>
      <c r="B584" s="48" t="s">
        <v>996</v>
      </c>
      <c r="C584" s="41" t="s">
        <v>986</v>
      </c>
      <c r="D584" s="42" t="s">
        <v>3</v>
      </c>
      <c r="E584" s="43" t="s">
        <v>567</v>
      </c>
      <c r="F584" s="43" t="s">
        <v>568</v>
      </c>
      <c r="G584" s="44">
        <v>88</v>
      </c>
      <c r="H584" s="43" t="s">
        <v>571</v>
      </c>
      <c r="I584" s="45" t="s">
        <v>569</v>
      </c>
      <c r="J584" s="45" t="s">
        <v>573</v>
      </c>
      <c r="K584" s="116">
        <v>0</v>
      </c>
      <c r="L584" s="116">
        <v>0</v>
      </c>
      <c r="M584" s="116"/>
      <c r="N584" s="116">
        <v>0</v>
      </c>
      <c r="O584" s="116">
        <v>0</v>
      </c>
      <c r="P584" s="116"/>
      <c r="Q584" s="116"/>
      <c r="R584" s="116"/>
      <c r="S584" s="46">
        <v>0</v>
      </c>
      <c r="T584" s="117"/>
      <c r="U584" s="56" t="s">
        <v>571</v>
      </c>
      <c r="V584" s="105" t="s">
        <v>571</v>
      </c>
    </row>
    <row r="585" spans="1:22" ht="17.25" x14ac:dyDescent="0.3">
      <c r="A585" s="40">
        <v>14123950</v>
      </c>
      <c r="B585" s="48" t="s">
        <v>997</v>
      </c>
      <c r="C585" s="41" t="s">
        <v>986</v>
      </c>
      <c r="D585" s="42" t="s">
        <v>3</v>
      </c>
      <c r="E585" s="43" t="s">
        <v>567</v>
      </c>
      <c r="F585" s="43" t="s">
        <v>568</v>
      </c>
      <c r="G585" s="44">
        <v>90</v>
      </c>
      <c r="H585" s="43" t="s">
        <v>569</v>
      </c>
      <c r="I585" s="45" t="s">
        <v>569</v>
      </c>
      <c r="J585" s="45" t="s">
        <v>573</v>
      </c>
      <c r="K585" s="116">
        <v>0</v>
      </c>
      <c r="L585" s="116">
        <v>0</v>
      </c>
      <c r="M585" s="116"/>
      <c r="N585" s="116">
        <v>0</v>
      </c>
      <c r="O585" s="116">
        <v>0</v>
      </c>
      <c r="P585" s="116"/>
      <c r="Q585" s="116"/>
      <c r="R585" s="116"/>
      <c r="S585" s="46">
        <v>0</v>
      </c>
      <c r="T585" s="117"/>
      <c r="U585" s="56" t="s">
        <v>571</v>
      </c>
      <c r="V585" s="105" t="s">
        <v>571</v>
      </c>
    </row>
    <row r="586" spans="1:22" ht="17.25" x14ac:dyDescent="0.3">
      <c r="A586" s="40">
        <v>14123951</v>
      </c>
      <c r="B586" s="48" t="s">
        <v>998</v>
      </c>
      <c r="C586" s="41" t="s">
        <v>986</v>
      </c>
      <c r="D586" s="42" t="s">
        <v>3</v>
      </c>
      <c r="E586" s="43" t="s">
        <v>567</v>
      </c>
      <c r="F586" s="43" t="s">
        <v>568</v>
      </c>
      <c r="G586" s="44">
        <v>22</v>
      </c>
      <c r="H586" s="43" t="s">
        <v>571</v>
      </c>
      <c r="I586" s="45" t="s">
        <v>569</v>
      </c>
      <c r="J586" s="45" t="s">
        <v>573</v>
      </c>
      <c r="K586" s="116">
        <v>0</v>
      </c>
      <c r="L586" s="116">
        <v>0</v>
      </c>
      <c r="M586" s="116"/>
      <c r="N586" s="116">
        <v>0</v>
      </c>
      <c r="O586" s="116">
        <v>0</v>
      </c>
      <c r="P586" s="116"/>
      <c r="Q586" s="116"/>
      <c r="R586" s="116"/>
      <c r="S586" s="46">
        <v>0</v>
      </c>
      <c r="T586" s="117"/>
      <c r="U586" s="56" t="s">
        <v>571</v>
      </c>
      <c r="V586" s="105" t="s">
        <v>571</v>
      </c>
    </row>
    <row r="587" spans="1:22" ht="17.25" x14ac:dyDescent="0.3">
      <c r="A587" s="120">
        <v>14123971</v>
      </c>
      <c r="B587" s="120" t="s">
        <v>999</v>
      </c>
      <c r="C587" s="121" t="s">
        <v>1000</v>
      </c>
      <c r="D587" s="122" t="s">
        <v>3</v>
      </c>
      <c r="E587" s="43" t="s">
        <v>567</v>
      </c>
      <c r="F587" s="43" t="s">
        <v>568</v>
      </c>
      <c r="G587" s="44">
        <v>92</v>
      </c>
      <c r="H587" s="43" t="s">
        <v>569</v>
      </c>
      <c r="I587" s="45" t="s">
        <v>569</v>
      </c>
      <c r="J587" s="45" t="s">
        <v>573</v>
      </c>
      <c r="K587" s="116">
        <v>0</v>
      </c>
      <c r="L587" s="116">
        <v>0</v>
      </c>
      <c r="M587" s="116"/>
      <c r="N587" s="116">
        <v>0</v>
      </c>
      <c r="O587" s="116">
        <v>0</v>
      </c>
      <c r="P587" s="116"/>
      <c r="Q587" s="116"/>
      <c r="R587" s="116"/>
      <c r="S587" s="46">
        <v>0</v>
      </c>
      <c r="T587" s="117"/>
      <c r="U587" s="56" t="s">
        <v>571</v>
      </c>
      <c r="V587" s="105" t="s">
        <v>571</v>
      </c>
    </row>
    <row r="588" spans="1:22" ht="17.25" x14ac:dyDescent="0.3">
      <c r="A588" s="123">
        <v>14123985</v>
      </c>
      <c r="B588" s="123" t="s">
        <v>1001</v>
      </c>
      <c r="C588" s="121" t="s">
        <v>1000</v>
      </c>
      <c r="D588" s="122" t="s">
        <v>3</v>
      </c>
      <c r="E588" s="43" t="s">
        <v>567</v>
      </c>
      <c r="F588" s="43" t="s">
        <v>568</v>
      </c>
      <c r="G588" s="44">
        <v>92</v>
      </c>
      <c r="H588" s="43" t="s">
        <v>569</v>
      </c>
      <c r="I588" s="45" t="s">
        <v>569</v>
      </c>
      <c r="J588" s="45" t="s">
        <v>573</v>
      </c>
      <c r="K588" s="116">
        <v>0</v>
      </c>
      <c r="L588" s="116">
        <v>0</v>
      </c>
      <c r="M588" s="116"/>
      <c r="N588" s="116">
        <v>0</v>
      </c>
      <c r="O588" s="116">
        <v>0</v>
      </c>
      <c r="P588" s="116"/>
      <c r="Q588" s="116"/>
      <c r="R588" s="116"/>
      <c r="S588" s="46">
        <v>0</v>
      </c>
      <c r="T588" s="117"/>
      <c r="U588" s="56" t="s">
        <v>571</v>
      </c>
      <c r="V588" s="105" t="s">
        <v>571</v>
      </c>
    </row>
    <row r="589" spans="1:22" ht="17.25" x14ac:dyDescent="0.3">
      <c r="A589" s="123">
        <v>14123986</v>
      </c>
      <c r="B589" s="123" t="s">
        <v>1002</v>
      </c>
      <c r="C589" s="121" t="s">
        <v>1000</v>
      </c>
      <c r="D589" s="122" t="s">
        <v>3</v>
      </c>
      <c r="E589" s="43" t="s">
        <v>567</v>
      </c>
      <c r="F589" s="43" t="s">
        <v>568</v>
      </c>
      <c r="G589" s="44">
        <v>93</v>
      </c>
      <c r="H589" s="43" t="s">
        <v>569</v>
      </c>
      <c r="I589" s="45" t="s">
        <v>569</v>
      </c>
      <c r="J589" s="45" t="s">
        <v>573</v>
      </c>
      <c r="K589" s="116">
        <v>0</v>
      </c>
      <c r="L589" s="116">
        <v>0</v>
      </c>
      <c r="M589" s="116"/>
      <c r="N589" s="116">
        <v>0</v>
      </c>
      <c r="O589" s="116">
        <v>0</v>
      </c>
      <c r="P589" s="116"/>
      <c r="Q589" s="116"/>
      <c r="R589" s="116"/>
      <c r="S589" s="46">
        <v>0</v>
      </c>
      <c r="T589" s="117"/>
      <c r="U589" s="56" t="s">
        <v>571</v>
      </c>
      <c r="V589" s="105" t="s">
        <v>571</v>
      </c>
    </row>
    <row r="590" spans="1:22" ht="17.25" x14ac:dyDescent="0.3">
      <c r="A590" s="120">
        <v>14123987</v>
      </c>
      <c r="B590" s="123" t="s">
        <v>1003</v>
      </c>
      <c r="C590" s="121" t="s">
        <v>1000</v>
      </c>
      <c r="D590" s="122" t="s">
        <v>3</v>
      </c>
      <c r="E590" s="43" t="s">
        <v>567</v>
      </c>
      <c r="F590" s="43" t="s">
        <v>568</v>
      </c>
      <c r="G590" s="44">
        <v>95</v>
      </c>
      <c r="H590" s="43" t="s">
        <v>569</v>
      </c>
      <c r="I590" s="45" t="s">
        <v>569</v>
      </c>
      <c r="J590" s="45" t="s">
        <v>573</v>
      </c>
      <c r="K590" s="116">
        <v>0</v>
      </c>
      <c r="L590" s="116">
        <v>0</v>
      </c>
      <c r="M590" s="116"/>
      <c r="N590" s="116">
        <v>0</v>
      </c>
      <c r="O590" s="116">
        <v>0</v>
      </c>
      <c r="P590" s="116"/>
      <c r="Q590" s="116"/>
      <c r="R590" s="116"/>
      <c r="S590" s="46">
        <v>0</v>
      </c>
      <c r="T590" s="117"/>
      <c r="U590" s="56" t="s">
        <v>571</v>
      </c>
      <c r="V590" s="105" t="s">
        <v>571</v>
      </c>
    </row>
    <row r="591" spans="1:22" ht="17.25" x14ac:dyDescent="0.3">
      <c r="A591" s="120">
        <v>14123988</v>
      </c>
      <c r="B591" s="123" t="s">
        <v>1004</v>
      </c>
      <c r="C591" s="121" t="s">
        <v>1000</v>
      </c>
      <c r="D591" s="122" t="s">
        <v>3</v>
      </c>
      <c r="E591" s="43" t="s">
        <v>567</v>
      </c>
      <c r="F591" s="43" t="s">
        <v>568</v>
      </c>
      <c r="G591" s="44">
        <v>95</v>
      </c>
      <c r="H591" s="43" t="s">
        <v>569</v>
      </c>
      <c r="I591" s="45" t="s">
        <v>569</v>
      </c>
      <c r="J591" s="45" t="s">
        <v>573</v>
      </c>
      <c r="K591" s="116">
        <v>0</v>
      </c>
      <c r="L591" s="116">
        <v>0</v>
      </c>
      <c r="M591" s="116"/>
      <c r="N591" s="116">
        <v>0</v>
      </c>
      <c r="O591" s="116">
        <v>0</v>
      </c>
      <c r="P591" s="116"/>
      <c r="Q591" s="116"/>
      <c r="R591" s="116"/>
      <c r="S591" s="46">
        <v>0</v>
      </c>
      <c r="T591" s="117"/>
      <c r="U591" s="56" t="s">
        <v>571</v>
      </c>
      <c r="V591" s="105" t="s">
        <v>571</v>
      </c>
    </row>
    <row r="592" spans="1:22" ht="17.25" x14ac:dyDescent="0.3">
      <c r="A592" s="120">
        <v>14124002</v>
      </c>
      <c r="B592" s="120" t="s">
        <v>1005</v>
      </c>
      <c r="C592" s="121" t="s">
        <v>984</v>
      </c>
      <c r="D592" s="122" t="s">
        <v>3</v>
      </c>
      <c r="E592" s="43" t="s">
        <v>567</v>
      </c>
      <c r="F592" s="43" t="s">
        <v>568</v>
      </c>
      <c r="G592" s="44"/>
      <c r="H592" s="43" t="s">
        <v>571</v>
      </c>
      <c r="I592" s="45" t="s">
        <v>569</v>
      </c>
      <c r="J592" s="45" t="s">
        <v>573</v>
      </c>
      <c r="K592" s="116">
        <v>0</v>
      </c>
      <c r="L592" s="116">
        <v>0</v>
      </c>
      <c r="M592" s="116"/>
      <c r="N592" s="116">
        <v>0</v>
      </c>
      <c r="O592" s="116">
        <v>0</v>
      </c>
      <c r="P592" s="116"/>
      <c r="Q592" s="116"/>
      <c r="R592" s="116"/>
      <c r="S592" s="46">
        <v>0</v>
      </c>
      <c r="T592" s="117"/>
      <c r="U592" s="56" t="s">
        <v>571</v>
      </c>
      <c r="V592" s="105" t="s">
        <v>571</v>
      </c>
    </row>
    <row r="593" spans="1:22" ht="17.25" x14ac:dyDescent="0.3">
      <c r="A593" s="123">
        <v>14124020</v>
      </c>
      <c r="B593" s="123" t="s">
        <v>1006</v>
      </c>
      <c r="C593" s="121" t="s">
        <v>1007</v>
      </c>
      <c r="D593" s="122" t="s">
        <v>3</v>
      </c>
      <c r="E593" s="43" t="s">
        <v>567</v>
      </c>
      <c r="F593" s="43" t="s">
        <v>568</v>
      </c>
      <c r="G593" s="44"/>
      <c r="H593" s="43" t="s">
        <v>571</v>
      </c>
      <c r="I593" s="45" t="s">
        <v>569</v>
      </c>
      <c r="J593" s="45" t="s">
        <v>573</v>
      </c>
      <c r="K593" s="116">
        <v>0</v>
      </c>
      <c r="L593" s="116">
        <v>0</v>
      </c>
      <c r="M593" s="116"/>
      <c r="N593" s="116">
        <v>0</v>
      </c>
      <c r="O593" s="116">
        <v>0</v>
      </c>
      <c r="P593" s="116"/>
      <c r="Q593" s="116"/>
      <c r="R593" s="116"/>
      <c r="S593" s="46">
        <v>0</v>
      </c>
      <c r="T593" s="117"/>
      <c r="U593" s="56" t="s">
        <v>571</v>
      </c>
      <c r="V593" s="105" t="s">
        <v>571</v>
      </c>
    </row>
    <row r="594" spans="1:22" ht="17.25" x14ac:dyDescent="0.3">
      <c r="A594" s="123">
        <v>14124028</v>
      </c>
      <c r="B594" s="123" t="s">
        <v>1008</v>
      </c>
      <c r="C594" s="121" t="s">
        <v>1009</v>
      </c>
      <c r="D594" s="122" t="s">
        <v>3</v>
      </c>
      <c r="E594" s="43" t="s">
        <v>567</v>
      </c>
      <c r="F594" s="43" t="s">
        <v>568</v>
      </c>
      <c r="G594" s="44"/>
      <c r="H594" s="43" t="s">
        <v>571</v>
      </c>
      <c r="I594" s="45" t="s">
        <v>569</v>
      </c>
      <c r="J594" s="45" t="s">
        <v>573</v>
      </c>
      <c r="K594" s="116">
        <v>0</v>
      </c>
      <c r="L594" s="116">
        <v>0</v>
      </c>
      <c r="M594" s="116"/>
      <c r="N594" s="116">
        <v>0</v>
      </c>
      <c r="O594" s="116">
        <v>0</v>
      </c>
      <c r="P594" s="116"/>
      <c r="Q594" s="116"/>
      <c r="R594" s="116"/>
      <c r="S594" s="46">
        <v>0</v>
      </c>
      <c r="T594" s="117"/>
      <c r="U594" s="56" t="s">
        <v>571</v>
      </c>
      <c r="V594" s="105" t="s">
        <v>571</v>
      </c>
    </row>
    <row r="595" spans="1:22" ht="17.25" x14ac:dyDescent="0.3">
      <c r="A595" s="123">
        <v>14124031</v>
      </c>
      <c r="B595" s="123" t="s">
        <v>1010</v>
      </c>
      <c r="C595" s="121" t="s">
        <v>1009</v>
      </c>
      <c r="D595" s="122" t="s">
        <v>3</v>
      </c>
      <c r="E595" s="43" t="s">
        <v>567</v>
      </c>
      <c r="F595" s="43" t="s">
        <v>568</v>
      </c>
      <c r="G595" s="44"/>
      <c r="H595" s="43" t="s">
        <v>571</v>
      </c>
      <c r="I595" s="45" t="s">
        <v>569</v>
      </c>
      <c r="J595" s="45" t="s">
        <v>573</v>
      </c>
      <c r="K595" s="116">
        <v>0</v>
      </c>
      <c r="L595" s="116">
        <v>0</v>
      </c>
      <c r="M595" s="116"/>
      <c r="N595" s="116">
        <v>0</v>
      </c>
      <c r="O595" s="116">
        <v>0</v>
      </c>
      <c r="P595" s="116"/>
      <c r="Q595" s="116"/>
      <c r="R595" s="116"/>
      <c r="S595" s="46">
        <v>0</v>
      </c>
      <c r="U595" s="56" t="s">
        <v>571</v>
      </c>
      <c r="V595" s="105" t="s">
        <v>571</v>
      </c>
    </row>
    <row r="596" spans="1:22" ht="17.25" x14ac:dyDescent="0.3">
      <c r="A596" s="123">
        <v>14124041</v>
      </c>
      <c r="B596" s="123" t="s">
        <v>1011</v>
      </c>
      <c r="C596" s="121" t="s">
        <v>1012</v>
      </c>
      <c r="D596" s="122" t="s">
        <v>3</v>
      </c>
      <c r="E596" s="43" t="s">
        <v>567</v>
      </c>
      <c r="F596" s="43" t="s">
        <v>568</v>
      </c>
      <c r="G596" s="44"/>
      <c r="H596" s="43" t="s">
        <v>571</v>
      </c>
      <c r="I596" s="45" t="s">
        <v>569</v>
      </c>
      <c r="J596" s="45" t="s">
        <v>573</v>
      </c>
      <c r="K596" s="116">
        <v>0</v>
      </c>
      <c r="L596" s="116">
        <v>0</v>
      </c>
      <c r="M596" s="116"/>
      <c r="N596" s="116">
        <v>0</v>
      </c>
      <c r="O596" s="116">
        <v>0</v>
      </c>
      <c r="P596" s="116"/>
      <c r="Q596" s="116"/>
      <c r="R596" s="116"/>
      <c r="S596" s="46">
        <v>0</v>
      </c>
      <c r="U596" s="56" t="s">
        <v>571</v>
      </c>
      <c r="V596" s="105" t="s">
        <v>571</v>
      </c>
    </row>
    <row r="597" spans="1:22" ht="17.25" x14ac:dyDescent="0.3">
      <c r="A597" s="48">
        <v>14101142</v>
      </c>
      <c r="B597" s="48" t="s">
        <v>906</v>
      </c>
      <c r="C597" s="41" t="s">
        <v>907</v>
      </c>
      <c r="D597" s="42" t="s">
        <v>969</v>
      </c>
      <c r="E597" s="43" t="s">
        <v>567</v>
      </c>
      <c r="F597" s="43" t="s">
        <v>568</v>
      </c>
      <c r="G597" s="44">
        <v>88</v>
      </c>
      <c r="H597" s="43" t="s">
        <v>571</v>
      </c>
      <c r="I597" s="45" t="s">
        <v>569</v>
      </c>
      <c r="J597" s="45" t="s">
        <v>573</v>
      </c>
      <c r="K597" s="116">
        <v>134.18</v>
      </c>
      <c r="L597" s="116">
        <v>134.18</v>
      </c>
      <c r="M597" s="116"/>
      <c r="N597" s="116">
        <v>0</v>
      </c>
      <c r="O597" s="116">
        <v>0</v>
      </c>
      <c r="P597" s="116"/>
      <c r="Q597" s="116"/>
      <c r="R597" s="116"/>
      <c r="S597" s="46">
        <v>268.36</v>
      </c>
      <c r="U597" s="56" t="s">
        <v>949</v>
      </c>
      <c r="V597" s="105" t="s">
        <v>571</v>
      </c>
    </row>
    <row r="598" spans="1:22" ht="17.25" x14ac:dyDescent="0.3">
      <c r="A598" s="48">
        <v>14101145</v>
      </c>
      <c r="B598" s="48" t="s">
        <v>908</v>
      </c>
      <c r="C598" s="41" t="s">
        <v>909</v>
      </c>
      <c r="D598" s="42" t="s">
        <v>969</v>
      </c>
      <c r="E598" s="43" t="s">
        <v>567</v>
      </c>
      <c r="F598" s="43" t="s">
        <v>568</v>
      </c>
      <c r="G598" s="44">
        <v>90</v>
      </c>
      <c r="H598" s="43" t="s">
        <v>569</v>
      </c>
      <c r="I598" s="45" t="s">
        <v>569</v>
      </c>
      <c r="J598" s="45" t="s">
        <v>546</v>
      </c>
      <c r="K598" s="116">
        <v>134.18</v>
      </c>
      <c r="L598" s="116">
        <v>134.18</v>
      </c>
      <c r="M598" s="116"/>
      <c r="N598" s="116">
        <v>200</v>
      </c>
      <c r="O598" s="116">
        <v>177.44</v>
      </c>
      <c r="P598" s="116"/>
      <c r="Q598" s="116"/>
      <c r="R598" s="116"/>
      <c r="S598" s="46">
        <v>645.79999999999995</v>
      </c>
      <c r="U598" s="56" t="s">
        <v>949</v>
      </c>
      <c r="V598" s="105" t="s">
        <v>571</v>
      </c>
    </row>
    <row r="599" spans="1:22" ht="17.25" x14ac:dyDescent="0.3">
      <c r="A599" s="48">
        <v>14103700</v>
      </c>
      <c r="B599" s="48" t="s">
        <v>910</v>
      </c>
      <c r="C599" s="41" t="s">
        <v>911</v>
      </c>
      <c r="D599" s="42" t="s">
        <v>969</v>
      </c>
      <c r="E599" s="43" t="s">
        <v>567</v>
      </c>
      <c r="F599" s="43" t="s">
        <v>568</v>
      </c>
      <c r="G599" s="44">
        <v>95</v>
      </c>
      <c r="H599" s="43" t="s">
        <v>569</v>
      </c>
      <c r="I599" s="45" t="s">
        <v>569</v>
      </c>
      <c r="J599" s="45" t="s">
        <v>546</v>
      </c>
      <c r="K599" s="116">
        <v>134.18</v>
      </c>
      <c r="L599" s="116">
        <v>134.18</v>
      </c>
      <c r="M599" s="116"/>
      <c r="N599" s="116">
        <v>200</v>
      </c>
      <c r="O599" s="116">
        <v>177.44</v>
      </c>
      <c r="P599" s="116"/>
      <c r="Q599" s="116"/>
      <c r="R599" s="116"/>
      <c r="S599" s="46">
        <v>645.79999999999995</v>
      </c>
      <c r="U599" s="56" t="s">
        <v>949</v>
      </c>
      <c r="V599" s="105" t="s">
        <v>571</v>
      </c>
    </row>
    <row r="600" spans="1:22" ht="17.25" x14ac:dyDescent="0.3">
      <c r="A600" s="48">
        <v>14109275</v>
      </c>
      <c r="B600" s="48" t="s">
        <v>912</v>
      </c>
      <c r="C600" s="41" t="s">
        <v>913</v>
      </c>
      <c r="D600" s="42" t="s">
        <v>969</v>
      </c>
      <c r="E600" s="43" t="s">
        <v>567</v>
      </c>
      <c r="F600" s="43" t="s">
        <v>568</v>
      </c>
      <c r="G600" s="44">
        <v>95</v>
      </c>
      <c r="H600" s="43" t="s">
        <v>569</v>
      </c>
      <c r="I600" s="45" t="s">
        <v>569</v>
      </c>
      <c r="J600" s="45" t="s">
        <v>546</v>
      </c>
      <c r="K600" s="116">
        <v>134.18</v>
      </c>
      <c r="L600" s="116">
        <v>134.18</v>
      </c>
      <c r="M600" s="116"/>
      <c r="N600" s="116">
        <v>200</v>
      </c>
      <c r="O600" s="116">
        <v>177.44</v>
      </c>
      <c r="P600" s="116"/>
      <c r="Q600" s="116"/>
      <c r="R600" s="116"/>
      <c r="S600" s="46">
        <v>645.79999999999995</v>
      </c>
      <c r="U600" s="56" t="s">
        <v>949</v>
      </c>
      <c r="V600" s="105" t="s">
        <v>571</v>
      </c>
    </row>
    <row r="601" spans="1:22" ht="17.25" x14ac:dyDescent="0.3">
      <c r="A601" s="48">
        <v>14109276</v>
      </c>
      <c r="B601" s="48" t="s">
        <v>914</v>
      </c>
      <c r="C601" s="41" t="s">
        <v>915</v>
      </c>
      <c r="D601" s="42" t="s">
        <v>969</v>
      </c>
      <c r="E601" s="43" t="s">
        <v>567</v>
      </c>
      <c r="F601" s="43" t="s">
        <v>568</v>
      </c>
      <c r="G601" s="44">
        <v>93</v>
      </c>
      <c r="H601" s="43" t="s">
        <v>569</v>
      </c>
      <c r="I601" s="45" t="s">
        <v>569</v>
      </c>
      <c r="J601" s="45" t="s">
        <v>546</v>
      </c>
      <c r="K601" s="116">
        <v>134.18</v>
      </c>
      <c r="L601" s="116">
        <v>134.18</v>
      </c>
      <c r="M601" s="116"/>
      <c r="N601" s="116">
        <v>200</v>
      </c>
      <c r="O601" s="116">
        <v>177.44</v>
      </c>
      <c r="P601" s="116"/>
      <c r="Q601" s="116"/>
      <c r="R601" s="116"/>
      <c r="S601" s="46">
        <v>645.79999999999995</v>
      </c>
      <c r="U601" s="56" t="s">
        <v>949</v>
      </c>
      <c r="V601" s="105" t="s">
        <v>571</v>
      </c>
    </row>
    <row r="602" spans="1:22" ht="17.25" x14ac:dyDescent="0.3">
      <c r="A602" s="48"/>
      <c r="B602" s="48"/>
      <c r="C602" s="41"/>
      <c r="D602" s="42"/>
      <c r="E602" s="43" t="s">
        <v>567</v>
      </c>
      <c r="F602" s="43" t="s">
        <v>568</v>
      </c>
      <c r="G602" s="44"/>
      <c r="H602" s="43" t="s">
        <v>571</v>
      </c>
      <c r="I602" s="45" t="s">
        <v>569</v>
      </c>
      <c r="J602" s="45" t="s">
        <v>573</v>
      </c>
      <c r="K602" s="116">
        <v>0</v>
      </c>
      <c r="L602" s="116">
        <v>0</v>
      </c>
      <c r="M602" s="116"/>
      <c r="N602" s="116">
        <v>0</v>
      </c>
      <c r="O602" s="116">
        <v>0</v>
      </c>
      <c r="P602" s="116"/>
      <c r="Q602" s="116"/>
      <c r="R602" s="116"/>
      <c r="S602" s="46">
        <v>0</v>
      </c>
      <c r="U602" s="56" t="s">
        <v>571</v>
      </c>
      <c r="V602" s="105" t="s">
        <v>571</v>
      </c>
    </row>
    <row r="603" spans="1:22" ht="17.25" x14ac:dyDescent="0.3">
      <c r="A603" s="48"/>
      <c r="B603" s="48"/>
      <c r="C603" s="41"/>
      <c r="D603" s="42"/>
      <c r="E603" s="43"/>
      <c r="F603" s="43"/>
      <c r="G603" s="44"/>
      <c r="H603" s="43"/>
      <c r="I603" s="45"/>
      <c r="J603" s="45"/>
      <c r="K603" s="116"/>
      <c r="L603" s="116"/>
      <c r="M603" s="116"/>
      <c r="N603" s="116"/>
      <c r="O603" s="116"/>
      <c r="P603" s="124"/>
      <c r="Q603" s="125"/>
      <c r="R603" s="124"/>
      <c r="S603" s="46"/>
      <c r="V603" s="47"/>
    </row>
    <row r="604" spans="1:22" ht="17.25" x14ac:dyDescent="0.3">
      <c r="A604" s="48"/>
      <c r="B604" s="48"/>
      <c r="C604" s="41"/>
      <c r="D604" s="42"/>
      <c r="E604" s="43"/>
      <c r="F604" s="43"/>
      <c r="G604" s="44"/>
      <c r="H604" s="43"/>
      <c r="I604" s="45"/>
      <c r="J604" s="45"/>
      <c r="K604" s="116"/>
      <c r="L604" s="116"/>
      <c r="M604" s="116"/>
      <c r="N604" s="116"/>
      <c r="O604" s="116"/>
      <c r="P604" s="124"/>
      <c r="Q604" s="125"/>
      <c r="R604" s="124"/>
      <c r="S604" s="46"/>
      <c r="V604" s="47"/>
    </row>
    <row r="605" spans="1:22" ht="17.25" x14ac:dyDescent="0.3">
      <c r="A605" s="48"/>
      <c r="B605" s="48"/>
      <c r="C605" s="41"/>
      <c r="D605" s="42"/>
      <c r="E605" s="43"/>
      <c r="F605" s="43"/>
      <c r="G605" s="44"/>
      <c r="H605" s="43"/>
      <c r="I605" s="45"/>
      <c r="J605" s="45"/>
      <c r="K605" s="116"/>
      <c r="L605" s="116"/>
      <c r="M605" s="116"/>
      <c r="N605" s="116"/>
      <c r="O605" s="116"/>
      <c r="P605" s="124"/>
      <c r="Q605" s="125"/>
      <c r="R605" s="124"/>
      <c r="S605" s="46"/>
      <c r="V605" s="47"/>
    </row>
  </sheetData>
  <mergeCells count="3">
    <mergeCell ref="F1:I1"/>
    <mergeCell ref="A2:B2"/>
    <mergeCell ref="K5:N5"/>
  </mergeCells>
  <conditionalFormatting sqref="A1 A3:A5 A265:A1048576">
    <cfRule type="duplicateValues" dxfId="40" priority="23"/>
    <cfRule type="duplicateValues" dxfId="39" priority="24"/>
    <cfRule type="duplicateValues" dxfId="38" priority="25"/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</conditionalFormatting>
  <conditionalFormatting sqref="A7:A94">
    <cfRule type="duplicateValues" dxfId="30" priority="36"/>
  </conditionalFormatting>
  <conditionalFormatting sqref="A200:A256 A95:A113">
    <cfRule type="duplicateValues" dxfId="29" priority="21"/>
  </conditionalFormatting>
  <conditionalFormatting sqref="A265:A1048576">
    <cfRule type="duplicateValues" dxfId="28" priority="33"/>
    <cfRule type="duplicateValues" dxfId="27" priority="34"/>
    <cfRule type="duplicateValues" dxfId="26" priority="35"/>
  </conditionalFormatting>
  <conditionalFormatting sqref="A114:B191">
    <cfRule type="duplicateValues" dxfId="25" priority="22"/>
  </conditionalFormatting>
  <conditionalFormatting sqref="I7:J605">
    <cfRule type="cellIs" dxfId="24" priority="17" operator="equal">
      <formula>"DL"</formula>
    </cfRule>
    <cfRule type="cellIs" dxfId="23" priority="18" operator="equal">
      <formula>"D"</formula>
    </cfRule>
    <cfRule type="cellIs" priority="1" operator="equal">
      <formula>"AT"</formula>
    </cfRule>
    <cfRule type="containsBlanks" dxfId="22" priority="20">
      <formula>LEN(TRIM(I7))=0</formula>
    </cfRule>
    <cfRule type="cellIs" dxfId="21" priority="2" operator="equal">
      <formula>"VAC"</formula>
    </cfRule>
    <cfRule type="cellIs" dxfId="20" priority="3" operator="equal">
      <formula>"CS"</formula>
    </cfRule>
    <cfRule type="cellIs" dxfId="19" priority="4" operator="equal">
      <formula>"CAP"</formula>
    </cfRule>
    <cfRule type="cellIs" dxfId="18" priority="5" operator="equal">
      <formula>"A."</formula>
    </cfRule>
    <cfRule type="cellIs" dxfId="17" priority="6" operator="equal">
      <formula>"ASC"</formula>
    </cfRule>
    <cfRule type="cellIs" dxfId="16" priority="7" operator="equal">
      <formula>"PL"</formula>
    </cfRule>
    <cfRule type="cellIs" dxfId="15" priority="8" operator="equal">
      <formula>"AT"</formula>
    </cfRule>
    <cfRule type="cellIs" dxfId="14" priority="9" operator="equal">
      <formula>"LF"</formula>
    </cfRule>
    <cfRule type="cellIs" dxfId="13" priority="10" operator="equal">
      <formula>"FL"</formula>
    </cfRule>
    <cfRule type="cellIs" dxfId="12" priority="11" operator="equal">
      <formula>"RR"</formula>
    </cfRule>
    <cfRule type="cellIs" dxfId="11" priority="12" operator="equal">
      <formula>"IMSS"</formula>
    </cfRule>
    <cfRule type="cellIs" dxfId="10" priority="13" operator="equal">
      <formula>"PC"</formula>
    </cfRule>
    <cfRule type="cellIs" dxfId="9" priority="14" operator="equal">
      <formula>"B"</formula>
    </cfRule>
    <cfRule type="cellIs" dxfId="8" priority="15" operator="equal">
      <formula>"PS"</formula>
    </cfRule>
    <cfRule type="cellIs" dxfId="7" priority="16" operator="equal">
      <formula>"F"</formula>
    </cfRule>
    <cfRule type="containsText" dxfId="6" priority="19" operator="containsText" text="VAC">
      <formula>NOT(ISERROR(SEARCH("VAC",I7)))</formula>
    </cfRule>
  </conditionalFormatting>
  <dataValidations disablePrompts="1" count="2">
    <dataValidation type="whole" showInputMessage="1" showErrorMessage="1" sqref="A468:A471 A158" xr:uid="{AE0D715E-0355-437E-B267-7163721C852E}">
      <formula1>14000000</formula1>
      <formula2>15000000</formula2>
    </dataValidation>
    <dataValidation type="decimal" allowBlank="1" showErrorMessage="1" sqref="A474" xr:uid="{CAFC7FFB-4E92-4324-9D94-8A8E855127A6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65F0-4954-491F-A0A2-4C2AC6A0E4CD}">
  <dimension ref="A1:XFC63"/>
  <sheetViews>
    <sheetView topLeftCell="B2" zoomScale="80" zoomScaleNormal="80" workbookViewId="0">
      <selection activeCell="B10" sqref="B10:C15"/>
    </sheetView>
  </sheetViews>
  <sheetFormatPr baseColWidth="10" defaultColWidth="0" defaultRowHeight="12.75" zeroHeight="1" x14ac:dyDescent="0.2"/>
  <cols>
    <col min="1" max="1" width="4.42578125" hidden="1" customWidth="1"/>
    <col min="2" max="2" width="27" style="80" bestFit="1" customWidth="1"/>
    <col min="3" max="3" width="18.42578125" style="80" bestFit="1" customWidth="1"/>
    <col min="4" max="4" width="2.42578125" style="80" hidden="1" customWidth="1"/>
    <col min="5" max="5" width="23" style="80" bestFit="1" customWidth="1"/>
    <col min="6" max="6" width="19.7109375" style="80" customWidth="1"/>
    <col min="7" max="7" width="15.7109375" style="80" bestFit="1" customWidth="1"/>
    <col min="8" max="8" width="3.7109375" hidden="1" customWidth="1"/>
    <col min="9" max="9" width="4" hidden="1" customWidth="1"/>
    <col min="11" max="11" width="4" hidden="1"/>
    <col min="13" max="13" width="4" hidden="1"/>
    <col min="15" max="15" width="4" hidden="1"/>
    <col min="17" max="17" width="4" hidden="1"/>
    <col min="19" max="16381" width="9.5703125" hidden="1"/>
    <col min="16382" max="16382" width="8.7109375" hidden="1" customWidth="1"/>
    <col min="16383" max="16383" width="7.85546875" hidden="1" customWidth="1"/>
    <col min="16384" max="16384" width="12.85546875" hidden="1" customWidth="1"/>
  </cols>
  <sheetData>
    <row r="1" spans="1:9" s="1" customFormat="1" ht="15.75" hidden="1" x14ac:dyDescent="0.25">
      <c r="B1" s="138" t="s">
        <v>5</v>
      </c>
      <c r="C1" s="139"/>
      <c r="D1" s="139"/>
      <c r="E1" s="139"/>
      <c r="F1" s="139"/>
      <c r="G1" s="140"/>
      <c r="I1" s="3"/>
    </row>
    <row r="2" spans="1:9" s="1" customFormat="1" ht="44.25" customHeight="1" thickBot="1" x14ac:dyDescent="0.25">
      <c r="A2" s="6"/>
      <c r="B2" s="158">
        <v>14119958</v>
      </c>
      <c r="C2" s="159"/>
      <c r="D2" s="159"/>
      <c r="E2" s="159"/>
      <c r="F2" s="159"/>
      <c r="G2" s="160"/>
      <c r="I2" s="3"/>
    </row>
    <row r="3" spans="1:9" s="1" customFormat="1" ht="18.75" customHeight="1" thickBot="1" x14ac:dyDescent="0.25">
      <c r="A3" s="6"/>
      <c r="B3" s="73" t="s">
        <v>0</v>
      </c>
      <c r="C3" s="141" t="str">
        <f>IFERROR(VLOOKUP(CONSULTA!$B$2,BONOS!$A$6:$BM$650,$H3,FALSE),"")</f>
        <v>MARTINEZ PATRICIO ANGEL ULISES</v>
      </c>
      <c r="D3" s="142"/>
      <c r="E3" s="142"/>
      <c r="F3" s="142"/>
      <c r="G3" s="143"/>
      <c r="H3" s="63">
        <f>IFERROR(MATCH("NOMBRE ",BONOS!$A$6:$BM$6,0),"")</f>
        <v>2</v>
      </c>
      <c r="I3" s="5"/>
    </row>
    <row r="4" spans="1:9" s="1" customFormat="1" ht="18.75" customHeight="1" x14ac:dyDescent="0.2">
      <c r="A4" s="95"/>
      <c r="B4" s="92" t="s">
        <v>2</v>
      </c>
      <c r="C4" s="74" t="str">
        <f>IFERROR(VLOOKUP(CONSULTA!$B$2,BONOS!$A$6:$BM$650,$D4,FALSE),"")</f>
        <v>SIN SINIESTRO</v>
      </c>
      <c r="D4" s="75">
        <f>IFERROR(MATCH("SINIESTROS",BONOS!$A$6:$BM$6,0),"")</f>
        <v>5</v>
      </c>
      <c r="E4" s="144" t="s">
        <v>922</v>
      </c>
      <c r="F4" s="145"/>
      <c r="G4" s="74" t="str">
        <f>IFERROR(VLOOKUP(CONSULTA!$B$2,BONOS!$A$6:$BM$650,$H4,FALSE),"")</f>
        <v>OK</v>
      </c>
      <c r="H4" s="69">
        <f>IFERROR(MATCH("BONO SCORE",BONOS!$A$6:$BM$6,0),"")</f>
        <v>8</v>
      </c>
      <c r="I4" s="8"/>
    </row>
    <row r="5" spans="1:9" s="1" customFormat="1" ht="18.75" customHeight="1" x14ac:dyDescent="0.2">
      <c r="A5" s="96"/>
      <c r="B5" s="93" t="s">
        <v>543</v>
      </c>
      <c r="C5" s="68" t="str">
        <f>IFERROR(VLOOKUP(CONSULTA!$B$2,BONOS!$A$6:$BM$650,$D5,FALSE),"")</f>
        <v>SIN QUEJA</v>
      </c>
      <c r="D5" s="64">
        <f>IFERROR(MATCH("QUEJAS",BONOS!$A$6:$BM$6,0),"")</f>
        <v>6</v>
      </c>
      <c r="E5" s="146" t="s">
        <v>544</v>
      </c>
      <c r="F5" s="147"/>
      <c r="G5" s="104" t="str">
        <f>IFERROR(VLOOKUP(CONSULTA!$B$2,BONOS!$A$6:$BM$650,$H5,FALSE),"")</f>
        <v>OK</v>
      </c>
      <c r="H5" s="69">
        <f>IFERROR(MATCH("PUNTUALIDAD",BONOS!$A$6:$BM$6,0),"")</f>
        <v>9</v>
      </c>
      <c r="I5" s="4"/>
    </row>
    <row r="6" spans="1:9" s="1" customFormat="1" ht="18.75" customHeight="1" thickBot="1" x14ac:dyDescent="0.25">
      <c r="A6" s="97"/>
      <c r="B6" s="94" t="s">
        <v>557</v>
      </c>
      <c r="C6" s="102">
        <f>IFERROR(VLOOKUP(CONSULTA!$B$2,BONOS!$A$6:$BM$650,$D6,FALSE),"")</f>
        <v>91</v>
      </c>
      <c r="D6" s="89">
        <f>IFERROR(MATCH("SCORE OBTENIDO",BONOS!$A$6:$BM$6,0),"")</f>
        <v>7</v>
      </c>
      <c r="E6" s="148" t="s">
        <v>559</v>
      </c>
      <c r="F6" s="149"/>
      <c r="G6" s="76" t="str">
        <f>IFERROR(VLOOKUP(CONSULTA!$B$2,BONOS!$A$6:$BM$650,$H6,FALSE),"")</f>
        <v>LOGUEO</v>
      </c>
      <c r="H6" s="69">
        <f>IFERROR(MATCH("BONO LOGUEO",BONOS!$A$6:$BM$6,0),"")</f>
        <v>10</v>
      </c>
    </row>
    <row r="7" spans="1:9" s="1" customFormat="1" ht="18.75" customHeight="1" thickBot="1" x14ac:dyDescent="0.25">
      <c r="B7" s="79"/>
      <c r="C7" s="90"/>
      <c r="D7" s="91"/>
      <c r="E7" s="161"/>
      <c r="F7" s="161"/>
      <c r="G7" s="83"/>
      <c r="H7" s="84"/>
    </row>
    <row r="8" spans="1:9" s="1" customFormat="1" ht="18.75" customHeight="1" x14ac:dyDescent="0.2">
      <c r="B8" s="92" t="s">
        <v>928</v>
      </c>
      <c r="C8" s="77">
        <f>IFERROR(VLOOKUP(CONSULTA!$B$2,RENDIMIENTO!$A$2:$BM$650,$D8,FALSE),"")</f>
        <v>8.1038809147435895</v>
      </c>
      <c r="D8" s="65">
        <f>IFERROR(MATCH("META",RENDIMIENTO!$A$2:$BM$2,0),"")</f>
        <v>5</v>
      </c>
      <c r="E8" s="144" t="s">
        <v>924</v>
      </c>
      <c r="F8" s="163"/>
      <c r="G8" s="86">
        <f>IFERROR(VLOOKUP(CONSULTA!$B$2,BONOS!$A$6:$BM$650,$H8,FALSE),"")</f>
        <v>134.18</v>
      </c>
      <c r="H8" s="84">
        <f>IFERROR(MATCH("BONO SINIESTROS",BONOS!$A$6:$BM$6,0),"")</f>
        <v>11</v>
      </c>
      <c r="I8" s="7"/>
    </row>
    <row r="9" spans="1:9" s="1" customFormat="1" ht="18.75" customHeight="1" thickBot="1" x14ac:dyDescent="0.25">
      <c r="B9" s="94" t="s">
        <v>917</v>
      </c>
      <c r="C9" s="78">
        <f>IFERROR(VLOOKUP(CONSULTA!$B$2,RENDIMIENTO!$A$2:$BM$650,$D9,FALSE),"")</f>
        <v>8.2357284499999999</v>
      </c>
      <c r="D9" s="64">
        <f>IFERROR(MATCH("REDIMIENTO OBTENIDO ",RENDIMIENTO!$A$2:$BM$2,0),"")</f>
        <v>6</v>
      </c>
      <c r="E9" s="164" t="s">
        <v>923</v>
      </c>
      <c r="F9" s="165"/>
      <c r="G9" s="87">
        <f>IFERROR(VLOOKUP(CONSULTA!$B$2,BONOS!$A$6:$BM$650,$H9,FALSE),"")</f>
        <v>134.18</v>
      </c>
      <c r="H9" s="84">
        <f>IFERROR(MATCH("BONO QUEJAS",BONOS!$A$6:$BM$6,0),"")</f>
        <v>12</v>
      </c>
    </row>
    <row r="10" spans="1:9" s="1" customFormat="1" ht="18.75" customHeight="1" x14ac:dyDescent="0.2">
      <c r="B10" s="150" t="s">
        <v>982</v>
      </c>
      <c r="C10" s="150"/>
      <c r="D10" s="64"/>
      <c r="E10" s="146" t="s">
        <v>558</v>
      </c>
      <c r="F10" s="162"/>
      <c r="G10" s="103">
        <f>IFERROR(VLOOKUP(CONSULTA!$B$2,BONOS!$A$6:$BM$650,$H10,FALSE),"")</f>
        <v>200</v>
      </c>
      <c r="H10" s="84">
        <f>IFERROR(MATCH("BONO SCORE1",BONOS!$A$6:$BM$6,0),"")</f>
        <v>14</v>
      </c>
    </row>
    <row r="11" spans="1:9" s="1" customFormat="1" ht="18.75" customHeight="1" x14ac:dyDescent="0.2">
      <c r="B11" s="151"/>
      <c r="C11" s="151"/>
      <c r="D11" s="65"/>
      <c r="E11" s="156" t="s">
        <v>559</v>
      </c>
      <c r="F11" s="157"/>
      <c r="G11" s="103">
        <f>IFERROR(VLOOKUP(CONSULTA!$B$2,BONOS!$A$6:$BM$650,$H11,FALSE),"")</f>
        <v>177.44</v>
      </c>
      <c r="H11" s="85">
        <f>IFERROR(MATCH("BONO LOGUEO1",BONOS!$A$6:$BM$6,0),"")</f>
        <v>15</v>
      </c>
    </row>
    <row r="12" spans="1:9" s="1" customFormat="1" ht="18.75" customHeight="1" thickBot="1" x14ac:dyDescent="0.25">
      <c r="B12" s="151"/>
      <c r="C12" s="151"/>
      <c r="D12" s="64"/>
      <c r="E12" s="136" t="s">
        <v>929</v>
      </c>
      <c r="F12" s="137"/>
      <c r="G12" s="88">
        <f>IFERROR(VLOOKUP(CONSULTA!$B$2,RENDIMIENTO!$A$2:$BM$650,$H12,FALSE),"")</f>
        <v>355.58</v>
      </c>
      <c r="H12" s="66">
        <f>IFERROR(MATCH("TOTAL A PAGAR ",RENDIMIENTO!$A$2:$BM$2,0),"")</f>
        <v>7</v>
      </c>
    </row>
    <row r="13" spans="1:9" s="1" customFormat="1" ht="18.75" customHeight="1" thickBot="1" x14ac:dyDescent="0.25">
      <c r="B13" s="151"/>
      <c r="C13" s="151"/>
      <c r="D13" s="67"/>
      <c r="E13" s="98"/>
      <c r="F13" s="98"/>
      <c r="G13" s="83"/>
      <c r="H13" s="66"/>
    </row>
    <row r="14" spans="1:9" s="1" customFormat="1" ht="18.75" customHeight="1" thickBot="1" x14ac:dyDescent="0.25">
      <c r="B14" s="151"/>
      <c r="C14" s="151"/>
      <c r="D14" s="99"/>
      <c r="E14" s="152" t="s">
        <v>927</v>
      </c>
      <c r="F14" s="153"/>
      <c r="G14" s="100">
        <f>IFERROR(VLOOKUP(CONSULTA!$B$2,BONOS!$A$6:$BM$650,$H14,FALSE),"")</f>
        <v>645.79999999999995</v>
      </c>
      <c r="H14" s="82">
        <f>IFERROR(MATCH("TOTAL B.DESEMPEÑO ",BONOS!$A$6:$BM$6,0),"")</f>
        <v>19</v>
      </c>
    </row>
    <row r="15" spans="1:9" s="1" customFormat="1" ht="18.75" customHeight="1" thickBot="1" x14ac:dyDescent="0.25">
      <c r="B15" s="151"/>
      <c r="C15" s="151"/>
      <c r="D15" s="99"/>
      <c r="E15" s="154" t="s">
        <v>930</v>
      </c>
      <c r="F15" s="155"/>
      <c r="G15" s="101">
        <f>G12</f>
        <v>355.58</v>
      </c>
      <c r="H15" s="71"/>
    </row>
    <row r="16" spans="1:9" s="1" customFormat="1" ht="15" customHeight="1" x14ac:dyDescent="0.25">
      <c r="B16" s="80"/>
      <c r="C16" s="80"/>
      <c r="D16" s="70"/>
      <c r="E16" s="79"/>
      <c r="F16" s="79"/>
      <c r="G16" s="79"/>
      <c r="H16" s="72"/>
    </row>
    <row r="17" spans="1:8" s="1" customFormat="1" ht="15" customHeight="1" x14ac:dyDescent="0.2">
      <c r="B17" s="135" t="s">
        <v>4</v>
      </c>
      <c r="C17" s="135"/>
      <c r="D17" s="135"/>
      <c r="E17" s="135"/>
      <c r="F17" s="135"/>
      <c r="G17" s="135"/>
      <c r="H17" s="2"/>
    </row>
    <row r="18" spans="1:8" s="1" customFormat="1" ht="17.25" customHeight="1" x14ac:dyDescent="0.2">
      <c r="B18" s="135"/>
      <c r="C18" s="135"/>
      <c r="D18" s="135"/>
      <c r="E18" s="135"/>
      <c r="F18" s="135"/>
      <c r="G18" s="135"/>
    </row>
    <row r="19" spans="1:8" hidden="1" x14ac:dyDescent="0.2">
      <c r="H19" s="1"/>
    </row>
    <row r="20" spans="1:8" hidden="1" x14ac:dyDescent="0.2">
      <c r="H20" s="1"/>
    </row>
    <row r="21" spans="1:8" hidden="1" x14ac:dyDescent="0.2">
      <c r="C21" s="81"/>
      <c r="H21" s="1"/>
    </row>
    <row r="22" spans="1:8" hidden="1" x14ac:dyDescent="0.2">
      <c r="C22" s="81"/>
      <c r="H22" s="1"/>
    </row>
    <row r="23" spans="1:8" hidden="1" x14ac:dyDescent="0.2">
      <c r="H23" s="1"/>
    </row>
    <row r="24" spans="1:8" hidden="1" x14ac:dyDescent="0.2">
      <c r="H24" s="1"/>
    </row>
    <row r="26" spans="1:8" s="1" customFormat="1" hidden="1" x14ac:dyDescent="0.2">
      <c r="A26"/>
      <c r="B26" s="80"/>
      <c r="C26" s="80"/>
      <c r="D26" s="80"/>
      <c r="E26" s="80"/>
      <c r="F26" s="80"/>
      <c r="G26" s="80"/>
    </row>
    <row r="49" ht="3.75" customHeight="1" x14ac:dyDescent="0.2"/>
    <row r="63" ht="2.25" customHeight="1" x14ac:dyDescent="0.2"/>
  </sheetData>
  <mergeCells count="16">
    <mergeCell ref="B17:G18"/>
    <mergeCell ref="E12:F12"/>
    <mergeCell ref="B1:G1"/>
    <mergeCell ref="C3:G3"/>
    <mergeCell ref="E4:F4"/>
    <mergeCell ref="E5:F5"/>
    <mergeCell ref="E6:F6"/>
    <mergeCell ref="B10:C15"/>
    <mergeCell ref="E14:F14"/>
    <mergeCell ref="E15:F15"/>
    <mergeCell ref="E11:F11"/>
    <mergeCell ref="B2:G2"/>
    <mergeCell ref="E7:F7"/>
    <mergeCell ref="E10:F10"/>
    <mergeCell ref="E8:F8"/>
    <mergeCell ref="E9:F9"/>
  </mergeCells>
  <conditionalFormatting sqref="C6">
    <cfRule type="cellIs" dxfId="5" priority="1" operator="between">
      <formula>0</formula>
      <formula>89</formula>
    </cfRule>
  </conditionalFormatting>
  <conditionalFormatting sqref="G4:G5">
    <cfRule type="cellIs" dxfId="4" priority="2" operator="equal">
      <formula>"NO"</formula>
    </cfRule>
  </conditionalFormatting>
  <conditionalFormatting sqref="G6">
    <cfRule type="cellIs" dxfId="3" priority="3" operator="equal">
      <formula>"NO LOGUEO"</formula>
    </cfRule>
  </conditionalFormatting>
  <conditionalFormatting sqref="G15">
    <cfRule type="cellIs" dxfId="2" priority="45" operator="lessThan">
      <formula>#REF!</formula>
    </cfRule>
    <cfRule type="cellIs" dxfId="1" priority="46" operator="greaterThan">
      <formula>#REF!</formula>
    </cfRule>
    <cfRule type="cellIs" dxfId="0" priority="47" operator="equal">
      <formula>#REF!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PUNTUALIDAD</vt:lpstr>
      <vt:lpstr>ACUMULADO</vt:lpstr>
      <vt:lpstr>RENDIMIENTO</vt:lpstr>
      <vt:lpstr>BONOS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L.GARFIAS</dc:creator>
  <cp:lastModifiedBy>Ing. Pedro López</cp:lastModifiedBy>
  <dcterms:created xsi:type="dcterms:W3CDTF">2023-04-03T19:45:31Z</dcterms:created>
  <dcterms:modified xsi:type="dcterms:W3CDTF">2026-09-05T00:22:24Z</dcterms:modified>
</cp:coreProperties>
</file>